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력 정리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"/>
    <numFmt numFmtId="165" formatCode="0.0"/>
    <numFmt numFmtId="166" formatCode="#,##0.##"/>
    <numFmt numFmtId="167" formatCode="0.0%"/>
    <numFmt numFmtId="168" formatCode="#,##0.#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666666"/>
      <sz val="10"/>
    </font>
    <font>
      <b val="1"/>
      <color rgb="00FFFFFF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1E4C40"/>
      </patternFill>
    </fill>
    <fill>
      <patternFill patternType="solid">
        <fgColor rgb="00FFF6D6"/>
      </patternFill>
    </fill>
    <fill>
      <patternFill patternType="solid">
        <fgColor rgb="00E6EE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4" fillId="4" borderId="1" pivotButton="0" quotePrefix="0" xfId="0"/>
    <xf numFmtId="3" fontId="0" fillId="4" borderId="1" pivotButton="0" quotePrefix="0" xfId="0"/>
    <xf numFmtId="1" fontId="0" fillId="4" borderId="1" pivotButton="0" quotePrefix="0" xfId="0"/>
    <xf numFmtId="166" fontId="0" fillId="3" borderId="1" pivotButton="0" quotePrefix="0" xfId="0"/>
    <xf numFmtId="166" fontId="0" fillId="4" borderId="1" pivotButton="0" quotePrefix="0" xfId="0"/>
    <xf numFmtId="164" fontId="0" fillId="4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4" fillId="4" borderId="1" applyAlignment="1" pivotButton="0" quotePrefix="0" xfId="0">
      <alignment vertical="top" wrapText="1"/>
    </xf>
    <xf numFmtId="165" fontId="0" fillId="4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20" customWidth="1" min="3" max="3"/>
    <col width="26" customWidth="1" min="4" max="4"/>
    <col width="54" customWidth="1" min="5" max="5"/>
  </cols>
  <sheetData>
    <row r="1">
      <c r="A1" s="1" t="inlineStr">
        <is>
          <t>가격 진단 계산기 입력 정리 시트 / Input worksheet</t>
        </is>
      </c>
    </row>
    <row r="2" ht="45" customHeight="1">
      <c r="A2" s="2" t="inlineStr">
        <is>
          <t>노란 칸만 입력하세요. 회색 칸은 자동 계산입니다. 이 파일은 비어 있는 양식이며, 입력한 내용은 내려받아 연 본인의 컴퓨터에만 저장됩니다. Yellow cells are inputs; grey cells are formulas. Nothing you type leaves your computer.</t>
        </is>
      </c>
    </row>
    <row r="3" ht="30" customHeight="1">
      <c r="A3" s="2" t="inlineStr">
        <is>
          <t>초도생산(또는 서비스 개발) 기준으로 '만드는 활동'과 '파는 활동'의 비용을 정리하면, 초도물량으로 본전이 가능한지와 얼마나 빨리 팔아야 하는지를 5번 판정 칸에서 바로 볼 수 있습니다. 정식 계산과 목표 공헌이익률·할인율 검토는 웹 계산기에서 하세요.</t>
        </is>
      </c>
    </row>
    <row r="5">
      <c r="A5" s="3" t="inlineStr">
        <is>
          <t>1. 가정 / Assumptions</t>
        </is>
      </c>
      <c r="B5" s="4" t="n"/>
      <c r="C5" s="4" t="n"/>
      <c r="D5" s="4" t="n"/>
      <c r="E5" s="4" t="n"/>
    </row>
    <row r="6">
      <c r="A6" s="5" t="inlineStr">
        <is>
          <t>업종</t>
        </is>
      </c>
      <c r="B6" s="6" t="n"/>
      <c r="E6" s="2" t="inlineStr">
        <is>
          <t>제조 또는 서비스를 고르세요 (아래 수량 항목의 이름이 바뀝니다)</t>
        </is>
      </c>
    </row>
    <row r="7">
      <c r="A7" s="7">
        <f>IF($B$6="서비스","소진 기간 동안 받을 수 있는 고객 수 (명)","초도생산 수량 (개)")</f>
        <v/>
      </c>
      <c r="B7" s="8" t="n"/>
      <c r="E7" s="2" t="inlineStr">
        <is>
          <t>제조: 초도생산 수량. 서비스: 소진 기간 동안 받을 수 있는 고객(수용) 수</t>
        </is>
      </c>
    </row>
    <row r="8">
      <c r="A8" s="5" t="inlineStr">
        <is>
          <t>목표 소진기간 (개월)</t>
        </is>
      </c>
      <c r="B8" s="9" t="n"/>
      <c r="E8" s="2" t="inlineStr">
        <is>
          <t>초도물량을 모두 판매하려는 기간</t>
        </is>
      </c>
    </row>
    <row r="9">
      <c r="A9" s="5" t="inlineStr">
        <is>
          <t>제품/서비스 수명주기 (개월)</t>
        </is>
      </c>
      <c r="B9" s="9" t="n"/>
      <c r="E9" s="2" t="inlineStr">
        <is>
          <t>일회성 투자 회수 기준을 '수명주기'로 고를 때 사용</t>
        </is>
      </c>
    </row>
    <row r="10">
      <c r="A10" s="5" t="inlineStr">
        <is>
          <t>일회성 투자 회수 기준</t>
        </is>
      </c>
      <c r="B10" s="6" t="n"/>
      <c r="E10" s="2" t="inlineStr">
        <is>
          <t>비우면 '소진기간'. 소진기간=보수적(현금 관점), 수명주기=월 부담이 작아짐 (장치는 내용연수와 수명주기 중 짧은 쪽)</t>
        </is>
      </c>
    </row>
    <row r="11">
      <c r="A11" s="5" t="inlineStr">
        <is>
          <t>실제 판매가 (KRW)</t>
        </is>
      </c>
      <c r="B11" s="8" t="n"/>
      <c r="E11" s="2" t="inlineStr">
        <is>
          <t>고객이 실제로 내는 가격</t>
        </is>
      </c>
    </row>
    <row r="12">
      <c r="A12" s="5" t="inlineStr">
        <is>
          <t>부가세율 (%)</t>
        </is>
      </c>
      <c r="B12" s="10" t="n"/>
      <c r="E12" s="2" t="inlineStr">
        <is>
          <t>예: 10</t>
        </is>
      </c>
    </row>
    <row r="13">
      <c r="A13" s="5" t="inlineStr">
        <is>
          <t>위 판매가는 VAT 포함가인가?</t>
        </is>
      </c>
      <c r="B13" s="6" t="n"/>
      <c r="E13" s="2" t="inlineStr">
        <is>
          <t>예 / 아니오</t>
        </is>
      </c>
    </row>
    <row r="15">
      <c r="A15" s="3" t="inlineStr">
        <is>
          <t>2. 만드는 활동 / How to make — 런칭 직전까지 (to-do list)</t>
        </is>
      </c>
      <c r="B15" s="4" t="n"/>
      <c r="C15" s="4" t="n"/>
      <c r="D15" s="4" t="n"/>
      <c r="E15" s="4" t="n"/>
    </row>
    <row r="16" ht="30" customHeight="1">
      <c r="A16" s="2" t="inlineStr">
        <is>
          <t>제조: 재료·가공·외주 제작 등 / 서비스: 기획·개발·디자인 인건비 등. '수량비례 제작비'는 초도물량에 비례해 드는 비용, '일회성 투자'는 금형·장치·인증·개발비처럼 수량과 무관하게 한 번 드는 비용입니다.</t>
        </is>
      </c>
    </row>
    <row r="17">
      <c r="A17" s="11" t="inlineStr">
        <is>
          <t>활동 (to-do)</t>
        </is>
      </c>
      <c r="B17" s="11" t="inlineStr">
        <is>
          <t>기간 (메모)</t>
        </is>
      </c>
      <c r="C17" s="11" t="inlineStr">
        <is>
          <t>총 비용 (KRW)</t>
        </is>
      </c>
      <c r="D17" s="11" t="inlineStr">
        <is>
          <t>구분</t>
        </is>
      </c>
      <c r="E17" s="11" t="inlineStr">
        <is>
          <t>메모</t>
        </is>
      </c>
    </row>
    <row r="18">
      <c r="A18" s="6" t="n"/>
      <c r="B18" s="6" t="n"/>
      <c r="C18" s="8" t="n"/>
      <c r="D18" s="6" t="n"/>
      <c r="E18" s="6" t="n"/>
    </row>
    <row r="19">
      <c r="A19" s="6" t="n"/>
      <c r="B19" s="6" t="n"/>
      <c r="C19" s="8" t="n"/>
      <c r="D19" s="6" t="n"/>
      <c r="E19" s="6" t="n"/>
    </row>
    <row r="20">
      <c r="A20" s="6" t="n"/>
      <c r="B20" s="6" t="n"/>
      <c r="C20" s="8" t="n"/>
      <c r="D20" s="6" t="n"/>
      <c r="E20" s="6" t="n"/>
    </row>
    <row r="21">
      <c r="A21" s="6" t="n"/>
      <c r="B21" s="6" t="n"/>
      <c r="C21" s="8" t="n"/>
      <c r="D21" s="6" t="n"/>
      <c r="E21" s="6" t="n"/>
    </row>
    <row r="22">
      <c r="A22" s="6" t="n"/>
      <c r="B22" s="6" t="n"/>
      <c r="C22" s="8" t="n"/>
      <c r="D22" s="6" t="n"/>
      <c r="E22" s="6" t="n"/>
    </row>
    <row r="23">
      <c r="A23" s="6" t="n"/>
      <c r="B23" s="6" t="n"/>
      <c r="C23" s="8" t="n"/>
      <c r="D23" s="6" t="n"/>
      <c r="E23" s="6" t="n"/>
    </row>
    <row r="24">
      <c r="A24" s="6" t="n"/>
      <c r="B24" s="6" t="n"/>
      <c r="C24" s="8" t="n"/>
      <c r="D24" s="6" t="n"/>
      <c r="E24" s="6" t="n"/>
    </row>
    <row r="25">
      <c r="A25" s="6" t="n"/>
      <c r="B25" s="6" t="n"/>
      <c r="C25" s="8" t="n"/>
      <c r="D25" s="6" t="n"/>
      <c r="E25" s="6" t="n"/>
    </row>
    <row r="26">
      <c r="A26" s="6" t="n"/>
      <c r="B26" s="6" t="n"/>
      <c r="C26" s="8" t="n"/>
      <c r="D26" s="6" t="n"/>
      <c r="E26" s="6" t="n"/>
    </row>
    <row r="27">
      <c r="A27" s="6" t="n"/>
      <c r="B27" s="6" t="n"/>
      <c r="C27" s="8" t="n"/>
      <c r="D27" s="6" t="n"/>
      <c r="E27" s="6" t="n"/>
    </row>
    <row r="28">
      <c r="A28" s="11" t="inlineStr">
        <is>
          <t>수량비례 제작비 합계</t>
        </is>
      </c>
      <c r="C28" s="12">
        <f>SUMIF($D$18:$D$27,"수량비례 제작비",$C$18:$C$27)</f>
        <v/>
      </c>
    </row>
    <row r="29">
      <c r="A29" s="11" t="inlineStr">
        <is>
          <t>일회성 투자 합계 (만들기)</t>
        </is>
      </c>
      <c r="C29" s="12">
        <f>SUMIF($D$18:$D$27,"일회성 투자",$C$18:$C$27)</f>
        <v/>
      </c>
    </row>
    <row r="30">
      <c r="A30" s="7" t="inlineStr">
        <is>
          <t>구분을 고르지 않은 행 수</t>
        </is>
      </c>
      <c r="C30" s="13">
        <f>COUNTIFS($C$18:$C$27,"&lt;&gt;",$D$18:$D$27,"")</f>
        <v/>
      </c>
      <c r="E30" s="2" t="inlineStr">
        <is>
          <t>0이 아니면 구분을 선택하세요 (합계에 포함되지 않습니다)</t>
        </is>
      </c>
    </row>
    <row r="32">
      <c r="A32" s="3" t="inlineStr">
        <is>
          <t>3. 파는 활동 / How to sell — 런칭 전 준비와 런칭 이후</t>
        </is>
      </c>
      <c r="B32" s="4" t="n"/>
      <c r="C32" s="4" t="n"/>
      <c r="D32" s="4" t="n"/>
      <c r="E32" s="4" t="n"/>
    </row>
    <row r="33" ht="45" customHeight="1">
      <c r="A33" s="2" t="inlineStr">
        <is>
          <t>'런칭 전 일회성'은 입점·샘플·초기 마케팅처럼 한 번 쓰는 총액입니다. '판매 시 …'는 팔 때마다 붙는 비용만 적습니다 (수수료·결제수수료·배송비·건당 광고비). 정액은 총액이 아니라 1개(또는 1주문)당 금액, %는 퍼센트 숫자로 적으세요. 제작 관련 비용은 위 2번에 적습니다.</t>
        </is>
      </c>
    </row>
    <row r="34">
      <c r="A34" s="11" t="inlineStr">
        <is>
          <t>활동 (to-do)</t>
        </is>
      </c>
      <c r="B34" s="11" t="inlineStr">
        <is>
          <t>기간 (메모)</t>
        </is>
      </c>
      <c r="C34" s="11" t="inlineStr">
        <is>
          <t>금액 / 값</t>
        </is>
      </c>
      <c r="D34" s="11" t="inlineStr">
        <is>
          <t>구분</t>
        </is>
      </c>
      <c r="E34" s="11" t="inlineStr">
        <is>
          <t>메모</t>
        </is>
      </c>
    </row>
    <row r="35">
      <c r="A35" s="6" t="n"/>
      <c r="B35" s="6" t="n"/>
      <c r="C35" s="14" t="n"/>
      <c r="D35" s="6" t="n"/>
      <c r="E35" s="6" t="n"/>
    </row>
    <row r="36">
      <c r="A36" s="6" t="n"/>
      <c r="B36" s="6" t="n"/>
      <c r="C36" s="14" t="n"/>
      <c r="D36" s="6" t="n"/>
      <c r="E36" s="6" t="n"/>
    </row>
    <row r="37">
      <c r="A37" s="6" t="n"/>
      <c r="B37" s="6" t="n"/>
      <c r="C37" s="14" t="n"/>
      <c r="D37" s="6" t="n"/>
      <c r="E37" s="6" t="n"/>
    </row>
    <row r="38">
      <c r="A38" s="6" t="n"/>
      <c r="B38" s="6" t="n"/>
      <c r="C38" s="14" t="n"/>
      <c r="D38" s="6" t="n"/>
      <c r="E38" s="6" t="n"/>
    </row>
    <row r="39">
      <c r="A39" s="6" t="n"/>
      <c r="B39" s="6" t="n"/>
      <c r="C39" s="14" t="n"/>
      <c r="D39" s="6" t="n"/>
      <c r="E39" s="6" t="n"/>
    </row>
    <row r="40">
      <c r="A40" s="6" t="n"/>
      <c r="B40" s="6" t="n"/>
      <c r="C40" s="14" t="n"/>
      <c r="D40" s="6" t="n"/>
      <c r="E40" s="6" t="n"/>
    </row>
    <row r="41">
      <c r="A41" s="6" t="n"/>
      <c r="B41" s="6" t="n"/>
      <c r="C41" s="14" t="n"/>
      <c r="D41" s="6" t="n"/>
      <c r="E41" s="6" t="n"/>
    </row>
    <row r="42">
      <c r="A42" s="6" t="n"/>
      <c r="B42" s="6" t="n"/>
      <c r="C42" s="14" t="n"/>
      <c r="D42" s="6" t="n"/>
      <c r="E42" s="6" t="n"/>
    </row>
    <row r="43">
      <c r="A43" s="6" t="n"/>
      <c r="B43" s="6" t="n"/>
      <c r="C43" s="14" t="n"/>
      <c r="D43" s="6" t="n"/>
      <c r="E43" s="6" t="n"/>
    </row>
    <row r="44">
      <c r="A44" s="6" t="n"/>
      <c r="B44" s="6" t="n"/>
      <c r="C44" s="14" t="n"/>
      <c r="D44" s="6" t="n"/>
      <c r="E44" s="6" t="n"/>
    </row>
    <row r="45">
      <c r="A45" s="11" t="inlineStr">
        <is>
          <t>런칭 전 일회성 합계</t>
        </is>
      </c>
      <c r="C45" s="12">
        <f>SUMIF($D$35:$D$44,"런칭 전 일회성",$C$35:$C$44)</f>
        <v/>
      </c>
    </row>
    <row r="46">
      <c r="A46" s="11" t="inlineStr">
        <is>
          <t>판매 시 정액 (개당) 합계</t>
        </is>
      </c>
      <c r="C46" s="15">
        <f>SUMIF($D$35:$D$44,"판매 시 정액 (개당)",$C$35:$C$44)</f>
        <v/>
      </c>
    </row>
    <row r="47">
      <c r="A47" s="11" t="inlineStr">
        <is>
          <t>판매 시 정액 (주문당) 합계</t>
        </is>
      </c>
      <c r="C47" s="15">
        <f>SUMIF($D$35:$D$44,"판매 시 정액 (주문당)",$C$35:$C$44)</f>
        <v/>
      </c>
    </row>
    <row r="48">
      <c r="A48" s="11" t="inlineStr">
        <is>
          <t>판매 시 순매출 대비 % 합계</t>
        </is>
      </c>
      <c r="C48" s="16">
        <f>SUMIF($D$35:$D$44,"판매 시 순매출 대비 %",$C$35:$C$44)</f>
        <v/>
      </c>
    </row>
    <row r="49">
      <c r="A49" s="11" t="inlineStr">
        <is>
          <t>판매 시 지불액 대비 % 합계</t>
        </is>
      </c>
      <c r="C49" s="16">
        <f>SUMIF($D$35:$D$44,"판매 시 지불액 대비 %",$C$35:$C$44)</f>
        <v/>
      </c>
    </row>
    <row r="50">
      <c r="A50" s="7" t="inlineStr">
        <is>
          <t>구분을 고르지 않은 행 수</t>
        </is>
      </c>
      <c r="C50" s="13">
        <f>COUNTIFS($C$35:$C$44,"&lt;&gt;",$D$35:$D$44,"")</f>
        <v/>
      </c>
      <c r="E50" s="2" t="inlineStr">
        <is>
          <t>0이 아니면 구분을 선택하세요 (합계에 포함되지 않습니다)</t>
        </is>
      </c>
    </row>
    <row r="52">
      <c r="A52" s="3" t="inlineStr">
        <is>
          <t>4. 월 고정운영비 / Monthly fixed operating cost</t>
        </is>
      </c>
      <c r="B52" s="4" t="n"/>
      <c r="C52" s="4" t="n"/>
      <c r="D52" s="4" t="n"/>
      <c r="E52" s="4" t="n"/>
    </row>
    <row r="53" ht="15" customHeight="1">
      <c r="A53" s="2" t="inlineStr">
        <is>
          <t>물량과 무관하게 매달 나가는 비용 (임대료, 상시 인건비, 구독·툴 비용 등).</t>
        </is>
      </c>
    </row>
    <row r="54">
      <c r="A54" s="11" t="inlineStr">
        <is>
          <t>항목</t>
        </is>
      </c>
      <c r="B54" s="11" t="inlineStr"/>
      <c r="C54" s="11" t="inlineStr">
        <is>
          <t>월 금액 (KRW)</t>
        </is>
      </c>
      <c r="D54" s="11" t="inlineStr"/>
      <c r="E54" s="11" t="inlineStr">
        <is>
          <t>메모</t>
        </is>
      </c>
    </row>
    <row r="55">
      <c r="A55" s="6" t="n"/>
      <c r="B55" s="5" t="n"/>
      <c r="C55" s="8" t="n"/>
      <c r="D55" s="5" t="n"/>
      <c r="E55" s="6" t="n"/>
    </row>
    <row r="56">
      <c r="A56" s="6" t="n"/>
      <c r="B56" s="5" t="n"/>
      <c r="C56" s="8" t="n"/>
      <c r="D56" s="5" t="n"/>
      <c r="E56" s="6" t="n"/>
    </row>
    <row r="57">
      <c r="A57" s="6" t="n"/>
      <c r="B57" s="5" t="n"/>
      <c r="C57" s="8" t="n"/>
      <c r="D57" s="5" t="n"/>
      <c r="E57" s="6" t="n"/>
    </row>
    <row r="58">
      <c r="A58" s="6" t="n"/>
      <c r="B58" s="5" t="n"/>
      <c r="C58" s="8" t="n"/>
      <c r="D58" s="5" t="n"/>
      <c r="E58" s="6" t="n"/>
    </row>
    <row r="59">
      <c r="A59" s="6" t="n"/>
      <c r="B59" s="5" t="n"/>
      <c r="C59" s="8" t="n"/>
      <c r="D59" s="5" t="n"/>
      <c r="E59" s="6" t="n"/>
    </row>
    <row r="60">
      <c r="A60" s="6" t="n"/>
      <c r="B60" s="5" t="n"/>
      <c r="C60" s="8" t="n"/>
      <c r="D60" s="5" t="n"/>
      <c r="E60" s="6" t="n"/>
    </row>
    <row r="61">
      <c r="A61" s="11" t="inlineStr">
        <is>
          <t>월 고정운영비 합계</t>
        </is>
      </c>
      <c r="C61" s="12">
        <f>SUM($C$55:$C$60)</f>
        <v/>
      </c>
    </row>
    <row r="63">
      <c r="A63" s="3" t="inlineStr">
        <is>
          <t>5. 판정 / Verdict — 초도물량으로 본전이 되는가</t>
        </is>
      </c>
      <c r="B63" s="4" t="n"/>
      <c r="C63" s="4" t="n"/>
      <c r="D63" s="4" t="n"/>
      <c r="E63" s="4" t="n"/>
    </row>
    <row r="64" ht="15" customHeight="1">
      <c r="A64" s="2" t="inlineStr">
        <is>
          <t>초도 기준 판단용 계산입니다 (재고·외상 시차와 추가 생산은 반영하지 않음). 정식 계산은 웹 계산기에서 하세요.</t>
        </is>
      </c>
    </row>
    <row r="65">
      <c r="A65" s="11" t="inlineStr">
        <is>
          <t>항목</t>
        </is>
      </c>
      <c r="B65" s="11" t="inlineStr">
        <is>
          <t>값</t>
        </is>
      </c>
      <c r="C65" s="11" t="inlineStr"/>
      <c r="D65" s="11" t="inlineStr"/>
      <c r="E65" s="11" t="inlineStr">
        <is>
          <t>설명</t>
        </is>
      </c>
    </row>
    <row r="66">
      <c r="A66" s="7" t="inlineStr">
        <is>
          <t>필수 입력 완료</t>
        </is>
      </c>
      <c r="B66" s="7">
        <f>AND(ISNUMBER($B$11),ISNUMBER($B$12),OR($B$13="예",$B$13="아니오"),ISNUMBER($B$7),ISNUMBER($B$8))</f>
        <v/>
      </c>
      <c r="E66" s="2" t="inlineStr">
        <is>
          <t>판매가·부가세율·VAT 여부·수량·소진기간이 모두 입력되면 TRUE</t>
        </is>
      </c>
    </row>
    <row r="67">
      <c r="A67" s="7" t="inlineStr">
        <is>
          <t>순매출 (VAT 제외 판매가)</t>
        </is>
      </c>
      <c r="B67" s="15">
        <f>IF(NOT($B$66),"",IF($B$13="예",$B$11/(1+$B$12/100),$B$11))</f>
        <v/>
      </c>
      <c r="E67" s="2" t="inlineStr">
        <is>
          <t>MODE A와 같은 계산</t>
        </is>
      </c>
    </row>
    <row r="68">
      <c r="A68" s="7" t="inlineStr">
        <is>
          <t>고객 지불액 (VAT 포함)</t>
        </is>
      </c>
      <c r="B68" s="15">
        <f>IF(NOT($B$66),"",IF($B$13="예",$B$11,$B$11*(1+$B$12/100)))</f>
        <v/>
      </c>
      <c r="E68" s="2" t="inlineStr"/>
    </row>
    <row r="69">
      <c r="A69" s="7" t="inlineStr">
        <is>
          <t>개당 직접원가</t>
        </is>
      </c>
      <c r="B69" s="15">
        <f>IF(NOT($B$66),"",IF($B$7&gt;0,$C$28/$B$7,"수량 &gt; 0 필요"))</f>
        <v/>
      </c>
      <c r="E69" s="2" t="inlineStr">
        <is>
          <t>수량비례 제작비 합계 ÷ 수량 → 계산기의 '직접원가'에 입력</t>
        </is>
      </c>
    </row>
    <row r="70">
      <c r="A70" s="7" t="inlineStr">
        <is>
          <t>개당 변동비 (판매 시)</t>
        </is>
      </c>
      <c r="B70" s="15">
        <f>IF(NOT($B$66),"",$C$46+$C$47+$C$48/100*$B$67+$C$49/100*$B$68)</f>
        <v/>
      </c>
      <c r="E70" s="2" t="inlineStr">
        <is>
          <t>정액 + 순매출 대비 % × 순매출 + 지불액 대비 % × 지불액</t>
        </is>
      </c>
    </row>
    <row r="71">
      <c r="A71" s="7" t="inlineStr">
        <is>
          <t>개당 공헌이익</t>
        </is>
      </c>
      <c r="B71" s="15">
        <f>IF(NOT($B$66),"",IF(AND(ISNUMBER($B$69),ISNUMBER($B$70)),$B$67-$B$69-$B$70,""))</f>
        <v/>
      </c>
      <c r="E71" s="2" t="inlineStr">
        <is>
          <t>순매출 − 개당 직접원가 − 개당 변동비</t>
        </is>
      </c>
    </row>
    <row r="72">
      <c r="A72" s="7" t="inlineStr">
        <is>
          <t>회수 대상 일회성 투자 합계</t>
        </is>
      </c>
      <c r="B72" s="12">
        <f>IF(NOT($B$66),"",$C$29+$C$45)</f>
        <v/>
      </c>
      <c r="E72" s="2" t="inlineStr">
        <is>
          <t>만들기 + 런칭 전 일회성</t>
        </is>
      </c>
    </row>
    <row r="73">
      <c r="A73" s="7" t="inlineStr">
        <is>
          <t>회수 기간 (개월)</t>
        </is>
      </c>
      <c r="B73" s="16">
        <f>IF(NOT($B$66),"",IF($B$10="수명주기",$B$9,$B$8))</f>
        <v/>
      </c>
      <c r="E73" s="2" t="inlineStr">
        <is>
          <t>회수 기준에 따라 소진기간 또는 수명주기</t>
        </is>
      </c>
    </row>
    <row r="74">
      <c r="A74" s="7" t="inlineStr">
        <is>
          <t>월 상각액</t>
        </is>
      </c>
      <c r="B74" s="12">
        <f>IF(NOT($B$66),"",IF($B$72=0,0,IF(N($B$73)&gt;0,$B$72/$B$73,"회수 기간 입력 필요")))</f>
        <v/>
      </c>
      <c r="E74" s="2" t="inlineStr">
        <is>
          <t>일회성 투자 ÷ 회수 기간</t>
        </is>
      </c>
    </row>
    <row r="75">
      <c r="A75" s="7" t="inlineStr">
        <is>
          <t>월 고정비 (상각 포함)</t>
        </is>
      </c>
      <c r="B75" s="12">
        <f>IF(NOT($B$66),"",IF(ISNUMBER($B$74),$C$61+$B$74,""))</f>
        <v/>
      </c>
      <c r="E75" s="2" t="inlineStr">
        <is>
          <t>월 고정운영비 + 월 상각액 → 계산기의 '월 고정운영비'에 입력</t>
        </is>
      </c>
    </row>
    <row r="76">
      <c r="A76" s="7" t="inlineStr">
        <is>
          <t>목표 월 판매량</t>
        </is>
      </c>
      <c r="B76" s="15">
        <f>IF(NOT($B$66),"",IF($B$8&gt;0,$B$7/$B$8,""))</f>
        <v/>
      </c>
      <c r="E76" s="2" t="inlineStr">
        <is>
          <t>수량 ÷ 소진기간</t>
        </is>
      </c>
    </row>
    <row r="77">
      <c r="A77" s="7" t="inlineStr">
        <is>
          <t>월 손익분기 판매량</t>
        </is>
      </c>
      <c r="B77" s="15">
        <f>IF(NOT($B$66),"",IF(OR(NOT(ISNUMBER($B$75)),NOT(ISNUMBER($B$71))),"",IF($B$71&gt;0,$B$75/$B$71,IF($B$75=0,"해당 없음","불가 (공헌이익 ≤ 0)"))))</f>
        <v/>
      </c>
      <c r="E77" s="2" t="inlineStr">
        <is>
          <t>월 고정비 ÷ 개당 공헌이익 (계산기 BEP와 같은 식)</t>
        </is>
      </c>
    </row>
    <row r="78">
      <c r="A78" s="7" t="inlineStr">
        <is>
          <t>소진기간 동안 필요한 누적 판매량</t>
        </is>
      </c>
      <c r="B78" s="15">
        <f>IF(NOT($B$66),"",IF(ISNUMBER($B$77),$B$77*$B$8,""))</f>
        <v/>
      </c>
      <c r="E78" s="2" t="inlineStr">
        <is>
          <t>월 손익분기 판매량 × 소진기간</t>
        </is>
      </c>
    </row>
    <row r="79">
      <c r="A79" s="7" t="inlineStr">
        <is>
          <t>누적 필요 판매량 ÷ 수량</t>
        </is>
      </c>
      <c r="B79" s="17">
        <f>IF(NOT($B$66),"",IF(AND(ISNUMBER($B$78),$B$7&gt;0),$B$78/$B$7,""))</f>
        <v/>
      </c>
      <c r="E79" s="2" t="inlineStr">
        <is>
          <t>100% 이하여야 초도물량으로 본전 가능</t>
        </is>
      </c>
    </row>
    <row r="80">
      <c r="A80" s="7" t="inlineStr">
        <is>
          <t>초도물량 전량 판매 시 손익 (소진기간 내)</t>
        </is>
      </c>
      <c r="B80" s="12">
        <f>IF(NOT($B$66),"",IF(AND(ISNUMBER($B$75),ISNUMBER($B$71)),$B$7*$B$71-$B$75*$B$8,""))</f>
        <v/>
      </c>
      <c r="E80" s="2" t="inlineStr">
        <is>
          <t>수량 × 개당 공헌이익 − 월 고정비 × 소진기간</t>
        </is>
      </c>
    </row>
    <row r="81">
      <c r="A81" s="7" t="inlineStr">
        <is>
          <t>초도물량 전량 판매 시 본전 판매가</t>
        </is>
      </c>
      <c r="B81" s="15">
        <f>IF(NOT($B$66),"",IF(OR(NOT(ISNUMBER($B$75)),NOT(ISNUMBER($B$69))),"",IF((1-$C$48/100-$C$49/100*(1+$B$12/100))&lt;=0,"불가 (수수료율 합계 과다)",IF($B$13="예",(1+$B$12/100),1)*($B$69+$C$46+$C$47+$B$75*$B$8/$B$7)/(1-$C$48/100-$C$49/100*(1+$B$12/100)))))</f>
        <v/>
      </c>
      <c r="E81" s="2" t="inlineStr">
        <is>
          <t>이 가격(입력한 VAT 기준)이면 소진기간 안에 전량 판매 시 손익 0</t>
        </is>
      </c>
    </row>
    <row r="82">
      <c r="A82" s="7" t="inlineStr">
        <is>
          <t>투자 회수 기간 (개월)</t>
        </is>
      </c>
      <c r="B82" s="18">
        <f>IF(NOT($B$66),"",IF($B$72=0,"해당 없음",IF(AND(ISNUMBER($B$76),ISNUMBER($B$71)),IF($B$76*$B$71-$C$61&gt;0,$B$72/($B$76*$B$71-$C$61),"회수 불가"),"")))</f>
        <v/>
      </c>
      <c r="E82" s="2" t="inlineStr">
        <is>
          <t>일회성 투자 ÷ (목표 월 판매량 × 개당 공헌이익 − 월 고정운영비)</t>
        </is>
      </c>
    </row>
    <row r="83" ht="48" customHeight="1">
      <c r="A83" s="11" t="inlineStr">
        <is>
          <t>판정</t>
        </is>
      </c>
      <c r="B83" s="19">
        <f>IF(NOT($B$66),"필수 입력(판매가·부가세율·VAT 여부·수량·소진기간)을 채워 주세요",IF(NOT(ISNUMBER($B$71)),"비용 입력을 확인하세요",IF($B$71&lt;=0,"개당 공헌이익이 0 이하입니다 — 팔수록 손해. 가격·원가·수수료를 다시 검토하세요",IF(NOT(ISNUMBER($B$79)),"고정비·회수 기간 입력을 확인하세요",IF($B$79&gt;1,"초도물량을 전부 팔아도 본전이 안 됩니다 — 가격 인상, 원가 절감, 고정비 축소 또는 추가 생산·기간 연장을 검토하세요","초도물량으로 본전 가능 — 월 "&amp;TEXT($B$77,"#,##0.#")&amp;"개 이상 판매 필요, 목표는 월 "&amp;TEXT($B$76,"#,##0.#")&amp;"개")))))</f>
        <v/>
      </c>
    </row>
    <row r="85">
      <c r="A85" s="3" t="inlineStr">
        <is>
          <t>6. 계산기에 입력할 값 / Values to type into the calculator</t>
        </is>
      </c>
      <c r="B85" s="4" t="n"/>
      <c r="C85" s="4" t="n"/>
      <c r="D85" s="4" t="n"/>
      <c r="E85" s="4" t="n"/>
    </row>
    <row r="86" ht="15" customHeight="1">
      <c r="A86" s="2" t="inlineStr">
        <is>
          <t>웹 계산기의 같은 이름 칸에 옮겨 적으세요. 변동비는 계산기의 '+ 변동비 항목 추가'로 유형별 합계를 항목으로 추가하면 됩니다.</t>
        </is>
      </c>
    </row>
    <row r="87">
      <c r="A87" s="11" t="inlineStr">
        <is>
          <t>실제 판매가 (KRW)</t>
        </is>
      </c>
      <c r="B87" s="12">
        <f>IF($B$11="","",$B$11)</f>
        <v/>
      </c>
    </row>
    <row r="88">
      <c r="A88" s="11" t="inlineStr">
        <is>
          <t>부가세율 (%)</t>
        </is>
      </c>
      <c r="B88" s="20">
        <f>IF($B$12="","",$B$12)</f>
        <v/>
      </c>
    </row>
    <row r="89">
      <c r="A89" s="11" t="inlineStr">
        <is>
          <t>VAT 포함가 체크</t>
        </is>
      </c>
      <c r="B89" s="7">
        <f>IF($B$13="","",IF($B$13="예","체크","해제"))</f>
        <v/>
      </c>
    </row>
    <row r="90">
      <c r="A90" s="11" t="inlineStr">
        <is>
          <t>직접원가 (개당)</t>
        </is>
      </c>
      <c r="B90" s="15">
        <f>$B$69</f>
        <v/>
      </c>
    </row>
    <row r="91">
      <c r="A91" s="11" t="inlineStr">
        <is>
          <t>변동비: 정액 (개당)</t>
        </is>
      </c>
      <c r="B91" s="15">
        <f>$C$46</f>
        <v/>
      </c>
    </row>
    <row r="92">
      <c r="A92" s="11" t="inlineStr">
        <is>
          <t>변동비: 정액 (주문당)</t>
        </is>
      </c>
      <c r="B92" s="15">
        <f>$C$47</f>
        <v/>
      </c>
    </row>
    <row r="93">
      <c r="A93" s="11" t="inlineStr">
        <is>
          <t>변동비: 순매출 대비 (%)</t>
        </is>
      </c>
      <c r="B93" s="16">
        <f>$C$48</f>
        <v/>
      </c>
    </row>
    <row r="94">
      <c r="A94" s="11" t="inlineStr">
        <is>
          <t>변동비: 지불액 대비 (%)</t>
        </is>
      </c>
      <c r="B94" s="16">
        <f>$C$49</f>
        <v/>
      </c>
    </row>
    <row r="95">
      <c r="A95" s="11" t="inlineStr">
        <is>
          <t>월 고정운영비 (상각 포함, KRW)</t>
        </is>
      </c>
      <c r="B95" s="12">
        <f>$B$75</f>
        <v/>
      </c>
    </row>
    <row r="96">
      <c r="A96" s="11" t="inlineStr">
        <is>
          <t>월 계획 판매량 (개) — 목표 월 판매량</t>
        </is>
      </c>
      <c r="B96" s="15">
        <f>$B$76</f>
        <v/>
      </c>
    </row>
    <row r="97">
      <c r="A97" s="21" t="inlineStr">
        <is>
          <t>목표 공헌이익률 (%)</t>
        </is>
      </c>
      <c r="B97" s="10" t="n"/>
      <c r="E97" s="2" t="inlineStr">
        <is>
          <t>MODE B에 사용 — 본전 확인 후 목표를 정해 입력</t>
        </is>
      </c>
    </row>
    <row r="98">
      <c r="A98" s="21" t="inlineStr">
        <is>
          <t>정가 대비 할인율 (%)</t>
        </is>
      </c>
      <c r="B98" s="10" t="n"/>
      <c r="E98" s="2" t="inlineStr">
        <is>
          <t>MODE B 정가 역산</t>
        </is>
      </c>
    </row>
    <row r="99">
      <c r="A99" s="21" t="inlineStr">
        <is>
          <t>목표 시장가격 (KRW)</t>
        </is>
      </c>
      <c r="B99" s="8" t="n"/>
      <c r="E99" s="2" t="inlineStr">
        <is>
          <t>MODE C에 사용</t>
        </is>
      </c>
    </row>
  </sheetData>
  <mergeCells count="8">
    <mergeCell ref="A53:E53"/>
    <mergeCell ref="A2:E2"/>
    <mergeCell ref="A16:E16"/>
    <mergeCell ref="A64:E64"/>
    <mergeCell ref="B83:E83"/>
    <mergeCell ref="A86:E86"/>
    <mergeCell ref="A33:E33"/>
    <mergeCell ref="A3:E3"/>
  </mergeCells>
  <dataValidations count="5">
    <dataValidation sqref="B6" showDropDown="0" showInputMessage="0" showErrorMessage="0" allowBlank="1" type="list">
      <formula1>"제조,서비스"</formula1>
    </dataValidation>
    <dataValidation sqref="B10" showDropDown="0" showInputMessage="0" showErrorMessage="0" allowBlank="1" type="list">
      <formula1>"소진기간,수명주기"</formula1>
    </dataValidation>
    <dataValidation sqref="B13" showDropDown="0" showInputMessage="0" showErrorMessage="0" allowBlank="1" type="list">
      <formula1>"예,아니오"</formula1>
    </dataValidation>
    <dataValidation sqref="D18 D19 D20 D21 D22 D23 D24 D25 D26 D27" showDropDown="0" showInputMessage="0" showErrorMessage="0" allowBlank="1" type="list">
      <formula1>"수량비례 제작비,일회성 투자"</formula1>
    </dataValidation>
    <dataValidation sqref="D35 D36 D37 D38 D39 D40 D41 D42 D43 D44" showDropDown="0" showInputMessage="0" showErrorMessage="0" allowBlank="1" type="list">
      <formula1>"런칭 전 일회성,판매 시 정액 (개당),판매 시 정액 (주문당),판매 시 순매출 대비 %,판매 시 지불액 대비 %"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2026-10-08T01:27:07Z</dcterms:created>
  <dcterms:modified xmlns:dcterms="http://purl.org/dc/terms/" xmlns:xsi="http://www.w3.org/2001/XMLSchema-instance" xsi:type="dcterms:W3CDTF">2026-10-08T01:27:07Z</dcterms:modified>
</cp:coreProperties>
</file>