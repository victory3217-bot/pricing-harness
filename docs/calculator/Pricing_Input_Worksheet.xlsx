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입력 정리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##"/>
    <numFmt numFmtId="166" formatCode="0.##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666666"/>
      <sz val="10"/>
    </font>
    <font>
      <b val="1"/>
      <color rgb="00FFFFFF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1E4C40"/>
      </patternFill>
    </fill>
    <fill>
      <patternFill patternType="solid">
        <fgColor rgb="00FFF6D6"/>
      </patternFill>
    </fill>
    <fill>
      <patternFill patternType="solid">
        <fgColor rgb="00E6EEE9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3" fontId="0" fillId="3" borderId="1" pivotButton="0" quotePrefix="0" xfId="0"/>
    <xf numFmtId="0" fontId="2" fillId="0" borderId="0" pivotButton="0" quotePrefix="0" xfId="0"/>
    <xf numFmtId="164" fontId="0" fillId="3" borderId="1" pivotButton="0" quotePrefix="0" xfId="0"/>
    <xf numFmtId="0" fontId="0" fillId="3" borderId="1" pivotButton="0" quotePrefix="0" xfId="0"/>
    <xf numFmtId="0" fontId="4" fillId="4" borderId="1" pivotButton="0" quotePrefix="0" xfId="0"/>
    <xf numFmtId="165" fontId="0" fillId="4" borderId="1" pivotButton="0" quotePrefix="0" xfId="0"/>
    <xf numFmtId="165" fontId="0" fillId="3" borderId="1" pivotButton="0" quotePrefix="0" xfId="0"/>
    <xf numFmtId="166" fontId="0" fillId="3" borderId="1" pivotButton="0" quotePrefix="0" xfId="0"/>
    <xf numFmtId="3" fontId="0" fillId="4" borderId="1" pivotButton="0" quotePrefix="0" xfId="0"/>
    <xf numFmtId="164" fontId="0" fillId="4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6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8" customWidth="1" min="3" max="3"/>
    <col width="22" customWidth="1" min="4" max="4"/>
    <col width="44" customWidth="1" min="5" max="5"/>
  </cols>
  <sheetData>
    <row r="1">
      <c r="A1" s="1" t="inlineStr">
        <is>
          <t>가격 진단 계산기 입력 정리 시트 / Input worksheet</t>
        </is>
      </c>
    </row>
    <row r="2" ht="60" customHeight="1">
      <c r="A2" s="2" t="inlineStr">
        <is>
          <t>노란 칸만 입력하세요. 회색 칸은 자동 계산입니다. 맨 아래 '계산기에 입력할 값'을 웹 계산기에 옮겨 적으세요. 이 파일은 비어 있는 양식이며, 입력한 내용은 이 파일(또는 내려받아 연 본인의 컴퓨터)에만 저장됩니다. Yellow cells are inputs; grey cells are formulas. Copy the summary at the bottom into the calculator.</t>
        </is>
      </c>
    </row>
    <row r="3" ht="45" customHeight="1">
      <c r="A3" s="2" t="inlineStr">
        <is>
          <t>직접원가 = 만드는 데 드는 비용(재료비, 개당 전기·가공비, 외주 제작비 등), 변동비 = 판매·배송 비용만(수수료, 결제수수료, 배송비). 같은 비용을 두 곳에 넣으면 두 번 차감됩니다. 물량과 무관한 비용(임대료 등)은 월 고정운영비에 넣습니다.</t>
        </is>
      </c>
    </row>
    <row r="5">
      <c r="A5" s="3" t="inlineStr">
        <is>
          <t>1. 기본 정보 / Basics</t>
        </is>
      </c>
      <c r="B5" s="4" t="n"/>
      <c r="C5" s="4" t="n"/>
      <c r="D5" s="4" t="n"/>
      <c r="E5" s="4" t="n"/>
    </row>
    <row r="6">
      <c r="A6" s="5" t="inlineStr">
        <is>
          <t>실제 판매가 (KRW)</t>
        </is>
      </c>
      <c r="B6" s="6" t="n"/>
      <c r="E6" s="7" t="inlineStr">
        <is>
          <t>판매가 / Selling price</t>
        </is>
      </c>
    </row>
    <row r="7">
      <c r="A7" s="5" t="inlineStr">
        <is>
          <t>부가세율 (%)</t>
        </is>
      </c>
      <c r="B7" s="8" t="n"/>
      <c r="E7" s="7" t="inlineStr">
        <is>
          <t>예: 10</t>
        </is>
      </c>
    </row>
    <row r="8">
      <c r="A8" s="5" t="inlineStr">
        <is>
          <t>위 판매가는 VAT 포함가인가?</t>
        </is>
      </c>
      <c r="B8" s="9" t="n"/>
      <c r="E8" s="7" t="inlineStr">
        <is>
          <t>예 / 아니오</t>
        </is>
      </c>
    </row>
    <row r="9">
      <c r="A9" s="5" t="inlineStr">
        <is>
          <t>총비용을 나눌 계획 판매량 (개)</t>
        </is>
      </c>
      <c r="B9" s="6" t="n"/>
      <c r="E9" s="7" t="inlineStr">
        <is>
          <t>개발비 등 총액 ÷ 이 수량 = 1단위당 금액 (회수 기간 전체의 계획 판매량)</t>
        </is>
      </c>
    </row>
    <row r="11">
      <c r="A11" s="3" t="inlineStr">
        <is>
          <t>2. 직접원가 항목 / Direct cost items (판매 1단위당으로 환산)</t>
        </is>
      </c>
      <c r="B11" s="4" t="n"/>
      <c r="C11" s="4" t="n"/>
      <c r="D11" s="4" t="n"/>
      <c r="E11" s="4" t="n"/>
    </row>
    <row r="12">
      <c r="A12" s="10" t="inlineStr">
        <is>
          <t>항목명</t>
        </is>
      </c>
      <c r="B12" s="10" t="inlineStr">
        <is>
          <t>입력 금액 (KRW)</t>
        </is>
      </c>
      <c r="C12" s="10" t="inlineStr">
        <is>
          <t>금액의 성격</t>
        </is>
      </c>
      <c r="D12" s="10" t="inlineStr">
        <is>
          <t>1단위당 금액 (자동)</t>
        </is>
      </c>
      <c r="E12" s="10" t="inlineStr">
        <is>
          <t>메모</t>
        </is>
      </c>
    </row>
    <row r="13">
      <c r="A13" s="9" t="n"/>
      <c r="B13" s="6" t="n"/>
      <c r="C13" s="9" t="n"/>
      <c r="D13" s="11">
        <f>IF(B13="","",IF(C13="","금액의 성격 선택",IF(C13="1단위당",B13,IF(N($B$9)&gt;0,B13/$B$9,"판매량 입력 필요"))))</f>
        <v/>
      </c>
      <c r="E13" s="9" t="n"/>
    </row>
    <row r="14">
      <c r="A14" s="9" t="n"/>
      <c r="B14" s="6" t="n"/>
      <c r="C14" s="9" t="n"/>
      <c r="D14" s="11">
        <f>IF(B14="","",IF(C14="","금액의 성격 선택",IF(C14="1단위당",B14,IF(N($B$9)&gt;0,B14/$B$9,"판매량 입력 필요"))))</f>
        <v/>
      </c>
      <c r="E14" s="9" t="n"/>
    </row>
    <row r="15">
      <c r="A15" s="9" t="n"/>
      <c r="B15" s="6" t="n"/>
      <c r="C15" s="9" t="n"/>
      <c r="D15" s="11">
        <f>IF(B15="","",IF(C15="","금액의 성격 선택",IF(C15="1단위당",B15,IF(N($B$9)&gt;0,B15/$B$9,"판매량 입력 필요"))))</f>
        <v/>
      </c>
      <c r="E15" s="9" t="n"/>
    </row>
    <row r="16">
      <c r="A16" s="9" t="n"/>
      <c r="B16" s="6" t="n"/>
      <c r="C16" s="9" t="n"/>
      <c r="D16" s="11">
        <f>IF(B16="","",IF(C16="","금액의 성격 선택",IF(C16="1단위당",B16,IF(N($B$9)&gt;0,B16/$B$9,"판매량 입력 필요"))))</f>
        <v/>
      </c>
      <c r="E16" s="9" t="n"/>
    </row>
    <row r="17">
      <c r="A17" s="9" t="n"/>
      <c r="B17" s="6" t="n"/>
      <c r="C17" s="9" t="n"/>
      <c r="D17" s="11">
        <f>IF(B17="","",IF(C17="","금액의 성격 선택",IF(C17="1단위당",B17,IF(N($B$9)&gt;0,B17/$B$9,"판매량 입력 필요"))))</f>
        <v/>
      </c>
      <c r="E17" s="9" t="n"/>
    </row>
    <row r="18">
      <c r="A18" s="9" t="n"/>
      <c r="B18" s="6" t="n"/>
      <c r="C18" s="9" t="n"/>
      <c r="D18" s="11">
        <f>IF(B18="","",IF(C18="","금액의 성격 선택",IF(C18="1단위당",B18,IF(N($B$9)&gt;0,B18/$B$9,"판매량 입력 필요"))))</f>
        <v/>
      </c>
      <c r="E18" s="9" t="n"/>
    </row>
    <row r="19">
      <c r="A19" s="9" t="n"/>
      <c r="B19" s="6" t="n"/>
      <c r="C19" s="9" t="n"/>
      <c r="D19" s="11">
        <f>IF(B19="","",IF(C19="","금액의 성격 선택",IF(C19="1단위당",B19,IF(N($B$9)&gt;0,B19/$B$9,"판매량 입력 필요"))))</f>
        <v/>
      </c>
      <c r="E19" s="9" t="n"/>
    </row>
    <row r="20">
      <c r="A20" s="9" t="n"/>
      <c r="B20" s="6" t="n"/>
      <c r="C20" s="9" t="n"/>
      <c r="D20" s="11">
        <f>IF(B20="","",IF(C20="","금액의 성격 선택",IF(C20="1단위당",B20,IF(N($B$9)&gt;0,B20/$B$9,"판매량 입력 필요"))))</f>
        <v/>
      </c>
      <c r="E20" s="9" t="n"/>
    </row>
    <row r="21">
      <c r="A21" s="10" t="inlineStr">
        <is>
          <t>직접원가 합계 (1단위당)</t>
        </is>
      </c>
      <c r="D21" s="11">
        <f>SUM(D13:D20)</f>
        <v/>
      </c>
    </row>
    <row r="23">
      <c r="A23" s="3" t="inlineStr">
        <is>
          <t>3. 변동비 항목 / Variable selling &amp; delivery cost (판매·배송 비용만)</t>
        </is>
      </c>
      <c r="B23" s="4" t="n"/>
      <c r="C23" s="4" t="n"/>
      <c r="D23" s="4" t="n"/>
      <c r="E23" s="4" t="n"/>
    </row>
    <row r="24">
      <c r="A24" s="10" t="inlineStr">
        <is>
          <t>항목명</t>
        </is>
      </c>
      <c r="B24" s="10" t="inlineStr">
        <is>
          <t>유형</t>
        </is>
      </c>
      <c r="C24" s="10" t="inlineStr">
        <is>
          <t>입력값</t>
        </is>
      </c>
      <c r="D24" s="10" t="inlineStr">
        <is>
          <t>계산기에 넣을 값 (자동)</t>
        </is>
      </c>
      <c r="E24" s="10" t="inlineStr">
        <is>
          <t>메모</t>
        </is>
      </c>
    </row>
    <row r="25">
      <c r="A25" s="9" t="n"/>
      <c r="B25" s="9" t="n"/>
      <c r="C25" s="12" t="n"/>
      <c r="D25" s="11">
        <f>IF(C25="","",IF(B25="","유형 선택",C25))</f>
        <v/>
      </c>
      <c r="E25" s="9" t="n"/>
    </row>
    <row r="26">
      <c r="A26" s="9" t="n"/>
      <c r="B26" s="9" t="n"/>
      <c r="C26" s="12" t="n"/>
      <c r="D26" s="11">
        <f>IF(C26="","",IF(B26="","유형 선택",C26))</f>
        <v/>
      </c>
      <c r="E26" s="9" t="n"/>
    </row>
    <row r="27">
      <c r="A27" s="9" t="n"/>
      <c r="B27" s="9" t="n"/>
      <c r="C27" s="12" t="n"/>
      <c r="D27" s="11">
        <f>IF(C27="","",IF(B27="","유형 선택",C27))</f>
        <v/>
      </c>
      <c r="E27" s="9" t="n"/>
    </row>
    <row r="28">
      <c r="A28" s="9" t="n"/>
      <c r="B28" s="9" t="n"/>
      <c r="C28" s="12" t="n"/>
      <c r="D28" s="11">
        <f>IF(C28="","",IF(B28="","유형 선택",C28))</f>
        <v/>
      </c>
      <c r="E28" s="9" t="n"/>
    </row>
    <row r="29">
      <c r="A29" s="9" t="n"/>
      <c r="B29" s="9" t="n"/>
      <c r="C29" s="12" t="n"/>
      <c r="D29" s="11">
        <f>IF(C29="","",IF(B29="","유형 선택",C29))</f>
        <v/>
      </c>
      <c r="E29" s="9" t="n"/>
    </row>
    <row r="30">
      <c r="A30" s="9" t="n"/>
      <c r="B30" s="9" t="n"/>
      <c r="C30" s="12" t="n"/>
      <c r="D30" s="11">
        <f>IF(C30="","",IF(B30="","유형 선택",C30))</f>
        <v/>
      </c>
      <c r="E30" s="9" t="n"/>
    </row>
    <row r="31">
      <c r="A31" s="9" t="n"/>
      <c r="B31" s="9" t="n"/>
      <c r="C31" s="12" t="n"/>
      <c r="D31" s="11">
        <f>IF(C31="","",IF(B31="","유형 선택",C31))</f>
        <v/>
      </c>
      <c r="E31" s="9" t="n"/>
    </row>
    <row r="32">
      <c r="A32" s="9" t="n"/>
      <c r="B32" s="9" t="n"/>
      <c r="C32" s="12" t="n"/>
      <c r="D32" s="11">
        <f>IF(C32="","",IF(B32="","유형 선택",C32))</f>
        <v/>
      </c>
      <c r="E32" s="9" t="n"/>
    </row>
    <row r="33" ht="30" customHeight="1">
      <c r="A33" s="2" t="inlineStr">
        <is>
          <t>정액은 총액이 아니라 1단위당(또는 1주문당) 금액으로 적어 주세요. %는 순매출(VAT 제외 판매가) 또는 지불액(VAT 포함 결제금액) 대비 비율입니다.</t>
        </is>
      </c>
    </row>
    <row r="35">
      <c r="A35" s="3" t="inlineStr">
        <is>
          <t>4. 그 밖의 값 / Other inputs</t>
        </is>
      </c>
      <c r="B35" s="4" t="n"/>
      <c r="C35" s="4" t="n"/>
      <c r="D35" s="4" t="n"/>
      <c r="E35" s="4" t="n"/>
    </row>
    <row r="36">
      <c r="A36" s="5" t="inlineStr">
        <is>
          <t>월 고정운영비 합계 (KRW)</t>
        </is>
      </c>
      <c r="B36" s="6" t="n"/>
      <c r="E36" s="7" t="inlineStr">
        <is>
          <t>임대료·인건비·판관비 등 월 합계 (BEP·판매량 손익)</t>
        </is>
      </c>
    </row>
    <row r="37">
      <c r="A37" s="5" t="inlineStr">
        <is>
          <t>월 계획 판매량 (개)</t>
        </is>
      </c>
      <c r="B37" s="6" t="n"/>
      <c r="E37" s="7" t="inlineStr">
        <is>
          <t>판매량 손익에 사용</t>
        </is>
      </c>
    </row>
    <row r="38">
      <c r="A38" s="5" t="inlineStr">
        <is>
          <t>주문당 평균 판매 수량 (개)</t>
        </is>
      </c>
      <c r="B38" s="13" t="n"/>
      <c r="E38" s="7" t="inlineStr">
        <is>
          <t>비우면 주문당 1개로 가정</t>
        </is>
      </c>
    </row>
    <row r="39">
      <c r="A39" s="5" t="inlineStr">
        <is>
          <t>목표 공헌이익률 (%)</t>
        </is>
      </c>
      <c r="B39" s="8" t="n"/>
      <c r="E39" s="7" t="inlineStr">
        <is>
          <t>MODE B에 사용</t>
        </is>
      </c>
    </row>
    <row r="40">
      <c r="A40" s="5" t="inlineStr">
        <is>
          <t>정가 대비 할인율 (%)</t>
        </is>
      </c>
      <c r="B40" s="8" t="n"/>
      <c r="E40" s="7" t="inlineStr">
        <is>
          <t>MODE B 정가 역산</t>
        </is>
      </c>
    </row>
    <row r="41">
      <c r="A41" s="5" t="inlineStr">
        <is>
          <t>목표 시장가격 (KRW)</t>
        </is>
      </c>
      <c r="B41" s="6" t="n"/>
      <c r="E41" s="7" t="inlineStr">
        <is>
          <t>MODE C에 사용</t>
        </is>
      </c>
    </row>
    <row r="43">
      <c r="A43" s="3" t="inlineStr">
        <is>
          <t>5. 계산기에 입력할 값 / Values to type into the calculator</t>
        </is>
      </c>
      <c r="B43" s="4" t="n"/>
      <c r="C43" s="4" t="n"/>
      <c r="D43" s="4" t="n"/>
      <c r="E43" s="4" t="n"/>
    </row>
    <row r="44">
      <c r="A44" s="10" t="inlineStr">
        <is>
          <t>실제 판매가 (KRW)</t>
        </is>
      </c>
      <c r="B44" s="14">
        <f>IF($B$6="","",$B$6)</f>
        <v/>
      </c>
    </row>
    <row r="45">
      <c r="A45" s="10" t="inlineStr">
        <is>
          <t>부가세율 (%)</t>
        </is>
      </c>
      <c r="B45" s="15">
        <f>IF($B$7="","",$B$7)</f>
        <v/>
      </c>
    </row>
    <row r="46">
      <c r="A46" s="10" t="inlineStr">
        <is>
          <t>VAT 포함가 체크</t>
        </is>
      </c>
      <c r="B46" s="16">
        <f>IF($B$8="","",IF($B$8="예","체크","해제"))</f>
        <v/>
      </c>
    </row>
    <row r="47">
      <c r="A47" s="10" t="inlineStr">
        <is>
          <t>직접원가 합계 (1단위당)</t>
        </is>
      </c>
      <c r="B47" s="11">
        <f>$D$21</f>
        <v/>
      </c>
    </row>
    <row r="48">
      <c r="A48" s="10" t="inlineStr">
        <is>
          <t>변동비 항목 (유형 / 값)</t>
        </is>
      </c>
      <c r="B48" s="16" t="inlineStr">
        <is>
          <t>계산기의 '+ 변동비 항목 추가'로 위 3번 표의 항목을 그대로 옮기세요.</t>
        </is>
      </c>
      <c r="C48" s="17" t="n"/>
      <c r="D48" s="17" t="n"/>
      <c r="E48" s="18" t="n"/>
    </row>
    <row r="49">
      <c r="A49" s="10" t="inlineStr">
        <is>
          <t>월 고정운영비 합계 (KRW)</t>
        </is>
      </c>
      <c r="B49" s="14">
        <f>IF(B36="","",B36)</f>
        <v/>
      </c>
    </row>
    <row r="50">
      <c r="A50" s="10" t="inlineStr">
        <is>
          <t>월 계획 판매량 (개)</t>
        </is>
      </c>
      <c r="B50" s="14">
        <f>IF(B37="","",B37)</f>
        <v/>
      </c>
    </row>
    <row r="51">
      <c r="A51" s="10" t="inlineStr">
        <is>
          <t>주문당 평균 판매 수량 (개)</t>
        </is>
      </c>
      <c r="B51" s="19">
        <f>IF(B38="","",B38)</f>
        <v/>
      </c>
    </row>
    <row r="52">
      <c r="A52" s="10" t="inlineStr">
        <is>
          <t>목표 공헌이익률 (%)</t>
        </is>
      </c>
      <c r="B52" s="15">
        <f>IF(B39="","",B39)</f>
        <v/>
      </c>
    </row>
    <row r="53">
      <c r="A53" s="10" t="inlineStr">
        <is>
          <t>정가 대비 할인율 (%)</t>
        </is>
      </c>
      <c r="B53" s="15">
        <f>IF(B40="","",B40)</f>
        <v/>
      </c>
    </row>
    <row r="54">
      <c r="A54" s="10" t="inlineStr">
        <is>
          <t>목표 시장가격 (KRW)</t>
        </is>
      </c>
      <c r="B54" s="14">
        <f>IF(B41="","",B41)</f>
        <v/>
      </c>
    </row>
  </sheetData>
  <mergeCells count="4">
    <mergeCell ref="A2:E2"/>
    <mergeCell ref="A33:E33"/>
    <mergeCell ref="B48:E48"/>
    <mergeCell ref="A3:E3"/>
  </mergeCells>
  <dataValidations count="3">
    <dataValidation sqref="B8" showDropDown="0" showInputMessage="0" showErrorMessage="0" allowBlank="1" type="list">
      <formula1>"예,아니오"</formula1>
    </dataValidation>
    <dataValidation sqref="C13 C14 C15 C16 C17 C18 C19 C20" showDropDown="0" showInputMessage="0" showErrorMessage="0" allowBlank="1" type="list">
      <formula1>"총액,1단위당"</formula1>
    </dataValidation>
    <dataValidation sqref="B25 B26 B27 B28 B29 B30 B31 B32" showDropDown="0" showInputMessage="0" showErrorMessage="0" allowBlank="1" type="list">
      <formula1>"정액 (개당),정액 (주문당),순매출 대비 %,지불액 대비 %"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2026-10-08T00:54:28Z</dcterms:created>
  <dcterms:modified xmlns:dcterms="http://purl.org/dc/terms/" xmlns:xsi="http://www.w3.org/2001/XMLSchema-instance" xsi:type="dcterms:W3CDTF">2026-10-08T00:54:28Z</dcterms:modified>
</cp:coreProperties>
</file>