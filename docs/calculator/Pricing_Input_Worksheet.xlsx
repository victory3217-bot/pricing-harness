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초도" sheetId="1" state="visible" r:id="rId1"/>
    <sheet xmlns:r="http://schemas.openxmlformats.org/officeDocument/2006/relationships" name="양산" sheetId="2" state="visible" r:id="rId2"/>
    <sheet xmlns:r="http://schemas.openxmlformats.org/officeDocument/2006/relationships" name="비교" sheetId="3" state="visible" r:id="rId3"/>
    <sheet xmlns:r="http://schemas.openxmlformats.org/officeDocument/2006/relationships" name="사용법" sheetId="4" state="visible" r:id="rId4"/>
  </sheets>
  <definedNames/>
  <calcPr calcId="124519" fullCalcOnLoad="1"/>
</workbook>
</file>

<file path=xl/styles.xml><?xml version="1.0" encoding="utf-8"?>
<styleSheet xmlns="http://schemas.openxmlformats.org/spreadsheetml/2006/main">
  <numFmts count="4">
    <numFmt numFmtId="164" formatCode="0.0"/>
    <numFmt numFmtId="165" formatCode="[&gt;=1000]#,##0;General"/>
    <numFmt numFmtId="166" formatCode="#,##0.0"/>
    <numFmt numFmtId="167" formatCode="0.0%"/>
  </numFmts>
  <fonts count="7">
    <font>
      <name val="Calibri"/>
      <family val="2"/>
      <color theme="1"/>
      <sz val="11"/>
      <scheme val="minor"/>
    </font>
    <font>
      <b val="1"/>
      <sz val="14"/>
    </font>
    <font>
      <color rgb="00666666"/>
      <sz val="10"/>
    </font>
    <font>
      <b val="1"/>
      <color rgb="00FFFFFF"/>
      <sz val="12"/>
    </font>
    <font>
      <b val="1"/>
    </font>
    <font>
      <b val="1"/>
      <color rgb="001E4C40"/>
      <sz val="13"/>
    </font>
    <font>
      <b val="1"/>
      <color rgb="001E4C40"/>
      <sz val="12"/>
    </font>
  </fonts>
  <fills count="5">
    <fill>
      <patternFill/>
    </fill>
    <fill>
      <patternFill patternType="gray125"/>
    </fill>
    <fill>
      <patternFill patternType="solid">
        <fgColor rgb="001E4C40"/>
      </patternFill>
    </fill>
    <fill>
      <patternFill patternType="solid">
        <fgColor rgb="00FFF6D6"/>
      </patternFill>
    </fill>
    <fill>
      <patternFill patternType="solid">
        <fgColor rgb="00E6EEE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0" fillId="2" borderId="0" pivotButton="0" quotePrefix="0" xfId="0"/>
    <xf numFmtId="0" fontId="0" fillId="0" borderId="1" pivotButton="0" quotePrefix="0" xfId="0"/>
    <xf numFmtId="0" fontId="0" fillId="3" borderId="1" pivotButton="0" quotePrefix="0" xfId="0"/>
    <xf numFmtId="0" fontId="0" fillId="0" borderId="1" applyAlignment="1" pivotButton="0" quotePrefix="0" xfId="0">
      <alignment vertical="center" wrapText="1"/>
    </xf>
    <xf numFmtId="0" fontId="0" fillId="4" borderId="1" applyAlignment="1" pivotButton="0" quotePrefix="0" xfId="0">
      <alignment vertical="center" wrapText="1"/>
    </xf>
    <xf numFmtId="3" fontId="0" fillId="3" borderId="1" pivotButton="0" quotePrefix="0" xfId="0"/>
    <xf numFmtId="164" fontId="0" fillId="3" borderId="1" pivotButton="0" quotePrefix="0" xfId="0"/>
    <xf numFmtId="0" fontId="4" fillId="4" borderId="1" pivotButton="0" quotePrefix="0" xfId="0"/>
    <xf numFmtId="3" fontId="0" fillId="4" borderId="1" pivotButton="0" quotePrefix="0" xfId="0"/>
    <xf numFmtId="165" fontId="0" fillId="3" borderId="1" pivotButton="0" quotePrefix="0" xfId="0"/>
    <xf numFmtId="0" fontId="0" fillId="4" borderId="1" pivotButton="0" quotePrefix="0" xfId="0"/>
    <xf numFmtId="1" fontId="0" fillId="4" borderId="1" pivotButton="0" quotePrefix="0" xfId="0"/>
    <xf numFmtId="166" fontId="0" fillId="4" borderId="1" pivotButton="0" quotePrefix="0" xfId="0"/>
    <xf numFmtId="167" fontId="0" fillId="4" borderId="1" pivotButton="0" quotePrefix="0" xfId="0"/>
    <xf numFmtId="0" fontId="4" fillId="4" borderId="1" applyAlignment="1" pivotButton="0" quotePrefix="0" xfId="0">
      <alignment vertical="top" wrapText="1"/>
    </xf>
    <xf numFmtId="164" fontId="0" fillId="4" borderId="1" pivotButton="0" quotePrefix="0" xfId="0"/>
    <xf numFmtId="166" fontId="0" fillId="3" borderId="1" pivotButton="0" quotePrefix="0" xfId="0"/>
    <xf numFmtId="0" fontId="5" fillId="0" borderId="0"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7"/>
  <sheetViews>
    <sheetView showGridLines="0" workbookViewId="0">
      <pane ySplit="4" topLeftCell="A5" activePane="bottomLeft" state="frozen"/>
      <selection pane="bottomLeft" activeCell="A1" sqref="A1"/>
    </sheetView>
  </sheetViews>
  <sheetFormatPr baseColWidth="8" defaultRowHeight="15"/>
  <cols>
    <col width="42" customWidth="1" min="1" max="1"/>
    <col width="22" customWidth="1" min="2" max="2"/>
    <col width="26" customWidth="1" min="3" max="3"/>
    <col width="28" customWidth="1" min="4" max="4"/>
    <col width="56" customWidth="1" min="5" max="5"/>
  </cols>
  <sheetData>
    <row r="1">
      <c r="A1" s="1" t="inlineStr">
        <is>
          <t>초도 기준 정리 / First-run planning</t>
        </is>
      </c>
    </row>
    <row r="2" ht="45" customHeight="1">
      <c r="A2" s="2" t="inlineStr">
        <is>
          <t>노란 칸만 입력하세요. 회색 칸은 자동 계산입니다. 입력한 내용은 내려받아 연 본인의 컴퓨터에만 저장됩니다. 작성 방법은 '사용법' 탭을 보세요. Yellow cells are inputs; grey cells are formulas. Nothing you type leaves your computer.</t>
        </is>
      </c>
    </row>
    <row r="3" ht="30" customHeight="1">
      <c r="A3" s="2" t="inlineStr">
        <is>
          <t>처음 만드는 물량(초도생산) 기준으로 만들고 파는 데 드는 총비용을 적고, 초도물량으로 본전이 되는지와 얼마나 빨리 팔아야 하는지를 4번 판정에서 봅니다. 규모를 키웠을 때는 '양산' 탭, 둘의 차이는 '비교' 탭에서 봅니다.</t>
        </is>
      </c>
    </row>
    <row r="5">
      <c r="A5" s="3" t="inlineStr">
        <is>
          <t>1. 가정 / Assumptions</t>
        </is>
      </c>
      <c r="B5" s="4" t="n"/>
      <c r="C5" s="4" t="n"/>
      <c r="D5" s="4" t="n"/>
      <c r="E5" s="4" t="n"/>
    </row>
    <row r="6">
      <c r="A6" s="5" t="inlineStr">
        <is>
          <t>업종</t>
        </is>
      </c>
      <c r="B6" s="6" t="n"/>
      <c r="E6" s="2" t="inlineStr">
        <is>
          <t>제조 또는 서비스 (아래 수량·기간 항목의 이름이 바뀝니다)</t>
        </is>
      </c>
    </row>
    <row r="7" ht="32" customHeight="1">
      <c r="A7" s="7" t="inlineStr">
        <is>
          <t>판매 단위 (예: 낱개 1개, 6개입 세트, 1건)</t>
        </is>
      </c>
      <c r="B7" s="6" t="n"/>
      <c r="E7" s="2" t="inlineStr">
        <is>
          <t>판매가·수량·비용 모두 이 단위를 기준으로 적습니다. 한 번에 한 가지 판매 단위만 정리하세요</t>
        </is>
      </c>
    </row>
    <row r="8" ht="32" customHeight="1">
      <c r="A8" s="8">
        <f>IF($B$6="서비스","목표 판매 수","초도생산 수량")&amp;" (판매 단위 수"&amp;IF($B$7&lt;&gt;""," · 1단위 = "&amp;$B$7,"")&amp;")"</f>
        <v/>
      </c>
      <c r="B8" s="9" t="n"/>
      <c r="E8" s="2" t="inlineStr">
        <is>
          <t>제조: 초도생산 수량 (판매 단위 수). 서비스: 이 기간 안에 팔려는 목표 판매 수 — 수용 한도가 아니라 목표로 적으세요</t>
        </is>
      </c>
    </row>
    <row r="9" ht="32" customHeight="1">
      <c r="A9" s="8">
        <f>IF($B$6="서비스","목표 판매 기간 (개월)","목표 소진기간 (개월)")</f>
        <v/>
      </c>
      <c r="B9" s="6" t="n"/>
      <c r="E9" s="2" t="inlineStr">
        <is>
          <t>초도물량(서비스는 목표 판매 수)을 모두 판매하려는 기간</t>
        </is>
      </c>
    </row>
    <row r="10">
      <c r="A10" s="5" t="inlineStr">
        <is>
          <t>실제 판매가 (KRW)</t>
        </is>
      </c>
      <c r="B10" s="9" t="n"/>
      <c r="E10" s="2" t="inlineStr">
        <is>
          <t>고객이 실제로 내는 가격</t>
        </is>
      </c>
    </row>
    <row r="11">
      <c r="A11" s="5" t="inlineStr">
        <is>
          <t>부가세율 (%)</t>
        </is>
      </c>
      <c r="B11" s="10" t="n"/>
      <c r="E11" s="2" t="inlineStr">
        <is>
          <t>예: 10</t>
        </is>
      </c>
    </row>
    <row r="12">
      <c r="A12" s="5" t="inlineStr">
        <is>
          <t>위 판매가는 VAT 포함가인가?</t>
        </is>
      </c>
      <c r="B12" s="6" t="n"/>
      <c r="E12" s="2" t="inlineStr">
        <is>
          <t>예 / 아니오</t>
        </is>
      </c>
    </row>
    <row r="14">
      <c r="A14" s="3" t="inlineStr">
        <is>
          <t>2. 만드는 활동 / How to make — 런칭 직전까지</t>
        </is>
      </c>
      <c r="B14" s="4" t="n"/>
      <c r="C14" s="4" t="n"/>
      <c r="D14" s="4" t="n"/>
      <c r="E14" s="4" t="n"/>
    </row>
    <row r="15" ht="30" customHeight="1">
      <c r="A15" s="2" t="inlineStr">
        <is>
          <t>초도물량을 만드는 데 드는 일(to-do)을 한 줄씩 적고, 그 일에 드는 총비용을 적으세요. 제조: 재료·가공·금형·장치·포장 등 / 서비스: 기획·개발·디자인 인건비 등. 구분 없이 총액만 적습니다.</t>
        </is>
      </c>
    </row>
    <row r="16">
      <c r="A16" s="11" t="inlineStr">
        <is>
          <t>활동 (to-do)</t>
        </is>
      </c>
      <c r="B16" s="11" t="inlineStr">
        <is>
          <t>총 비용 (KRW)</t>
        </is>
      </c>
      <c r="C16" s="11" t="inlineStr">
        <is>
          <t>메모</t>
        </is>
      </c>
    </row>
    <row r="17">
      <c r="A17" s="6" t="n"/>
      <c r="B17" s="9" t="n"/>
      <c r="C17" s="6" t="n"/>
    </row>
    <row r="18">
      <c r="A18" s="6" t="n"/>
      <c r="B18" s="9" t="n"/>
      <c r="C18" s="6" t="n"/>
    </row>
    <row r="19">
      <c r="A19" s="6" t="n"/>
      <c r="B19" s="9" t="n"/>
      <c r="C19" s="6" t="n"/>
    </row>
    <row r="20">
      <c r="A20" s="6" t="n"/>
      <c r="B20" s="9" t="n"/>
      <c r="C20" s="6" t="n"/>
    </row>
    <row r="21">
      <c r="A21" s="6" t="n"/>
      <c r="B21" s="9" t="n"/>
      <c r="C21" s="6" t="n"/>
    </row>
    <row r="22">
      <c r="A22" s="6" t="n"/>
      <c r="B22" s="9" t="n"/>
      <c r="C22" s="6" t="n"/>
    </row>
    <row r="23">
      <c r="A23" s="6" t="n"/>
      <c r="B23" s="9" t="n"/>
      <c r="C23" s="6" t="n"/>
    </row>
    <row r="24">
      <c r="A24" s="6" t="n"/>
      <c r="B24" s="9" t="n"/>
      <c r="C24" s="6" t="n"/>
    </row>
    <row r="25">
      <c r="A25" s="6" t="n"/>
      <c r="B25" s="9" t="n"/>
      <c r="C25" s="6" t="n"/>
    </row>
    <row r="26">
      <c r="A26" s="6" t="n"/>
      <c r="B26" s="9" t="n"/>
      <c r="C26" s="6" t="n"/>
    </row>
    <row r="27">
      <c r="A27" s="11" t="inlineStr">
        <is>
          <t>만드는 총비용 합계</t>
        </is>
      </c>
      <c r="B27" s="12">
        <f>SUM($B$17:$B$26)</f>
        <v/>
      </c>
    </row>
    <row r="28">
      <c r="A28" s="3" t="inlineStr">
        <is>
          <t>3. 파는 활동 / How to sell — 런칭 전 준비와 판매 시 비용</t>
        </is>
      </c>
      <c r="B28" s="4" t="n"/>
      <c r="C28" s="4" t="n"/>
      <c r="D28" s="4" t="n"/>
      <c r="E28" s="4" t="n"/>
    </row>
    <row r="29" ht="45" customHeight="1">
      <c r="A29" s="2" t="inlineStr">
        <is>
          <t>'런칭 전 총액'은 입점·샘플·초기 마케팅처럼 팔기 전에 쓰는 총비용입니다. '판매 시 …'는 팔 때마다 붙는 비용만 적습니다 (수수료·결제수수료·배송비·건당 광고비). 정액은 총액이 아니라 판매 단위 1개당 금액(판매 단위가 주문 1건이면 주문당 택배비도 여기), %는 퍼센트 숫자(예: 10)로 적으세요.</t>
        </is>
      </c>
    </row>
    <row r="30">
      <c r="A30" s="11" t="inlineStr">
        <is>
          <t>활동 (to-do)</t>
        </is>
      </c>
      <c r="B30" s="11" t="inlineStr">
        <is>
          <t>금액 / 값</t>
        </is>
      </c>
      <c r="C30" s="11" t="inlineStr">
        <is>
          <t>구분</t>
        </is>
      </c>
      <c r="D30" s="11" t="inlineStr">
        <is>
          <t>메모</t>
        </is>
      </c>
    </row>
    <row r="31">
      <c r="A31" s="6" t="n"/>
      <c r="B31" s="13" t="n"/>
      <c r="C31" s="6" t="n"/>
      <c r="D31" s="6" t="n"/>
    </row>
    <row r="32">
      <c r="A32" s="6" t="n"/>
      <c r="B32" s="13" t="n"/>
      <c r="C32" s="6" t="n"/>
      <c r="D32" s="6" t="n"/>
    </row>
    <row r="33">
      <c r="A33" s="6" t="n"/>
      <c r="B33" s="13" t="n"/>
      <c r="C33" s="6" t="n"/>
      <c r="D33" s="6" t="n"/>
    </row>
    <row r="34">
      <c r="A34" s="6" t="n"/>
      <c r="B34" s="13" t="n"/>
      <c r="C34" s="6" t="n"/>
      <c r="D34" s="6" t="n"/>
    </row>
    <row r="35">
      <c r="A35" s="6" t="n"/>
      <c r="B35" s="13" t="n"/>
      <c r="C35" s="6" t="n"/>
      <c r="D35" s="6" t="n"/>
    </row>
    <row r="36">
      <c r="A36" s="6" t="n"/>
      <c r="B36" s="13" t="n"/>
      <c r="C36" s="6" t="n"/>
      <c r="D36" s="6" t="n"/>
    </row>
    <row r="37">
      <c r="A37" s="6" t="n"/>
      <c r="B37" s="13" t="n"/>
      <c r="C37" s="6" t="n"/>
      <c r="D37" s="6" t="n"/>
    </row>
    <row r="38">
      <c r="A38" s="6" t="n"/>
      <c r="B38" s="13" t="n"/>
      <c r="C38" s="6" t="n"/>
      <c r="D38" s="6" t="n"/>
    </row>
    <row r="39">
      <c r="A39" s="6" t="n"/>
      <c r="B39" s="13" t="n"/>
      <c r="C39" s="6" t="n"/>
      <c r="D39" s="6" t="n"/>
    </row>
    <row r="40">
      <c r="A40" s="6" t="n"/>
      <c r="B40" s="13" t="n"/>
      <c r="C40" s="6" t="n"/>
      <c r="D40" s="6" t="n"/>
    </row>
    <row r="41">
      <c r="A41" s="11" t="inlineStr">
        <is>
          <t>런칭 전 총액 합계</t>
        </is>
      </c>
      <c r="B41" s="12">
        <f>SUMIF($C$31:$C$40,"런칭 전 총액",$B$31:$B$40)</f>
        <v/>
      </c>
    </row>
    <row r="42">
      <c r="A42" s="11" t="inlineStr">
        <is>
          <t>판매 시 정액 (판매 단위당) 합계</t>
        </is>
      </c>
      <c r="B42" s="12">
        <f>SUMIF($C$31:$C$40,"판매 시 정액 (판매 단위당)",$B$31:$B$40)</f>
        <v/>
      </c>
    </row>
    <row r="43">
      <c r="A43" s="11" t="inlineStr">
        <is>
          <t>판매 시 순매출 대비 % 합계</t>
        </is>
      </c>
      <c r="B43" s="14">
        <f>SUMIF($C$31:$C$40,"판매 시 순매출 대비 %",$B$31:$B$40)</f>
        <v/>
      </c>
    </row>
    <row r="44">
      <c r="A44" s="11" t="inlineStr">
        <is>
          <t>판매 시 지불액 대비 % 합계</t>
        </is>
      </c>
      <c r="B44" s="14">
        <f>SUMIF($C$31:$C$40,"판매 시 지불액 대비 %",$B$31:$B$40)</f>
        <v/>
      </c>
    </row>
    <row r="45">
      <c r="A45" s="14" t="inlineStr">
        <is>
          <t>구분을 고르지 않은 행 수</t>
        </is>
      </c>
      <c r="B45" s="15">
        <f>COUNTIFS($B$31:$B$40,"&lt;&gt;",$C$31:$C$40,"")</f>
        <v/>
      </c>
      <c r="E45" s="2" t="inlineStr">
        <is>
          <t>0이 아니면 구분을 선택하세요 (구분이 없는 행은 합계에 포함되지 않습니다)</t>
        </is>
      </c>
    </row>
    <row r="47">
      <c r="A47" s="3" t="inlineStr">
        <is>
          <t>3-2. 월 고정운영비 / Monthly fixed operating cost</t>
        </is>
      </c>
      <c r="B47" s="4" t="n"/>
      <c r="C47" s="4" t="n"/>
      <c r="D47" s="4" t="n"/>
      <c r="E47" s="4" t="n"/>
    </row>
    <row r="48" ht="15" customHeight="1">
      <c r="A48" s="2" t="inlineStr">
        <is>
          <t>물량과 무관하게 매달 나가는 비용 (임대료, 상시 인건비, 구독·툴 비용 등).</t>
        </is>
      </c>
    </row>
    <row r="49">
      <c r="A49" s="11" t="inlineStr">
        <is>
          <t>항목</t>
        </is>
      </c>
      <c r="B49" s="11" t="inlineStr">
        <is>
          <t>월 금액 (KRW)</t>
        </is>
      </c>
      <c r="C49" s="11" t="inlineStr">
        <is>
          <t>메모</t>
        </is>
      </c>
    </row>
    <row r="50">
      <c r="A50" s="6" t="n"/>
      <c r="B50" s="9" t="n"/>
      <c r="C50" s="6" t="n"/>
    </row>
    <row r="51">
      <c r="A51" s="6" t="n"/>
      <c r="B51" s="9" t="n"/>
      <c r="C51" s="6" t="n"/>
    </row>
    <row r="52">
      <c r="A52" s="6" t="n"/>
      <c r="B52" s="9" t="n"/>
      <c r="C52" s="6" t="n"/>
    </row>
    <row r="53">
      <c r="A53" s="6" t="n"/>
      <c r="B53" s="9" t="n"/>
      <c r="C53" s="6" t="n"/>
    </row>
    <row r="54">
      <c r="A54" s="6" t="n"/>
      <c r="B54" s="9" t="n"/>
      <c r="C54" s="6" t="n"/>
    </row>
    <row r="55">
      <c r="A55" s="6" t="n"/>
      <c r="B55" s="9" t="n"/>
      <c r="C55" s="6" t="n"/>
    </row>
    <row r="56">
      <c r="A56" s="11" t="inlineStr">
        <is>
          <t>월 고정운영비 합계</t>
        </is>
      </c>
      <c r="B56" s="12">
        <f>SUM($B$50:$B$55)</f>
        <v/>
      </c>
    </row>
    <row r="58">
      <c r="A58" s="3" t="inlineStr">
        <is>
          <t>4. 판정 / Verdict — 초도물량으로 본전이 되는가</t>
        </is>
      </c>
      <c r="B58" s="4" t="n"/>
      <c r="C58" s="4" t="n"/>
      <c r="D58" s="4" t="n"/>
      <c r="E58" s="4" t="n"/>
    </row>
    <row r="59" ht="15" customHeight="1">
      <c r="A59" s="2" t="inlineStr">
        <is>
          <t>초도 기준 판단용 계산입니다 (재고·외상 시차와 추가 생산은 반영하지 않음). 정식 계산은 웹 계산기에서 하세요.</t>
        </is>
      </c>
    </row>
    <row r="60">
      <c r="A60" s="11" t="inlineStr">
        <is>
          <t>항목</t>
        </is>
      </c>
      <c r="B60" s="11" t="inlineStr">
        <is>
          <t>값</t>
        </is>
      </c>
      <c r="C60" s="11" t="inlineStr"/>
      <c r="D60" s="11" t="inlineStr"/>
      <c r="E60" s="11" t="inlineStr">
        <is>
          <t>설명</t>
        </is>
      </c>
    </row>
    <row r="61">
      <c r="A61" s="14" t="inlineStr">
        <is>
          <t>필수 입력 완료</t>
        </is>
      </c>
      <c r="B61" s="14">
        <f>AND(ISNUMBER($B$10),ISNUMBER($B$11),OR($B$12="예",$B$12="아니오"),ISNUMBER($B$8),ISNUMBER($B$9))</f>
        <v/>
      </c>
      <c r="E61" s="2" t="inlineStr">
        <is>
          <t>판매가·부가세율·VAT 여부·수량·소진기간이 모두 입력되면 TRUE</t>
        </is>
      </c>
    </row>
    <row r="62">
      <c r="A62" s="14" t="inlineStr">
        <is>
          <t>순매출 (VAT 제외 판매가)</t>
        </is>
      </c>
      <c r="B62" s="12">
        <f>IF(NOT($B$61),"",IF($B$12="예",$B$10/(1+$B$11/100),$B$10))</f>
        <v/>
      </c>
    </row>
    <row r="63">
      <c r="A63" s="14" t="inlineStr">
        <is>
          <t>고객 지불액 (VAT 포함)</t>
        </is>
      </c>
      <c r="B63" s="12">
        <f>IF(NOT($B$61),"",IF($B$12="예",$B$10,$B$10*(1+$B$11/100)))</f>
        <v/>
      </c>
    </row>
    <row r="64">
      <c r="A64" s="14" t="inlineStr">
        <is>
          <t>판매 단위당 변동비 (판매 시)</t>
        </is>
      </c>
      <c r="B64" s="12">
        <f>IF(NOT($B$61),"",$B$42+$B$43/100*$B$62+$B$44/100*$B$63)</f>
        <v/>
      </c>
      <c r="E64" s="2" t="inlineStr">
        <is>
          <t>정액 + 순매출 대비 % × 순매출 + 지불액 대비 % × 지불액</t>
        </is>
      </c>
    </row>
    <row r="65">
      <c r="A65" s="14" t="inlineStr">
        <is>
          <t>판매 단위당 남는 금액</t>
        </is>
      </c>
      <c r="B65" s="12">
        <f>IF(NOT($B$61),"",$B$62-$B$64)</f>
        <v/>
      </c>
      <c r="E65" s="2" t="inlineStr">
        <is>
          <t>순매출 − 판매 단위당 변동비 (제작비·고정비 회수 전)</t>
        </is>
      </c>
    </row>
    <row r="66">
      <c r="A66" s="14" t="inlineStr">
        <is>
          <t>초도 총비용</t>
        </is>
      </c>
      <c r="B66" s="12">
        <f>IF(NOT($B$61),"",$B$27+$B$41)</f>
        <v/>
      </c>
      <c r="E66" s="2" t="inlineStr">
        <is>
          <t>만드는 총비용 + 런칭 전 총액</t>
        </is>
      </c>
    </row>
    <row r="67">
      <c r="A67" s="14" t="inlineStr">
        <is>
          <t>회수해야 할 총액</t>
        </is>
      </c>
      <c r="B67" s="12">
        <f>IF(NOT($B$61),"",$B$66+$B$56*$B$9)</f>
        <v/>
      </c>
      <c r="E67" s="2" t="inlineStr">
        <is>
          <t>초도 총비용 + 월 고정운영비 × 소진기간</t>
        </is>
      </c>
    </row>
    <row r="68">
      <c r="A68" s="14" t="inlineStr">
        <is>
          <t>본전에 필요한 누적 판매량</t>
        </is>
      </c>
      <c r="B68" s="16">
        <f>IF(NOT($B$61),"",IF($B$65&gt;0,$B$67/$B$65,"불가 (판매 단위당 남는 금액 ≤ 0)"))</f>
        <v/>
      </c>
      <c r="E68" s="2" t="inlineStr">
        <is>
          <t>회수해야 할 총액 ÷ 판매 단위당 남는 금액</t>
        </is>
      </c>
    </row>
    <row r="69">
      <c r="A69" s="14" t="inlineStr">
        <is>
          <t>필요 판매량 ÷ 수량</t>
        </is>
      </c>
      <c r="B69" s="17">
        <f>IF(NOT($B$61),"",IF(AND(ISNUMBER($B$68),$B$8&gt;0),$B$68/$B$8,""))</f>
        <v/>
      </c>
      <c r="E69" s="2" t="inlineStr">
        <is>
          <t>100% 이하여야 초도물량으로 본전 가능</t>
        </is>
      </c>
    </row>
    <row r="70">
      <c r="A70" s="14" t="inlineStr">
        <is>
          <t>필요 월 판매량 (소진기간 내 본전)</t>
        </is>
      </c>
      <c r="B70" s="16">
        <f>IF(NOT($B$61),"",IF(AND(ISNUMBER($B$68),$B$9&gt;0),$B$68/$B$9,""))</f>
        <v/>
      </c>
      <c r="E70" s="2" t="inlineStr">
        <is>
          <t>누적 필요 판매량 ÷ 소진기간</t>
        </is>
      </c>
    </row>
    <row r="71">
      <c r="A71" s="14" t="inlineStr">
        <is>
          <t>목표 월 판매량</t>
        </is>
      </c>
      <c r="B71" s="16">
        <f>IF(NOT($B$61),"",IF($B$9&gt;0,$B$8/$B$9,""))</f>
        <v/>
      </c>
      <c r="E71" s="2" t="inlineStr">
        <is>
          <t>수량 ÷ 소진기간</t>
        </is>
      </c>
    </row>
    <row r="72">
      <c r="A72" s="14" t="inlineStr">
        <is>
          <t>초도물량 전량 판매 시 손익</t>
        </is>
      </c>
      <c r="B72" s="12">
        <f>IF(NOT($B$61),"",$B$8*$B$65-$B$67)</f>
        <v/>
      </c>
      <c r="E72" s="2" t="inlineStr">
        <is>
          <t>수량 × 판매 단위당 남는 금액 − 회수해야 할 총액</t>
        </is>
      </c>
    </row>
    <row r="73">
      <c r="A73" s="14" t="inlineStr">
        <is>
          <t>초도물량 전량 판매 시 본전 판매가</t>
        </is>
      </c>
      <c r="B73" s="12">
        <f>IF(NOT($B$61),"",IF((1-$B$43/100-$B$44/100*(1+$B$11/100))&lt;=0,"불가 (수수료율 합계 과다)",IF($B$12="예",(1+$B$11/100),1)*(($B$67/$B$8)+$B$42)/(1-$B$43/100-$B$44/100*(1+$B$11/100))))</f>
        <v/>
      </c>
      <c r="E73" s="2" t="inlineStr">
        <is>
          <t>이 가격(입력한 VAT 기준)이면 소진기간 안에 전량 판매 시 손익 0</t>
        </is>
      </c>
    </row>
    <row r="74" ht="48" customHeight="1">
      <c r="A74" s="11" t="inlineStr">
        <is>
          <t>판정</t>
        </is>
      </c>
      <c r="B74" s="18">
        <f>IF(NOT($B$61),"필수 입력(판매가·부가세율·VAT 여부·수량·소진기간)을 채워 주세요",IF($B$65&lt;=0,"판매 단위당 남는 금액이 0 이하입니다 — 팔수록 손해. 가격·수수료를 다시 검토하세요",IF($B$69&gt;1,"초도물량을 전부 팔아도 본전이 안 됩니다 — 가격 인상, 비용 절감, 고정비 축소 또는 기간·물량 조정을 검토하세요","초도물량으로 본전 가능 — 소진기간 안에 누적 "&amp;TEXT($B$68,"#,##0.#")&amp;"단위(월 "&amp;TEXT($B$70,"#,##0.#")&amp;"단위) 이상 판매 필요, 목표는 월 "&amp;TEXT($B$71,"#,##0.#")&amp;"단위")))</f>
        <v/>
      </c>
    </row>
    <row r="76">
      <c r="A76" s="3" t="inlineStr">
        <is>
          <t>5. 계산기에 입력할 값 / Values to type into the calculator</t>
        </is>
      </c>
      <c r="B76" s="4" t="n"/>
      <c r="C76" s="4" t="n"/>
      <c r="D76" s="4" t="n"/>
      <c r="E76" s="4" t="n"/>
    </row>
    <row r="77" ht="45" customHeight="1">
      <c r="A77" s="2" t="inlineStr">
        <is>
          <t>웹 계산기의 같은 이름 칸에 옮겨 적으세요. 판매 단위당 직접원가는 초도 총비용으로 환산한 '초도 완전원가'라 양산 때보다 높게 나옵니다. 월 고정운영비에는 런칭 전 총액을 소진기간으로 나눈 월 상각이 포함됩니다 (계산기 결과는 이 시트의 판정과 근사치로만 같습니다).</t>
        </is>
      </c>
    </row>
    <row r="78">
      <c r="A78" s="11" t="inlineStr">
        <is>
          <t>실제 판매가 (KRW)</t>
        </is>
      </c>
      <c r="B78" s="12">
        <f>IF($B$10="","",$B$10)</f>
        <v/>
      </c>
    </row>
    <row r="79">
      <c r="A79" s="11" t="inlineStr">
        <is>
          <t>부가세율 (%)</t>
        </is>
      </c>
      <c r="B79" s="19">
        <f>IF($B$11="","",$B$11)</f>
        <v/>
      </c>
    </row>
    <row r="80">
      <c r="A80" s="11" t="inlineStr">
        <is>
          <t>VAT 포함가 체크</t>
        </is>
      </c>
      <c r="B80" s="14">
        <f>IF($B$12="","",IF($B$12="예","체크","해제"))</f>
        <v/>
      </c>
    </row>
    <row r="81">
      <c r="A81" s="11" t="inlineStr">
        <is>
          <t>직접원가 (판매 단위당, 초도 완전원가)</t>
        </is>
      </c>
      <c r="B81" s="12">
        <f>IF(NOT($B$61),"",IF($B$8&gt;0,$B$27/$B$8,""))</f>
        <v/>
      </c>
    </row>
    <row r="82">
      <c r="A82" s="11" t="inlineStr">
        <is>
          <t>변동비: 정액 (판매 단위당)</t>
        </is>
      </c>
      <c r="B82" s="12">
        <f>$B$42</f>
        <v/>
      </c>
    </row>
    <row r="83">
      <c r="A83" s="11" t="inlineStr">
        <is>
          <t>변동비: 순매출 대비 (%)</t>
        </is>
      </c>
      <c r="B83" s="14">
        <f>$B$43</f>
        <v/>
      </c>
    </row>
    <row r="84">
      <c r="A84" s="11" t="inlineStr">
        <is>
          <t>변동비: 지불액 대비 (%)</t>
        </is>
      </c>
      <c r="B84" s="14">
        <f>$B$44</f>
        <v/>
      </c>
    </row>
    <row r="85">
      <c r="A85" s="11" t="inlineStr">
        <is>
          <t>월 고정운영비 (런칭 전 총액 상각 포함, KRW)</t>
        </is>
      </c>
      <c r="B85" s="12">
        <f>IF(NOT($B$61),"",IF($B$9&gt;0,$B$56+$B$41/$B$9,""))</f>
        <v/>
      </c>
    </row>
    <row r="86">
      <c r="A86" s="11" t="inlineStr">
        <is>
          <t>월 계획 판매량 (판매 단위 수) — 목표 월 판매량</t>
        </is>
      </c>
      <c r="B86" s="16">
        <f>$B$71</f>
        <v/>
      </c>
    </row>
    <row r="87" ht="30" customHeight="1">
      <c r="A87" s="2" t="inlineStr">
        <is>
          <t>목표 공헌이익률·정가 대비 할인율·목표 시장가격은 이 시트에서 입력하지 않습니다. 위 값을 계산기에 넣은 뒤 계산기에서 정하며, 각각 MODE B(목표 가격 역산), MODE C(허용 직접원가)에서 쓰입니다.</t>
        </is>
      </c>
    </row>
  </sheetData>
  <mergeCells count="9">
    <mergeCell ref="A77:E77"/>
    <mergeCell ref="A29:E29"/>
    <mergeCell ref="A59:E59"/>
    <mergeCell ref="A48:E48"/>
    <mergeCell ref="A87:E87"/>
    <mergeCell ref="A2:E2"/>
    <mergeCell ref="A15:E15"/>
    <mergeCell ref="B74:E74"/>
    <mergeCell ref="A3:E3"/>
  </mergeCells>
  <dataValidations count="3">
    <dataValidation sqref="B6" showDropDown="0" showInputMessage="0" showErrorMessage="0" allowBlank="1" type="list">
      <formula1>"제조,서비스"</formula1>
    </dataValidation>
    <dataValidation sqref="B12" showDropDown="0" showInputMessage="0" showErrorMessage="0" allowBlank="1" type="list">
      <formula1>"예,아니오"</formula1>
    </dataValidation>
    <dataValidation sqref="C31 C32 C33 C34 C35 C36 C37 C38 C39 C40" showDropDown="0" showInputMessage="0" showErrorMessage="0" allowBlank="1" type="list">
      <formula1>"런칭 전 총액,판매 시 정액 (판매 단위당),판매 시 순매출 대비 %,판매 시 지불액 대비 %"</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1"/>
  <sheetViews>
    <sheetView showGridLines="0" workbookViewId="0">
      <pane ySplit="4" topLeftCell="A5" activePane="bottomLeft" state="frozen"/>
      <selection pane="bottomLeft" activeCell="A1" sqref="A1"/>
    </sheetView>
  </sheetViews>
  <sheetFormatPr baseColWidth="8" defaultRowHeight="15"/>
  <cols>
    <col width="42" customWidth="1" min="1" max="1"/>
    <col width="22" customWidth="1" min="2" max="2"/>
    <col width="26" customWidth="1" min="3" max="3"/>
    <col width="28" customWidth="1" min="4" max="4"/>
    <col width="56" customWidth="1" min="5" max="5"/>
  </cols>
  <sheetData>
    <row r="1">
      <c r="A1" s="1" t="inlineStr">
        <is>
          <t>양산 기준 정리 / Planning at scale</t>
        </is>
      </c>
    </row>
    <row r="2" ht="30" customHeight="1">
      <c r="A2" s="2" t="inlineStr">
        <is>
          <t>규모를 키워 다시 만들 때를 정리합니다. 이 탭의 값은 견적서나 근거 있는 가정으로 채우세요 (근거 없이 낙관적으로 쓰면 비교가 무의미합니다). 업종·부가세·VAT 포함 여부는 '초도' 탭 값을 그대로 씁니다.</t>
        </is>
      </c>
    </row>
    <row r="3" ht="15" customHeight="1">
      <c r="A3" s="2" t="inlineStr">
        <is>
          <t>판매가·변동비·월 고정운영비는 비워 두면 '초도' 탭 값을 그대로 씁니다. 바뀌는 항목만 입력하세요.</t>
        </is>
      </c>
    </row>
    <row r="5">
      <c r="A5" s="3" t="inlineStr">
        <is>
          <t>1. 양산 가정 / Assumptions at scale</t>
        </is>
      </c>
      <c r="B5" s="4" t="n"/>
      <c r="C5" s="4" t="n"/>
      <c r="D5" s="4" t="n"/>
      <c r="E5" s="4" t="n"/>
    </row>
    <row r="6">
      <c r="A6" s="5" t="inlineStr">
        <is>
          <t>양산 수량 (한 번에 만드는 수량, 판매 단위 수)</t>
        </is>
      </c>
      <c r="B6" s="9" t="n"/>
      <c r="E6" s="2" t="inlineStr">
        <is>
          <t>이 수량을 다시 만들 때의 반복 비용을 아래 2번에 적습니다</t>
        </is>
      </c>
    </row>
    <row r="7">
      <c r="A7" s="5" t="inlineStr">
        <is>
          <t>양산 시 월 목표 판매량 (판매 단위 수)</t>
        </is>
      </c>
      <c r="B7" s="20" t="n"/>
      <c r="E7" s="2" t="inlineStr">
        <is>
          <t>본전 판매가와 판정에 사용</t>
        </is>
      </c>
    </row>
    <row r="8">
      <c r="A8" s="5" t="inlineStr">
        <is>
          <t>양산 시 판매가 (KRW)</t>
        </is>
      </c>
      <c r="B8" s="9" t="n"/>
      <c r="E8" s="2" t="inlineStr">
        <is>
          <t>비우면 초도 판매가와 같음 (초도와 같은 VAT 기준)</t>
        </is>
      </c>
    </row>
    <row r="10">
      <c r="A10" s="3" t="inlineStr">
        <is>
          <t>2. 양산 시 만드는 비용 / Repeat production cost</t>
        </is>
      </c>
      <c r="B10" s="4" t="n"/>
      <c r="C10" s="4" t="n"/>
      <c r="D10" s="4" t="n"/>
      <c r="E10" s="4" t="n"/>
    </row>
    <row r="11" ht="30" customHeight="1">
      <c r="A11" s="2" t="inlineStr">
        <is>
          <t>같은 설비를 이미 갖고 있다고 보고, 양산 수량을 다시 만들 때 또 드는 비용(재료·가공·외주 제작·포장·건당 인건비)의 총비용을 적으세요. 초도 때 산 금형·장치는 여기에 다시 적지 않습니다.</t>
        </is>
      </c>
    </row>
    <row r="12">
      <c r="A12" s="11" t="inlineStr">
        <is>
          <t>활동 (to-do)</t>
        </is>
      </c>
      <c r="B12" s="11" t="inlineStr">
        <is>
          <t>총 비용 (KRW, 양산 수량 기준)</t>
        </is>
      </c>
      <c r="C12" s="11" t="inlineStr">
        <is>
          <t>메모</t>
        </is>
      </c>
    </row>
    <row r="13">
      <c r="A13" s="6" t="n"/>
      <c r="B13" s="9" t="n"/>
      <c r="C13" s="6" t="n"/>
    </row>
    <row r="14">
      <c r="A14" s="6" t="n"/>
      <c r="B14" s="9" t="n"/>
      <c r="C14" s="6" t="n"/>
    </row>
    <row r="15">
      <c r="A15" s="6" t="n"/>
      <c r="B15" s="9" t="n"/>
      <c r="C15" s="6" t="n"/>
    </row>
    <row r="16">
      <c r="A16" s="6" t="n"/>
      <c r="B16" s="9" t="n"/>
      <c r="C16" s="6" t="n"/>
    </row>
    <row r="17">
      <c r="A17" s="6" t="n"/>
      <c r="B17" s="9" t="n"/>
      <c r="C17" s="6" t="n"/>
    </row>
    <row r="18">
      <c r="A18" s="6" t="n"/>
      <c r="B18" s="9" t="n"/>
      <c r="C18" s="6" t="n"/>
    </row>
    <row r="19">
      <c r="A19" s="6" t="n"/>
      <c r="B19" s="9" t="n"/>
      <c r="C19" s="6" t="n"/>
    </row>
    <row r="20">
      <c r="A20" s="6" t="n"/>
      <c r="B20" s="9" t="n"/>
      <c r="C20" s="6" t="n"/>
    </row>
    <row r="21">
      <c r="A21" s="14" t="inlineStr">
        <is>
          <t>양산 시 만드는 총비용 합계</t>
        </is>
      </c>
      <c r="B21" s="12">
        <f>SUM($B$13:$B$20)</f>
        <v/>
      </c>
    </row>
    <row r="23">
      <c r="A23" s="3" t="inlineStr">
        <is>
          <t>3. 새로 드는 투자 / New investment</t>
        </is>
      </c>
      <c r="B23" s="4" t="n"/>
      <c r="C23" s="4" t="n"/>
      <c r="D23" s="4" t="n"/>
      <c r="E23" s="4" t="n"/>
    </row>
    <row r="24" ht="30" customHeight="1">
      <c r="A24" s="2" t="inlineStr">
        <is>
          <t>양산을 위해 새로 사는 설비나 증설 비용이 있으면 적으세요. 제품·서비스 수명주기(개월)로 나눠 월 고정비에 더합니다. 없으면 비워 두세요.</t>
        </is>
      </c>
    </row>
    <row r="25">
      <c r="A25" s="11" t="inlineStr">
        <is>
          <t>항목</t>
        </is>
      </c>
      <c r="B25" s="11" t="inlineStr">
        <is>
          <t>총 비용 (KRW)</t>
        </is>
      </c>
      <c r="C25" s="11" t="inlineStr">
        <is>
          <t>메모</t>
        </is>
      </c>
    </row>
    <row r="26">
      <c r="A26" s="6" t="n"/>
      <c r="B26" s="9" t="n"/>
      <c r="C26" s="6" t="n"/>
    </row>
    <row r="27">
      <c r="A27" s="6" t="n"/>
      <c r="B27" s="9" t="n"/>
      <c r="C27" s="6" t="n"/>
    </row>
    <row r="28">
      <c r="A28" s="6" t="n"/>
      <c r="B28" s="9" t="n"/>
      <c r="C28" s="6" t="n"/>
    </row>
    <row r="29">
      <c r="A29" s="6" t="n"/>
      <c r="B29" s="9" t="n"/>
      <c r="C29" s="6" t="n"/>
    </row>
    <row r="30">
      <c r="A30" s="14" t="inlineStr">
        <is>
          <t>새 투자 합계</t>
        </is>
      </c>
      <c r="B30" s="12">
        <f>SUM($B$26:$B$29)</f>
        <v/>
      </c>
    </row>
    <row r="31">
      <c r="A31" s="5" t="inlineStr">
        <is>
          <t>제품/서비스 수명주기 (개월)</t>
        </is>
      </c>
      <c r="B31" s="6" t="n"/>
      <c r="E31" s="2" t="inlineStr">
        <is>
          <t>새 투자가 있으면 입력 (장치는 내용연수와 수명주기 중 짧은 쪽)</t>
        </is>
      </c>
    </row>
    <row r="33">
      <c r="A33" s="3" t="inlineStr">
        <is>
          <t>4. 판매·고정비 변경분 / Overrides (비우면 초도 값)</t>
        </is>
      </c>
      <c r="B33" s="4" t="n"/>
      <c r="C33" s="4" t="n"/>
      <c r="D33" s="4" t="n"/>
      <c r="E33" s="4" t="n"/>
    </row>
    <row r="34">
      <c r="A34" s="5" t="inlineStr">
        <is>
          <t>판매 시 정액 (판매 단위당 합계, KRW)</t>
        </is>
      </c>
      <c r="B34" s="13" t="n"/>
      <c r="E34" s="2" t="inlineStr">
        <is>
          <t>비우면 초도의 판매 시 정액 합계</t>
        </is>
      </c>
    </row>
    <row r="35">
      <c r="A35" s="5" t="inlineStr">
        <is>
          <t>판매 시 순매출 대비 % 합계</t>
        </is>
      </c>
      <c r="B35" s="6" t="n"/>
      <c r="E35" s="2" t="inlineStr">
        <is>
          <t>비우면 초도 값</t>
        </is>
      </c>
    </row>
    <row r="36">
      <c r="A36" s="5" t="inlineStr">
        <is>
          <t>판매 시 지불액 대비 % 합계</t>
        </is>
      </c>
      <c r="B36" s="6" t="n"/>
      <c r="E36" s="2" t="inlineStr">
        <is>
          <t>비우면 초도 값</t>
        </is>
      </c>
    </row>
    <row r="37">
      <c r="A37" s="5" t="inlineStr">
        <is>
          <t>월 고정운영비 (KRW)</t>
        </is>
      </c>
      <c r="B37" s="9" t="n"/>
      <c r="E37" s="2" t="inlineStr">
        <is>
          <t>비우면 초도의 월 고정운영비 합계</t>
        </is>
      </c>
    </row>
    <row r="39">
      <c r="A39" s="3" t="inlineStr">
        <is>
          <t>5. 판정 / Verdict at scale</t>
        </is>
      </c>
      <c r="B39" s="4" t="n"/>
      <c r="C39" s="4" t="n"/>
      <c r="D39" s="4" t="n"/>
      <c r="E39" s="4" t="n"/>
    </row>
    <row r="40" ht="15" customHeight="1">
      <c r="A40" s="2" t="inlineStr">
        <is>
          <t>양산 기준 판단용 계산입니다. 정식 계산은 웹 계산기에서 하세요.</t>
        </is>
      </c>
    </row>
    <row r="41">
      <c r="A41" s="11" t="inlineStr">
        <is>
          <t>항목</t>
        </is>
      </c>
      <c r="B41" s="11" t="inlineStr">
        <is>
          <t>값</t>
        </is>
      </c>
      <c r="C41" s="11" t="inlineStr"/>
      <c r="D41" s="11" t="inlineStr"/>
      <c r="E41" s="11" t="inlineStr">
        <is>
          <t>설명</t>
        </is>
      </c>
    </row>
    <row r="42">
      <c r="A42" s="14" t="inlineStr">
        <is>
          <t>적용 판매가 (KRW)</t>
        </is>
      </c>
      <c r="B42" s="12">
        <f>IF(ISNUMBER($B$8),$B$8,IF(ISNUMBER('초도'!$B$10),'초도'!$B$10,""))</f>
        <v/>
      </c>
      <c r="E42" s="2" t="inlineStr">
        <is>
          <t>양산 판매가, 비었으면 초도 판매가</t>
        </is>
      </c>
    </row>
    <row r="43">
      <c r="A43" s="14" t="inlineStr">
        <is>
          <t>필수 입력 완료</t>
        </is>
      </c>
      <c r="B43" s="14">
        <f>AND(ISNUMBER($B$42),ISNUMBER('초도'!$B$11),OR('초도'!$B$12="예",'초도'!$B$12="아니오"),ISNUMBER($B$6),ISNUMBER($B$7))</f>
        <v/>
      </c>
      <c r="E43" s="2" t="inlineStr">
        <is>
          <t>적용 판매가·'초도' 탭의 부가세율·VAT 여부·양산 수량·월 목표 판매량이 입력되면 TRUE</t>
        </is>
      </c>
    </row>
    <row r="44">
      <c r="A44" s="14" t="inlineStr">
        <is>
          <t>순매출 (VAT 제외 판매가)</t>
        </is>
      </c>
      <c r="B44" s="12">
        <f>IF(NOT($B$43),"",IF('초도'!$B$12="예",$B$42/(1+'초도'!$B$11/100),$B$42))</f>
        <v/>
      </c>
    </row>
    <row r="45">
      <c r="A45" s="14" t="inlineStr">
        <is>
          <t>고객 지불액 (VAT 포함)</t>
        </is>
      </c>
      <c r="B45" s="12">
        <f>IF(NOT($B$43),"",IF('초도'!$B$12="예",$B$42,$B$42*(1+'초도'!$B$11/100)))</f>
        <v/>
      </c>
    </row>
    <row r="46">
      <c r="A46" s="14" t="inlineStr">
        <is>
          <t>판매 단위당 직접원가 (양산)</t>
        </is>
      </c>
      <c r="B46" s="12">
        <f>IF(NOT($B$43),"",IF($B$6&gt;0,$B$21/$B$6,"수량 &gt; 0 필요"))</f>
        <v/>
      </c>
      <c r="E46" s="2" t="inlineStr">
        <is>
          <t>양산 시 만드는 총비용 ÷ 양산 수량</t>
        </is>
      </c>
    </row>
    <row r="47">
      <c r="A47" s="14" t="inlineStr">
        <is>
          <t>적용 판매 시 정액 합계</t>
        </is>
      </c>
      <c r="B47" s="12">
        <f>IF(NOT($B$43),"",IF(ISNUMBER($B$34),$B$34,'초도'!$B$42))</f>
        <v/>
      </c>
    </row>
    <row r="48">
      <c r="A48" s="14" t="inlineStr">
        <is>
          <t>적용 순매출 대비 % 합계</t>
        </is>
      </c>
      <c r="B48" s="14">
        <f>IF(NOT($B$43),"",IF(ISNUMBER($B$35),$B$35,'초도'!$B$43))</f>
        <v/>
      </c>
    </row>
    <row r="49">
      <c r="A49" s="14" t="inlineStr">
        <is>
          <t>적용 지불액 대비 % 합계</t>
        </is>
      </c>
      <c r="B49" s="14">
        <f>IF(NOT($B$43),"",IF(ISNUMBER($B$36),$B$36,'초도'!$B$44))</f>
        <v/>
      </c>
    </row>
    <row r="50">
      <c r="A50" s="14" t="inlineStr">
        <is>
          <t>판매 단위당 변동비 (판매 시)</t>
        </is>
      </c>
      <c r="B50" s="12">
        <f>IF(NOT($B$43),"",$B$47+$B$48/100*$B$44+$B$49/100*$B$45)</f>
        <v/>
      </c>
    </row>
    <row r="51">
      <c r="A51" s="14" t="inlineStr">
        <is>
          <t>판매 단위당 공헌이익</t>
        </is>
      </c>
      <c r="B51" s="12">
        <f>IF(NOT($B$43),"",IF(ISNUMBER($B$46),$B$44-$B$46-$B$50,""))</f>
        <v/>
      </c>
      <c r="E51" s="2" t="inlineStr">
        <is>
          <t>순매출 − 판매 단위당 직접원가 − 판매 단위당 변동비</t>
        </is>
      </c>
    </row>
    <row r="52">
      <c r="A52" s="14" t="inlineStr">
        <is>
          <t>적용 월 고정운영비</t>
        </is>
      </c>
      <c r="B52" s="12">
        <f>IF(NOT($B$43),"",IF(ISNUMBER($B$37),$B$37,'초도'!$B$56))</f>
        <v/>
      </c>
    </row>
    <row r="53">
      <c r="A53" s="14" t="inlineStr">
        <is>
          <t>월 상각액 (새 투자)</t>
        </is>
      </c>
      <c r="B53" s="12">
        <f>IF(NOT($B$43),"",IF($B$30=0,0,IF(N($B$31)&gt;0,$B$30/$B$31,"수명주기 입력 필요")))</f>
        <v/>
      </c>
      <c r="E53" s="2" t="inlineStr">
        <is>
          <t>새 투자 ÷ 수명주기</t>
        </is>
      </c>
    </row>
    <row r="54">
      <c r="A54" s="14" t="inlineStr">
        <is>
          <t>월 고정비 (상각 포함)</t>
        </is>
      </c>
      <c r="B54" s="12">
        <f>IF(NOT($B$43),"",IF(ISNUMBER($B$53),$B$52+$B$53,""))</f>
        <v/>
      </c>
      <c r="E54" s="2" t="inlineStr">
        <is>
          <t>→ 계산기의 '월 고정운영비'에 입력</t>
        </is>
      </c>
    </row>
    <row r="55">
      <c r="A55" s="14" t="inlineStr">
        <is>
          <t>월 손익분기 판매량</t>
        </is>
      </c>
      <c r="B55" s="16">
        <f>IF(NOT($B$43),"",IF(OR(NOT(ISNUMBER($B$54)),NOT(ISNUMBER($B$51))),"",IF($B$51&gt;0,$B$54/$B$51,IF($B$54=0,"해당 없음","불가 (공헌이익 ≤ 0)"))))</f>
        <v/>
      </c>
      <c r="E55" s="2" t="inlineStr">
        <is>
          <t>월 고정비 ÷ 판매 단위당 공헌이익 (계산기 BEP와 같은 식)</t>
        </is>
      </c>
    </row>
    <row r="56">
      <c r="A56" s="14" t="inlineStr">
        <is>
          <t>월 손익분기 ÷ 월 목표 판매량</t>
        </is>
      </c>
      <c r="B56" s="17">
        <f>IF(NOT($B$43),"",IF(AND(ISNUMBER($B$55),$B$7&gt;0),$B$55/$B$7,""))</f>
        <v/>
      </c>
      <c r="E56" s="2" t="inlineStr">
        <is>
          <t>100% 이하여야 목표 판매 속도로 본전</t>
        </is>
      </c>
    </row>
    <row r="57">
      <c r="A57" s="14" t="inlineStr">
        <is>
          <t>월 손익 (목표 월 판매량 기준)</t>
        </is>
      </c>
      <c r="B57" s="12">
        <f>IF(NOT($B$43),"",IF(AND(ISNUMBER($B$54),ISNUMBER($B$51)),$B$7*$B$51-$B$54,""))</f>
        <v/>
      </c>
    </row>
    <row r="58">
      <c r="A58" s="14" t="inlineStr">
        <is>
          <t>월 목표 판매량에서 본전 판매가</t>
        </is>
      </c>
      <c r="B58" s="12">
        <f>IF(NOT($B$43),"",IF(OR(NOT(ISNUMBER($B$54)),NOT(ISNUMBER($B$46))),"",IF((1-$B$48/100-$B$49/100*(1+'초도'!$B$11/100))&lt;=0,"불가 (수수료율 합계 과다)",IF('초도'!$B$12="예",(1+'초도'!$B$11/100),1)*($B$46+$B$47+$B$54/$B$7)/(1-$B$48/100-$B$49/100*(1+'초도'!$B$11/100)))))</f>
        <v/>
      </c>
      <c r="E58" s="2" t="inlineStr">
        <is>
          <t>이 가격이면 월 목표 판매량에서 월 손익 0</t>
        </is>
      </c>
    </row>
    <row r="59" ht="48" customHeight="1">
      <c r="A59" s="11" t="inlineStr">
        <is>
          <t>판정</t>
        </is>
      </c>
      <c r="B59" s="18">
        <f>IF(NOT($B$43),"필수 입력(양산 수량·월 목표 판매량, 판매가, 초도 탭의 부가세율·VAT 여부)을 채워 주세요",IF(NOT(ISNUMBER($B$51)),"비용 입력을 확인하세요",IF($B$51&lt;=0,"판매 단위당 공헌이익이 0 이하입니다 — 팔수록 손해. 가격·원가·수수료를 다시 검토하세요",IF(NOT(ISNUMBER($B$56)),"고정비·수명주기 입력을 확인하세요",IF($B$56&gt;1,"목표 월 판매량으로는 본전이 안 됩니다 — 월 손익분기 "&amp;TEXT($B$55,"#,##0.#")&amp;"단위가 필요합니다","목표 월 판매량으로 본전 가능 — 월 "&amp;TEXT($B$55,"#,##0.#")&amp;"단위 이상 판매 필요")))))</f>
        <v/>
      </c>
    </row>
    <row r="61">
      <c r="A61" s="3" t="inlineStr">
        <is>
          <t>6. 계산기에 입력할 값 / Values to type into the calculator</t>
        </is>
      </c>
      <c r="B61" s="4" t="n"/>
      <c r="C61" s="4" t="n"/>
      <c r="D61" s="4" t="n"/>
      <c r="E61" s="4" t="n"/>
    </row>
    <row r="62" ht="15" customHeight="1">
      <c r="A62" s="2" t="inlineStr">
        <is>
          <t>웹 계산기의 같은 이름 칸에 옮겨 적으세요 (양산 기준).</t>
        </is>
      </c>
    </row>
    <row r="63">
      <c r="A63" s="11" t="inlineStr">
        <is>
          <t>실제 판매가 (KRW)</t>
        </is>
      </c>
      <c r="B63" s="12">
        <f>$B$42</f>
        <v/>
      </c>
    </row>
    <row r="64">
      <c r="A64" s="11" t="inlineStr">
        <is>
          <t>부가세율 (%)</t>
        </is>
      </c>
      <c r="B64" s="19">
        <f>IF('초도'!$B$11="","",'초도'!$B$11)</f>
        <v/>
      </c>
    </row>
    <row r="65">
      <c r="A65" s="11" t="inlineStr">
        <is>
          <t>VAT 포함가 체크</t>
        </is>
      </c>
      <c r="B65" s="14">
        <f>IF('초도'!$B$12="","",IF('초도'!$B$12="예","체크","해제"))</f>
        <v/>
      </c>
    </row>
    <row r="66">
      <c r="A66" s="11" t="inlineStr">
        <is>
          <t>직접원가 (판매 단위당, 양산)</t>
        </is>
      </c>
      <c r="B66" s="12">
        <f>$B$46</f>
        <v/>
      </c>
    </row>
    <row r="67">
      <c r="A67" s="11" t="inlineStr">
        <is>
          <t>변동비: 정액 (판매 단위당)</t>
        </is>
      </c>
      <c r="B67" s="12">
        <f>$B$47</f>
        <v/>
      </c>
    </row>
    <row r="68">
      <c r="A68" s="11" t="inlineStr">
        <is>
          <t>변동비: 순매출 대비 (%)</t>
        </is>
      </c>
      <c r="B68" s="14">
        <f>$B$48</f>
        <v/>
      </c>
    </row>
    <row r="69">
      <c r="A69" s="11" t="inlineStr">
        <is>
          <t>변동비: 지불액 대비 (%)</t>
        </is>
      </c>
      <c r="B69" s="14">
        <f>$B$49</f>
        <v/>
      </c>
    </row>
    <row r="70">
      <c r="A70" s="11" t="inlineStr">
        <is>
          <t>월 고정운영비 (상각 포함, KRW)</t>
        </is>
      </c>
      <c r="B70" s="12">
        <f>$B$54</f>
        <v/>
      </c>
    </row>
    <row r="71">
      <c r="A71" s="11" t="inlineStr">
        <is>
          <t>월 계획 판매량 (판매 단위 수) — 월 목표 판매량</t>
        </is>
      </c>
      <c r="B71" s="16">
        <f>IF(ISNUMBER($B$7),$B$7,"")</f>
        <v/>
      </c>
    </row>
  </sheetData>
  <mergeCells count="7">
    <mergeCell ref="A62:E62"/>
    <mergeCell ref="A24:E24"/>
    <mergeCell ref="A2:E2"/>
    <mergeCell ref="A11:E11"/>
    <mergeCell ref="B59:E59"/>
    <mergeCell ref="A40:E40"/>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showGridLines="0" workbookViewId="0">
      <pane ySplit="5" topLeftCell="A6" activePane="bottomLeft" state="frozen"/>
      <selection pane="bottomLeft" activeCell="A1" sqref="A1"/>
    </sheetView>
  </sheetViews>
  <sheetFormatPr baseColWidth="8" defaultRowHeight="15"/>
  <cols>
    <col width="44" customWidth="1" min="1" max="1"/>
    <col width="22" customWidth="1" min="2" max="2"/>
    <col width="22" customWidth="1" min="3" max="3"/>
    <col width="22" customWidth="1" min="4" max="4"/>
    <col width="50" customWidth="1" min="5" max="5"/>
  </cols>
  <sheetData>
    <row r="1">
      <c r="A1" s="1" t="inlineStr">
        <is>
          <t>초도 vs 양산 비교 / Comparison</t>
        </is>
      </c>
    </row>
    <row r="2" ht="15" customHeight="1">
      <c r="A2" s="2" t="inlineStr">
        <is>
          <t>두 탭의 값을 같은 정의로 나란히 보여줍니다. 양산 탭 값은 견적·가정이므로 '얼마나 개선되는가'의 방향을 보는 용도로 쓰세요.</t>
        </is>
      </c>
    </row>
    <row r="3" ht="30" customHeight="1">
      <c r="A3" s="2" t="inlineStr">
        <is>
          <t>월 손익분기는 계산기의 BEP와 같은 식(월 고정비 ÷ 판매 단위당 공헌이익)으로 양쪽을 맞췄습니다. 초도 쪽 직접원가는 초도 총비용으로 환산한 '초도 완전원가'입니다.</t>
        </is>
      </c>
    </row>
    <row r="5">
      <c r="A5" s="11" t="inlineStr">
        <is>
          <t>항목</t>
        </is>
      </c>
      <c r="B5" s="11" t="inlineStr">
        <is>
          <t>초도</t>
        </is>
      </c>
      <c r="C5" s="11" t="inlineStr">
        <is>
          <t>양산</t>
        </is>
      </c>
      <c r="D5" s="11" t="inlineStr">
        <is>
          <t>차이 (양산 − 초도)</t>
        </is>
      </c>
      <c r="E5" s="11" t="inlineStr">
        <is>
          <t>설명</t>
        </is>
      </c>
    </row>
    <row r="6">
      <c r="A6" s="11" t="inlineStr">
        <is>
          <t>판매가 (KRW)</t>
        </is>
      </c>
      <c r="B6" s="12">
        <f>'초도'!$B$10</f>
        <v/>
      </c>
      <c r="C6" s="12">
        <f>'양산'!$B$42</f>
        <v/>
      </c>
      <c r="D6" s="12">
        <f>IF(AND(ISNUMBER(B6),ISNUMBER(C6)),C6-B6,"")</f>
        <v/>
      </c>
      <c r="E6" s="2" t="inlineStr">
        <is>
          <t>양산 탭의 적용 판매가</t>
        </is>
      </c>
    </row>
    <row r="7">
      <c r="A7" s="11" t="inlineStr">
        <is>
          <t>순매출 (VAT 제외)</t>
        </is>
      </c>
      <c r="B7" s="12">
        <f>'초도'!$B$62</f>
        <v/>
      </c>
      <c r="C7" s="12">
        <f>'양산'!$B$44</f>
        <v/>
      </c>
      <c r="D7" s="12">
        <f>IF(AND(ISNUMBER(B7),ISNUMBER(C7)),C7-B7,"")</f>
        <v/>
      </c>
      <c r="E7" s="2" t="inlineStr"/>
    </row>
    <row r="8">
      <c r="A8" s="11" t="inlineStr">
        <is>
          <t>판매 단위당 직접원가</t>
        </is>
      </c>
      <c r="B8" s="12">
        <f>'초도'!$B$81</f>
        <v/>
      </c>
      <c r="C8" s="12">
        <f>'양산'!$B$46</f>
        <v/>
      </c>
      <c r="D8" s="12">
        <f>IF(AND(ISNUMBER(B8),ISNUMBER(C8)),C8-B8,"")</f>
        <v/>
      </c>
      <c r="E8" s="2" t="inlineStr">
        <is>
          <t>초도: 만드는 총비용 ÷ 초도수량 / 양산: 반복 비용 ÷ 양산 수량</t>
        </is>
      </c>
    </row>
    <row r="9">
      <c r="A9" s="11" t="inlineStr">
        <is>
          <t>판매 단위당 변동비 (판매 시)</t>
        </is>
      </c>
      <c r="B9" s="12">
        <f>'초도'!$B$64</f>
        <v/>
      </c>
      <c r="C9" s="12">
        <f>'양산'!$B$50</f>
        <v/>
      </c>
      <c r="D9" s="12">
        <f>IF(AND(ISNUMBER(B9),ISNUMBER(C9)),C9-B9,"")</f>
        <v/>
      </c>
      <c r="E9" s="2" t="inlineStr"/>
    </row>
    <row r="10">
      <c r="A10" s="11" t="inlineStr">
        <is>
          <t>판매 단위당 공헌이익</t>
        </is>
      </c>
      <c r="B10" s="12">
        <f>IF(AND(ISNUMBER(B7),ISNUMBER(B8),ISNUMBER(B9)),B7-B8-B9,"")</f>
        <v/>
      </c>
      <c r="C10" s="12">
        <f>'양산'!$B$51</f>
        <v/>
      </c>
      <c r="D10" s="12">
        <f>IF(AND(ISNUMBER(B10),ISNUMBER(C10)),C10-B10,"")</f>
        <v/>
      </c>
      <c r="E10" s="2" t="inlineStr">
        <is>
          <t>순매출 − 판매 단위당 직접원가 − 판매 단위당 변동비</t>
        </is>
      </c>
    </row>
    <row r="11">
      <c r="A11" s="11" t="inlineStr">
        <is>
          <t>월 고정비 (상각 포함)</t>
        </is>
      </c>
      <c r="B11" s="12">
        <f>'초도'!$B$85</f>
        <v/>
      </c>
      <c r="C11" s="12">
        <f>'양산'!$B$54</f>
        <v/>
      </c>
      <c r="D11" s="12">
        <f>IF(AND(ISNUMBER(B11),ISNUMBER(C11)),C11-B11,"")</f>
        <v/>
      </c>
      <c r="E11" s="2" t="inlineStr">
        <is>
          <t>초도: 월 고정운영비 + 런칭 전 총액 ÷ 소진기간 / 양산: 월 고정운영비 + 새 투자 상각</t>
        </is>
      </c>
    </row>
    <row r="12">
      <c r="A12" s="11" t="inlineStr">
        <is>
          <t>월 손익분기 판매량</t>
        </is>
      </c>
      <c r="B12" s="16">
        <f>IF(AND(ISNUMBER(B11),ISNUMBER(B10)),IF(B10&gt;0,B11/B10,IF(B11=0,"해당 없음","불가 (공헌이익 ≤ 0)")),"")</f>
        <v/>
      </c>
      <c r="C12" s="16">
        <f>'양산'!$B$55</f>
        <v/>
      </c>
      <c r="D12" s="16">
        <f>IF(AND(ISNUMBER(B12),ISNUMBER(C12)),C12-B12,"")</f>
        <v/>
      </c>
      <c r="E12" s="2" t="inlineStr">
        <is>
          <t>월 고정비 ÷ 판매 단위당 공헌이익</t>
        </is>
      </c>
    </row>
    <row r="13">
      <c r="A13" s="11" t="inlineStr">
        <is>
          <t>본전 판매가 (VAT 기준은 초도 탭과 같음)</t>
        </is>
      </c>
      <c r="B13" s="12">
        <f>'초도'!$B$73</f>
        <v/>
      </c>
      <c r="C13" s="12">
        <f>'양산'!$B$58</f>
        <v/>
      </c>
      <c r="D13" s="12">
        <f>IF(AND(ISNUMBER(B13),ISNUMBER(C13)),C13-B13,"")</f>
        <v/>
      </c>
      <c r="E13" s="2" t="inlineStr">
        <is>
          <t>초도: 전량 판매·소진기간 기준 / 양산: 월 목표 판매량 기준 (기준 물량이 다릅니다)</t>
        </is>
      </c>
    </row>
    <row r="14">
      <c r="A14" s="11" t="inlineStr">
        <is>
          <t>판매 단위당 직접원가 절감률</t>
        </is>
      </c>
      <c r="B14" s="14" t="inlineStr"/>
      <c r="C14" s="17">
        <f>IF(AND(ISNUMBER(B8),ISNUMBER(C8),B8&gt;0),1-C8/B8,"")</f>
        <v/>
      </c>
      <c r="D14" s="14" t="inlineStr"/>
      <c r="E14" s="2" t="inlineStr">
        <is>
          <t>양산 시 판매 단위당 직접원가가 초도 대비 얼마나 줄었는지</t>
        </is>
      </c>
    </row>
    <row r="16" ht="48" customHeight="1">
      <c r="A16" s="11" t="inlineStr">
        <is>
          <t>해석</t>
        </is>
      </c>
      <c r="B16" s="18">
        <f>IF(NOT(AND(ISNUMBER(B10),ISNUMBER(C10))),"두 탭의 필수 입력을 채우면 비교가 표시됩니다","양산하면 판매 단위당 직접원가가 "&amp;TEXT(ABS(C14),"0%")&amp;IF(C14&gt;=0," 낮아지고"," 높아지고")&amp;", 판매 단위당 공헌이익은 "&amp;TEXT(B10,"#,##0")&amp;"원에서 "&amp;TEXT(C10,"#,##0")&amp;"원이 됩니다. 월 손익분기는 "&amp;IF(AND(ISNUMBER(B12),ISNUMBER(C12)),TEXT(B12,"#,##0.#")&amp;"단위에서 "&amp;TEXT(C12,"#,##0.#")&amp;"단위로 바뀝니다.","확인이 필요합니다."))</f>
        <v/>
      </c>
    </row>
  </sheetData>
  <mergeCells count="3">
    <mergeCell ref="A2:E2"/>
    <mergeCell ref="B16:E16"/>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8"/>
  <sheetViews>
    <sheetView showGridLines="0" workbookViewId="0">
      <selection activeCell="A1" sqref="A1"/>
    </sheetView>
  </sheetViews>
  <sheetFormatPr baseColWidth="8" defaultRowHeight="15"/>
  <cols>
    <col width="120" customWidth="1" min="1" max="1"/>
  </cols>
  <sheetData>
    <row r="1">
      <c r="A1" s="21" t="inlineStr">
        <is>
          <t>입력 정리 시트 사용법</t>
        </is>
      </c>
    </row>
    <row r="2" ht="48" customHeight="1">
      <c r="A2" s="22" t="inlineStr">
        <is>
          <t>이 시트는 웹 계산기에 넣을 값을 미리 정리하고, 처음 만드는 물량(초도)으로 본전이 되는지와 규모를 키웠을 때(양산)의 차이를 가늠해 보는 양식입니다. 입력한 내용은 이 파일(내 컴퓨터)에만 저장되며 어디로도 전송되지 않습니다. 노란 칸만 입력하고, 회색 칸은 자동 계산입니다.</t>
        </is>
      </c>
    </row>
    <row r="3">
      <c r="A3" s="23" t="inlineStr">
        <is>
          <t>탭 구성</t>
        </is>
      </c>
    </row>
    <row r="4" ht="80" customHeight="1">
      <c r="A4" s="22" t="inlineStr">
        <is>
          <t>· 초도: 처음 만드는 물량 기준. 만드는 활동·파는 활동의 총비용을 적고 판정을 봅니다.
· 양산: 규모를 키워 다시 만들 때 기준. 반복 비용, 새 투자, 바뀌는 변동비·고정비를 적습니다.
· 비교: 초도와 양산을 같은 정의로 나란히 보여줍니다 (입력 없음).
· 사용법: 지금 보는 탭입니다.</t>
        </is>
      </c>
    </row>
    <row r="5">
      <c r="A5" s="23" t="inlineStr">
        <is>
          <t>초도 탭 작성 순서</t>
        </is>
      </c>
    </row>
    <row r="6" ht="192" customHeight="1">
      <c r="A6" s="22" t="inlineStr">
        <is>
          <t>① 1. 가정: 업종, 판매 단위(낱개 1개, 6개입 세트, 1건처럼 한 번 팔 때의 단위. 판매가·수량·모든 비용이 이 단위 기준입니다), 초도생산 수량(판매 단위 수. 서비스는 수용 한도가 아니라 이 기간 안에 팔려는 목표 판매 수), 목표 소진기간(서비스는 목표 판매 기간, 개월), 판매가, 부가세, VAT 포함 여부를 입력합니다.
② 2. 만드는 활동: 런칭 직전까지 만드는 데 드는 일(to-do)을 한 줄씩 적고 그 일에 드는 총비용을 적습니다. 구분은 필요 없습니다. 제조는 재료·가공·금형·장치·포장, 서비스는 기획·개발·디자인 인건비 등입니다.
③ 3. 파는 활동: 런칭 전에 쓰는 총비용은 '런칭 전 총액'으로, 팔 때마다 붙는 비용은 '판매 시 …'로 구분을 고릅니다. 구분을 고르지 않은 행은 합계에서 빠지며, 표 아래 '구분을 고르지 않은 행 수'가 0이 아니면 선택하라는 뜻입니다.
④ 3-2. 월 고정운영비: 물량과 무관하게 매달 나가는 비용을 적습니다.
⑤ 4. 판정에서 본전 가능 여부를 읽고, 5. 계산기에 입력할 값을 웹 계산기에 옮겨 적습니다.</t>
        </is>
      </c>
    </row>
    <row r="7">
      <c r="A7" s="23" t="inlineStr">
        <is>
          <t>판매 단위</t>
        </is>
      </c>
    </row>
    <row r="8" ht="64" customHeight="1">
      <c r="A8" s="22" t="inlineStr">
        <is>
          <t>이 시트는 판매 품목 하나, 판매 단위 하나를 기준으로 정리합니다. 판매 단위가 낱개 1개이면 모든 금액이 낱개당, 6개입 세트이면 세트당, 주문 1건이면 주문당입니다. 단위가 다르면 환산해서 적으세요(낱개 원가 1,000원인 6개입 세트는 6,000원). 낱개와 묶음을 모두 판다면 주력 판매 단위로 한 번, 다른 단위로 한 번 따로 정리합니다.</t>
        </is>
      </c>
    </row>
    <row r="9">
      <c r="A9" s="23" t="inlineStr">
        <is>
          <t>판매 시 비용을 적는 법</t>
        </is>
      </c>
    </row>
    <row r="10" ht="128" customHeight="1">
      <c r="A10" s="22" t="inlineStr">
        <is>
          <t>· 판매 시 정액(판매 단위당): 판매 단위 1개를 팔 때마다 붙는 고정 금액(배송비 등). 총액이 아니라 판매 단위 1개당 금액을 적습니다. 판매 단위가 주문 1건이면 주문당 택배비가 그대로 해당합니다.
· 판매 시 순매출 대비 %: VAT를 뺀 판매가의 몇 %가 붙는 비용(플랫폼 수수료 등). 퍼센트 숫자만 적습니다(예: 10).
· 판매 시 지불액 대비 %: VAT를 포함한 고객 결제액의 몇 %가 붙는 비용(결제수수료 등).
제작 관련 비용은 2번에, 판매·배송 비용은 3번에만 적으세요. 같은 비용을 두 곳에 넣으면 두 번 차감됩니다.</t>
        </is>
      </c>
    </row>
    <row r="11">
      <c r="A11" s="23" t="inlineStr">
        <is>
          <t>양산 탭 작성 순서</t>
        </is>
      </c>
    </row>
    <row r="12" ht="128" customHeight="1">
      <c r="A12" s="22" t="inlineStr">
        <is>
          <t>① 양산 수량(한 번에 만드는 수량)과 양산 시 월 목표 판매량을 입력합니다.
② 같은 설비를 이미 갖고 있다고 보고, 양산 수량을 다시 만들 때 또 드는 비용의 총비용을 적습니다. 초도 때 산 금형·장치는 다시 적지 않습니다.
③ 양산을 위해 새로 사는 설비가 있으면 적고, 수명주기(개월)를 입력합니다.
④ 판매가·변동비·월 고정운영비가 초도와 다르면 4번 칸에 적습니다. 비워 두면 초도 값을 그대로 씁니다.
이 탭의 값은 견적서나 근거 있는 가정으로 채우세요. 근거 없이 낙관적으로 쓰면 비교가 의미가 없습니다.</t>
        </is>
      </c>
    </row>
    <row r="13">
      <c r="A13" s="23" t="inlineStr">
        <is>
          <t>판정 읽는 법</t>
        </is>
      </c>
    </row>
    <row r="14" ht="144" customHeight="1">
      <c r="A14" s="22" t="inlineStr">
        <is>
          <t>· 초도 판정: 초도 총비용과 소진기간 동안의 월 고정운영비를 합한 '회수해야 할 총액'을, 판매 단위당 남는 금액(순매출 − 판매 단위당 변동비)으로 나눈 것이 본전에 필요한 누적 판매량입니다. 이 수량이 초도수량의 100%를 넘으면 초도물량을 모두 팔아도 본전이 안 됩니다.
· 본전 판매가: 초도물량을 소진기간 안에 모두 팔았을 때 손익이 0이 되는 가격입니다(입력한 VAT 기준).
· 양산 판정: 판매 단위당 공헌이익(순매출 − 판매 단위당 직접원가 − 판매 단위당 변동비), 월 손익분기 판매량(월 고정비 ÷ 판매 단위당 공헌이익), 월 목표 판매량과의 비교를 봅니다.
· 비교 탭: 판매 단위당 직접원가 절감률, 판매 단위당 공헌이익, 월 손익분기가 초도에서 양산으로 어떻게 바뀌는지 봅니다.</t>
        </is>
      </c>
    </row>
    <row r="15">
      <c r="A15" s="23" t="inlineStr">
        <is>
          <t>계산기에 옮길 때 주의</t>
        </is>
      </c>
    </row>
    <row r="16" ht="96" customHeight="1">
      <c r="A16" s="22" t="inlineStr">
        <is>
          <t>· 초도 탭의 '직접원가(판매 단위당)'는 초도 총비용으로 환산한 초도 완전원가라 양산 때보다 높습니다. 지금 당장의 생존 판단에는 초도 값을, 규모를 키운 뒤의 가격 판단에는 양산 값을 쓰세요.
· 계산기는 판매 단위당 직접원가와 월 고정비로 계산하므로 이 시트의 판정과 결과가 근사치로만 같습니다.
· 판정은 재고·외상 같은 시차와 추가 생산을 반영하지 않는 간이 판단이며, 세법상 감가상각과 다를 수 있는 가격 판단용 관리 계산입니다.</t>
        </is>
      </c>
    </row>
    <row r="17">
      <c r="A17" s="23" t="inlineStr">
        <is>
          <t>작은 예시 (가상의 숫자)</t>
        </is>
      </c>
    </row>
    <row r="18" ht="112" customHeight="1">
      <c r="A18" s="22" t="inlineStr">
        <is>
          <t>초도 200개(판매 단위: 낱개 1개), 소진기간 6개월, 판매가 35,000원(VAT 포함 10%), 만드는 총비용 900만 원, 결제수수료 2.5%(판매 시 지불액 대비 %), 월 고정운영비 30만 원이면 → 회수해야 할 총액 1,080만 원, 판매 단위당 남는 금액 약 30,943원이라 본전에 약 349개가 필요합니다. 초도 200개를 모두 팔아도 본전이 안 된다는 판정이 나옵니다. 양산 탭에서 1,000개를 다시 만드는 반복 비용이 총 1,500만 원(판매 단위당 15,000원)이라면 판매 단위당 직접원가가 초도 45,000원에서 15,000원으로 줄어드는 것을 비교 탭에서 볼 수 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2026-10-08T04:05:27Z</dcterms:created>
  <dcterms:modified xmlns:dcterms="http://purl.org/dc/terms/" xmlns:xsi="http://www.w3.org/2001/XMLSchema-instance" xsi:type="dcterms:W3CDTF">2026-10-08T04:05:27Z</dcterms:modified>
</cp:coreProperties>
</file>