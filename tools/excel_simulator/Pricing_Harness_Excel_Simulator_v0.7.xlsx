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GUIDE" sheetId="1" state="visible" r:id="rId1"/>
    <sheet xmlns:r="http://schemas.openxmlformats.org/officeDocument/2006/relationships" name="01_SIMULATOR" sheetId="2" state="visible" r:id="rId2"/>
    <sheet xmlns:r="http://schemas.openxmlformats.org/officeDocument/2006/relationships" name="02_CALCULATION" sheetId="3" state="visible" r:id="rId3"/>
    <sheet xmlns:r="http://schemas.openxmlformats.org/officeDocument/2006/relationships" name="03_PARITY_TEST" sheetId="4" state="visible" r:id="rId4"/>
    <sheet xmlns:r="http://schemas.openxmlformats.org/officeDocument/2006/relationships" name="04_MODE_B_SIMULATOR" sheetId="5" state="visible" r:id="rId5"/>
    <sheet xmlns:r="http://schemas.openxmlformats.org/officeDocument/2006/relationships" name="05_MODE_B_PARITY_TEST" sheetId="6" state="visible" r:id="rId6"/>
    <sheet xmlns:r="http://schemas.openxmlformats.org/officeDocument/2006/relationships" name="06_MODE_C_SIMULATOR" sheetId="7" state="visible" r:id="rId7"/>
    <sheet xmlns:r="http://schemas.openxmlformats.org/officeDocument/2006/relationships" name="07_MODE_C_PARITY_TEST" sheetId="8" state="visible" r:id="rId8"/>
    <sheet xmlns:r="http://schemas.openxmlformats.org/officeDocument/2006/relationships" name="08_BEP_SIMULATOR" sheetId="9" state="visible" r:id="rId9"/>
    <sheet xmlns:r="http://schemas.openxmlformats.org/officeDocument/2006/relationships" name="09_BEP_PARITY_TEST" sheetId="10" state="visible" r:id="rId10"/>
    <sheet xmlns:r="http://schemas.openxmlformats.org/officeDocument/2006/relationships" name="10_SCENARIO_COMPARE" sheetId="11" state="visible" r:id="rId11"/>
    <sheet xmlns:r="http://schemas.openxmlformats.org/officeDocument/2006/relationships" name="11_SCENARIO_COMPARE_PARITY" sheetId="12" state="visible" r:id="rId12"/>
    <sheet xmlns:r="http://schemas.openxmlformats.org/officeDocument/2006/relationships" name="12_VOLUME_PROFIT_SIMULATOR" sheetId="13" state="visible" r:id="rId13"/>
    <sheet xmlns:r="http://schemas.openxmlformats.org/officeDocument/2006/relationships" name="13_VOLUME_PROFIT_PARITY_TEST" sheetId="14" state="visible" r:id="rId14"/>
  </sheets>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0.0000"/>
    <numFmt numFmtId="167" formatCode="#,##0.##"/>
    <numFmt numFmtId="168" formatCode="0.##"/>
    <numFmt numFmtId="169" formatCode="0.000000"/>
  </numFmts>
  <fonts count="10">
    <font>
      <name val="Calibri"/>
      <family val="2"/>
      <color theme="1"/>
      <sz val="11"/>
      <scheme val="minor"/>
    </font>
    <font>
      <name val="Calibri"/>
      <b val="1"/>
      <color rgb="00FFFFFF"/>
      <sz val="16"/>
    </font>
    <font>
      <name val="Calibri"/>
      <b val="1"/>
      <color rgb="00FFFFFF"/>
      <sz val="12"/>
    </font>
    <font>
      <name val="Calibri"/>
      <color rgb="001B2A38"/>
      <sz val="11"/>
    </font>
    <font>
      <name val="Calibri"/>
      <b val="1"/>
      <color rgb="00FFFFFF"/>
      <sz val="11"/>
    </font>
    <font>
      <name val="Calibri"/>
      <b val="1"/>
      <color rgb="001B2A38"/>
      <sz val="11"/>
    </font>
    <font>
      <name val="Calibri"/>
      <i val="1"/>
      <color rgb="005B6B77"/>
      <sz val="9"/>
    </font>
    <font>
      <name val="Calibri"/>
      <b val="1"/>
      <color rgb="00FFFFFF"/>
      <sz val="10"/>
    </font>
    <font>
      <name val="Calibri"/>
      <b val="1"/>
      <color rgb="001B2A38"/>
      <sz val="16"/>
    </font>
    <font>
      <b val="1"/>
      <color rgb="001C93C2"/>
      <sz val="14"/>
    </font>
  </fonts>
  <fills count="6">
    <fill>
      <patternFill/>
    </fill>
    <fill>
      <patternFill patternType="gray125"/>
    </fill>
    <fill>
      <patternFill patternType="solid">
        <fgColor rgb="000B3D5C"/>
      </patternFill>
    </fill>
    <fill>
      <patternFill patternType="solid">
        <fgColor rgb="001C93C2"/>
      </patternFill>
    </fill>
    <fill>
      <patternFill patternType="solid">
        <fgColor rgb="00FFF6CC"/>
      </patternFill>
    </fill>
    <fill>
      <patternFill patternType="solid">
        <fgColor rgb="00F7FAFC"/>
      </patternFill>
    </fill>
  </fills>
  <borders count="6">
    <border>
      <left/>
      <right/>
      <top/>
      <bottom/>
      <diagonal/>
    </border>
    <border>
      <left style="thin">
        <color rgb="00D9E2E8"/>
      </left>
      <right style="thin">
        <color rgb="00D9E2E8"/>
      </right>
      <top style="thin">
        <color rgb="00D9E2E8"/>
      </top>
      <bottom style="thin">
        <color rgb="00D9E2E8"/>
      </bottom>
    </border>
    <border>
      <left/>
      <right/>
      <top style="thin">
        <color rgb="00D9E2E8"/>
      </top>
      <bottom/>
      <diagonal/>
    </border>
    <border>
      <left/>
      <right style="thin">
        <color rgb="00D9E2E8"/>
      </right>
      <top style="thin">
        <color rgb="00D9E2E8"/>
      </top>
      <bottom/>
      <diagonal/>
    </border>
    <border>
      <left/>
      <right style="thin">
        <color rgb="00D9E2E8"/>
      </right>
      <top style="thin">
        <color rgb="00D9E2E8"/>
      </top>
      <bottom style="thin">
        <color rgb="00D9E2E8"/>
      </bottom>
      <diagonal/>
    </border>
    <border>
      <left/>
      <right/>
      <top style="thin">
        <color rgb="00D9E2E8"/>
      </top>
      <bottom style="thin">
        <color rgb="00D9E2E8"/>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applyAlignment="1" pivotButton="0" quotePrefix="0" xfId="0">
      <alignment vertical="top" wrapText="1"/>
    </xf>
    <xf numFmtId="0" fontId="4" fillId="2" borderId="0" applyAlignment="1" pivotButton="0" quotePrefix="0" xfId="0">
      <alignment horizontal="center"/>
    </xf>
    <xf numFmtId="0" fontId="3" fillId="0" borderId="1" applyAlignment="1" pivotButton="0" quotePrefix="0" xfId="0">
      <alignment vertical="center" wrapText="1"/>
    </xf>
    <xf numFmtId="0" fontId="0" fillId="2" borderId="0" pivotButton="0" quotePrefix="0" xfId="0"/>
    <xf numFmtId="0" fontId="0" fillId="3" borderId="0" pivotButton="0" quotePrefix="0" xfId="0"/>
    <xf numFmtId="0" fontId="3" fillId="0" borderId="0" applyAlignment="1" pivotButton="0" quotePrefix="0" xfId="0">
      <alignment vertical="center"/>
    </xf>
    <xf numFmtId="0" fontId="5" fillId="4" borderId="1" applyAlignment="1" pivotButton="0" quotePrefix="0" xfId="0">
      <alignment horizontal="right" vertical="center"/>
    </xf>
    <xf numFmtId="0" fontId="6" fillId="0" borderId="0" applyAlignment="1" pivotButton="0" quotePrefix="0" xfId="0">
      <alignment vertical="center"/>
    </xf>
    <xf numFmtId="3" fontId="5" fillId="4" borderId="1" applyAlignment="1" pivotButton="0" quotePrefix="0" xfId="0">
      <alignment horizontal="right" vertical="center"/>
    </xf>
    <xf numFmtId="164" fontId="5" fillId="4" borderId="1" applyAlignment="1" pivotButton="0" quotePrefix="0" xfId="0">
      <alignment horizontal="right" vertical="center"/>
    </xf>
    <xf numFmtId="4" fontId="5" fillId="0" borderId="1" applyAlignment="1" pivotButton="0" quotePrefix="0" xfId="0">
      <alignment horizontal="right" vertical="center"/>
    </xf>
    <xf numFmtId="10" fontId="5" fillId="0" borderId="1" applyAlignment="1" pivotButton="0" quotePrefix="0" xfId="0">
      <alignment horizontal="right" vertical="center"/>
    </xf>
    <xf numFmtId="0" fontId="5" fillId="0" borderId="1" applyAlignment="1" pivotButton="0" quotePrefix="0" xfId="0">
      <alignment horizontal="right" vertical="center"/>
    </xf>
    <xf numFmtId="0" fontId="3" fillId="0" borderId="1" applyAlignment="1" pivotButton="0" quotePrefix="0" xfId="0">
      <alignment horizontal="right" vertical="center"/>
    </xf>
    <xf numFmtId="0" fontId="7" fillId="2" borderId="0" applyAlignment="1" pivotButton="0" quotePrefix="0" xfId="0">
      <alignment horizontal="center" vertical="center"/>
    </xf>
    <xf numFmtId="3" fontId="8" fillId="5" borderId="1" applyAlignment="1" pivotButton="0" quotePrefix="0" xfId="0">
      <alignment horizontal="center" vertical="center"/>
    </xf>
    <xf numFmtId="164" fontId="8" fillId="5" borderId="1" applyAlignment="1" pivotButton="0" quotePrefix="0" xfId="0">
      <alignment horizontal="center" vertical="center"/>
    </xf>
    <xf numFmtId="0" fontId="5" fillId="0" borderId="1" pivotButton="0" quotePrefix="0" xfId="0"/>
    <xf numFmtId="4" fontId="0" fillId="0" borderId="1" applyAlignment="1" pivotButton="0" quotePrefix="0" xfId="0">
      <alignment horizontal="right"/>
    </xf>
    <xf numFmtId="0" fontId="9" fillId="0" borderId="0" applyAlignment="1" pivotButton="0" quotePrefix="0" xfId="0">
      <alignment horizontal="center"/>
    </xf>
    <xf numFmtId="0" fontId="6" fillId="0" borderId="1" applyAlignment="1" pivotButton="0" quotePrefix="0" xfId="0">
      <alignment horizontal="left"/>
    </xf>
    <xf numFmtId="0" fontId="6" fillId="0" borderId="0" applyAlignment="1" pivotButton="0" quotePrefix="0" xfId="0">
      <alignment vertical="top" wrapText="1"/>
    </xf>
    <xf numFmtId="4" fontId="3" fillId="0" borderId="1" applyAlignment="1" pivotButton="0" quotePrefix="0" xfId="0">
      <alignment horizontal="right" vertical="center"/>
    </xf>
    <xf numFmtId="165" fontId="3" fillId="0" borderId="1" applyAlignment="1" pivotButton="0" quotePrefix="0" xfId="0">
      <alignment horizontal="right" vertical="center"/>
    </xf>
    <xf numFmtId="0" fontId="6" fillId="0" borderId="0" pivotButton="0" quotePrefix="0" xfId="0"/>
    <xf numFmtId="10" fontId="3" fillId="0" borderId="1" applyAlignment="1" pivotButton="0" quotePrefix="0" xfId="0">
      <alignment horizontal="right" vertical="center"/>
    </xf>
    <xf numFmtId="10" fontId="0" fillId="0" borderId="1" applyAlignment="1" pivotButton="0" quotePrefix="0" xfId="0">
      <alignment horizontal="right"/>
    </xf>
    <xf numFmtId="0" fontId="0" fillId="0" borderId="1" applyAlignment="1" pivotButton="0" quotePrefix="0" xfId="0">
      <alignment horizontal="right"/>
    </xf>
    <xf numFmtId="0" fontId="3" fillId="0" borderId="0" applyAlignment="1" pivotButton="0" quotePrefix="0" xfId="0">
      <alignment vertical="center" wrapText="1"/>
    </xf>
    <xf numFmtId="165" fontId="5" fillId="0" borderId="1" applyAlignment="1" pivotButton="0" quotePrefix="0" xfId="0">
      <alignment horizontal="right" vertical="center"/>
    </xf>
    <xf numFmtId="0" fontId="5" fillId="0" borderId="1" applyAlignment="1" pivotButton="0" quotePrefix="0" xfId="0">
      <alignment horizontal="left"/>
    </xf>
    <xf numFmtId="0" fontId="0" fillId="0" borderId="4" pivotButton="0" quotePrefix="0" xfId="0"/>
    <xf numFmtId="165" fontId="0" fillId="0" borderId="1" applyAlignment="1" pivotButton="0" quotePrefix="0" xfId="0">
      <alignment horizontal="right"/>
    </xf>
    <xf numFmtId="0" fontId="3" fillId="0" borderId="1" applyAlignment="1" pivotButton="0" quotePrefix="0" xfId="0">
      <alignment horizontal="left"/>
    </xf>
    <xf numFmtId="4" fontId="8" fillId="5" borderId="1" applyAlignment="1" pivotButton="0" quotePrefix="0" xfId="0">
      <alignment horizontal="center" vertical="center"/>
    </xf>
    <xf numFmtId="0" fontId="0" fillId="0" borderId="1" pivotButton="0" quotePrefix="0" xfId="0"/>
    <xf numFmtId="0" fontId="6" fillId="0" borderId="0" applyAlignment="1" pivotButton="0" quotePrefix="0" xfId="0">
      <alignment vertical="center" wrapText="1"/>
    </xf>
    <xf numFmtId="4" fontId="5" fillId="4" borderId="1" applyAlignment="1" pivotButton="0" quotePrefix="0" xfId="0">
      <alignment horizontal="right" vertical="center"/>
    </xf>
    <xf numFmtId="0" fontId="0" fillId="0" borderId="5" pivotButton="0" quotePrefix="0" xfId="0"/>
    <xf numFmtId="4" fontId="0" fillId="0" borderId="1" pivotButton="0" quotePrefix="0" xfId="0"/>
    <xf numFmtId="166" fontId="3" fillId="0" borderId="1" applyAlignment="1" pivotButton="0" quotePrefix="0" xfId="0">
      <alignment horizontal="right" vertical="center"/>
    </xf>
    <xf numFmtId="166" fontId="0" fillId="0" borderId="1" pivotButton="0" quotePrefix="0" xfId="0"/>
    <xf numFmtId="167" fontId="5" fillId="4" borderId="1" applyAlignment="1" pivotButton="0" quotePrefix="0" xfId="0">
      <alignment horizontal="right" vertical="center"/>
    </xf>
    <xf numFmtId="168" fontId="5" fillId="4" borderId="1" applyAlignment="1" pivotButton="0" quotePrefix="0" xfId="0">
      <alignment horizontal="right" vertical="center"/>
    </xf>
    <xf numFmtId="0" fontId="4" fillId="2" borderId="0" pivotButton="0" quotePrefix="0" xfId="0"/>
    <xf numFmtId="0" fontId="5" fillId="0" borderId="1" applyAlignment="1" pivotButton="0" quotePrefix="0" xfId="0">
      <alignment horizontal="center" vertical="center"/>
    </xf>
    <xf numFmtId="3" fontId="5" fillId="0" borderId="1" applyAlignment="1" pivotButton="0" quotePrefix="0" xfId="0">
      <alignment horizontal="right" vertical="center"/>
    </xf>
    <xf numFmtId="164" fontId="5" fillId="0" borderId="1" applyAlignment="1" pivotButton="0" quotePrefix="0" xfId="0">
      <alignment horizontal="right" vertical="center"/>
    </xf>
    <xf numFmtId="169" fontId="3" fillId="0" borderId="1" applyAlignment="1" pivotButton="0" quotePrefix="0" xfId="0">
      <alignment horizontal="right" vertical="center"/>
    </xf>
    <xf numFmtId="3" fontId="3" fillId="0" borderId="1" applyAlignment="1" pivotButton="0" quotePrefix="0" xfId="0">
      <alignment horizontal="right" vertical="center"/>
    </xf>
    <xf numFmtId="3" fontId="0" fillId="0" borderId="1" applyAlignment="1" pivotButton="0" quotePrefix="0" xfId="0">
      <alignment horizontal="right"/>
    </xf>
    <xf numFmtId="164" fontId="3" fillId="0" borderId="1" applyAlignment="1" pivotButton="0" quotePrefix="0" xfId="0">
      <alignment horizontal="right" vertical="center"/>
    </xf>
    <xf numFmtId="164" fontId="0" fillId="0" borderId="1" applyAlignment="1" pivotButton="0" quotePrefix="0" xfId="0">
      <alignment horizontal="right"/>
    </xf>
  </cellXfs>
  <cellStyles count="1">
    <cellStyle name="Normal" xfId="0" builtinId="0" hidden="0"/>
  </cellStyles>
  <dxfs count="3">
    <dxf>
      <fill>
        <patternFill patternType="solid">
          <fgColor rgb="00FBE7E4"/>
        </patternFill>
      </fill>
    </dxf>
    <dxf>
      <fill>
        <patternFill patternType="solid">
          <fgColor rgb="00E6F4EA"/>
        </patternFill>
      </fill>
    </dxf>
    <dxf>
      <fill>
        <patternFill patternType="solid">
          <fgColor rgb="00FFF6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5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100" customWidth="1" min="2" max="2"/>
  </cols>
  <sheetData>
    <row r="2" ht="26" customHeight="1">
      <c r="B2" s="1" t="inlineStr">
        <is>
          <t>MODE A + MODE B + MODE C + BEP + Scenario Compare + Volume Profit Excel Simulator — Pricing Harness</t>
        </is>
      </c>
    </row>
    <row r="4" ht="20" customHeight="1">
      <c r="B4" s="2" t="inlineStr">
        <is>
          <t>Source of Truth 구조 (반드시 지켜야 하는 원칙)</t>
        </is>
      </c>
    </row>
    <row r="5" ht="32" customHeight="1">
      <c r="B5" s="3" t="inlineStr">
        <is>
          <t>A. Formula Source of Truth = docs/features/mode_a_current_price/SPEC.md (MODE A), docs/features/mode_b_target_price/SPEC.md (MODE B), docs/features/mode_c_allowable_cost/SPEC.md (MODE C), docs/features/bep/SPEC.md (BEP) — 계산식의 공식 기준.</t>
        </is>
      </c>
    </row>
    <row r="6" ht="32" customHeight="1">
      <c r="B6" s="3" t="inlineStr">
        <is>
          <t>B. Reference Implementation = core/engine/modes/mode_a.py, core/engine/modes/mode_b.py, core/engine/modes/mode_c.py, core/engine/modes/bep.py (Python), core/engine/economics.py(MODE A/BEP가 공유하는 Contribution Margin economic primitive — 실제 shared-cost 배부 엔진이 아님) — SPEC을 구현/테스트하는 기준 엔진. tests/test_mode_a.py 13/13, tests/test_mode_b.py 24/24, tests/test_mode_c.py 26/26, tests/test_bep.py 32/32 PASS.</t>
        </is>
      </c>
    </row>
    <row r="7" ht="32" customHeight="1">
      <c r="B7" s="3" t="inlineStr">
        <is>
          <t>C. Interactive Simulation Layer = 이 Excel 파일 — 사용자가 값을 바꿔가며 결과 변화를 체감하는 도구. 수식은 반드시 A/B와 동일한 논리를 따른다. Excel은 독립적인 계산 엔진이 아니며, Python과 다른 계산 규칙을 만들지 않는다.</t>
        </is>
      </c>
    </row>
    <row r="8" ht="32" customHeight="1">
      <c r="B8" s="3" t="inlineStr">
        <is>
          <t>D. Official Result Source = analysis_result.json (core/schemas/analysis_result.schema.json) — 실제 컨설팅 판단에 쓰는 공식 결과. Dashboard/Report/Quotation은 이 파일만 읽고, Excel 셀을 재계산하거나 직접 읽지 않는다.</t>
        </is>
      </c>
    </row>
    <row r="10" ht="20" customHeight="1">
      <c r="B10" s="2" t="inlineStr">
        <is>
          <t>blank ≠ 0 원칙</t>
        </is>
      </c>
    </row>
    <row r="11" ht="40" customHeight="1">
      <c r="B11" s="3" t="inlineStr">
        <is>
          <t>필수 입력이 비어 있으면 그 값에 의존하는 결과는 0이 아니라 "미입력" 또는 "계산불가"로 표시됩니다. #DIV/0!, #VALUE!, #N/A 같은 Excel 기본 오류가 사용자 화면에 그대로 노출되지 않도록 모든 계산 셀은 IFERROR로 감쌌습니다.</t>
        </is>
      </c>
    </row>
    <row r="13" ht="20" customHeight="1">
      <c r="B13" s="2" t="inlineStr">
        <is>
          <t>이번 버전(v0.7)이 완전히 지원하는 범위</t>
        </is>
      </c>
    </row>
    <row r="14" ht="28" customHeight="1">
      <c r="B14" s="3" t="inlineStr">
        <is>
          <t>• 01_SIMULATOR(MODE A)는 단일 컴포넌트 상품(simple one-time product, ecommerce product)만 대화형으로 지원합니다.</t>
        </is>
      </c>
    </row>
    <row r="15" ht="28" customHeight="1">
      <c r="B15" s="3" t="inlineStr">
        <is>
          <t>• 03_PARITY_TEST(MODE A)에서 두 시나리오(simple / ecommerce) 모두 Python 엔진 결과와 대조 검증되어 있습니다.</t>
        </is>
      </c>
    </row>
    <row r="16" ht="28" customHeight="1">
      <c r="B16" s="3" t="inlineStr">
        <is>
          <t>• 04_MODE_B_SIMULATOR는 단일 컴포넌트, shared-cost 없음 기준으로 목표가격(N/G/판매가/정가)을 대화형으로 계산합니다 — C/b/a는 이미 합산된 값을 입력합니다(01_SIMULATOR와 동일한 단순화).</t>
        </is>
      </c>
    </row>
    <row r="17" ht="28" customHeight="1">
      <c r="B17" s="3" t="inlineStr">
        <is>
          <t>• 05_MODE_B_PARITY_TEST에서 15개 시나리오 전부 Excel 실시간 재계산 vs Python 엔진으로 대조 검증되어 있습니다. Shared-cost 시나리오 2개(#14,#15)는 실제 배부(allocation) 금액을 계산하지는 않지만, Shared Cost Status 플래그로 UNKNOWN/ERROR를 정확히 산출하는지 실시간 대조합니다 — 아래 'Shared Cost' 항목 참고.</t>
        </is>
      </c>
    </row>
    <row r="18" ht="28" customHeight="1">
      <c r="B18" s="3" t="inlineStr">
        <is>
          <t>• 06_MODE_C_SIMULATOR는 단일 컴포넌트 기준으로 시장가격(target_market_price)과 목표 CM율로부터 허용원가(ADC)를 대화형으로 계산합니다 — F/b/a/실제직접원가는 이미 합산된 값을 입력합니다(04_MODE_B_SIMULATOR와 동일한 단순화). Variable Cost Allocation Status와 Direct Cost Allocation Status, 2개의 독립된 Excel-only 컨트롤을 사용합니다.</t>
        </is>
      </c>
    </row>
    <row r="19" ht="28" customHeight="1">
      <c r="B19" s="3" t="inlineStr">
        <is>
          <t>• 07_MODE_C_PARITY_TEST에서 CASE.md TC1-20 전부 Excel 실시간 재계산 vs Python 엔진으로 대조 검증되어 있습니다 — 특히 TC19/TC20은 Direct Cost Allocation Status를 UNKNOWN으로 바꿔도 allowable_direct_cost/expected_contribution_margin(_rate)이 전혀 영향받지 않는지(dependency isolation)를 실시간으로 검증합니다.</t>
        </is>
      </c>
    </row>
    <row r="20" ht="28" customHeight="1">
      <c r="B20" s="3" t="inlineStr">
        <is>
          <t>• 08_BEP_SIMULATOR는 단일 컴포넌트 기준으로 현재 실제가격(actual_price, MODE A와 동일한 가격 기준) + Contribution Margin + fixed_operating_cost로부터 손익분기 판매량(Q_BEP)을 대화형으로 계산합니다. Fixed Cost Allocation Status 1개의 Excel-only 컨트롤을 사용합니다.</t>
        </is>
      </c>
    </row>
    <row r="21" ht="28" customHeight="1">
      <c r="B21" s="3" t="inlineStr">
        <is>
          <t>• 09_BEP_PARITY_TEST에서 CASE.md TC1-23 + 보강 케이스 3개(TC24-26), 총 26개 중 25개가 Excel 실시간 재계산 vs Python 엔진으로 대조 검증되어 있습니다 — TC13(통화 미지원)만 항목별 통화 입력이 없어 reference-only입니다. Q_BEP가 숫자일 때는 Self-Check(|Q_BEP×CMu−FC|≤tolerance)로 Python 값을 그대로 복사하지 않았음을 독립 검증합니다.</t>
        </is>
      </c>
    </row>
    <row r="22" ht="28" customHeight="1">
      <c r="B22" s="3" t="inlineStr">
        <is>
          <t>• 10_SCENARIO_COMPARE는 하나의 Base Input + 최대 5개 시나리오(A~E) override로 MODE A/B/C/BEP를 각각 실행하고 결과를 나란히 비교합니다. Base + Override 방식이며, Scenario Compare 전용 계산 공식은 없습니다 — 기존 4개 모드의 formula chain을 시나리오별로 재사용/복제한 것입니다.</t>
        </is>
      </c>
    </row>
    <row r="23" ht="28" customHeight="1">
      <c r="B23" s="3" t="inlineStr">
        <is>
          <t>• 11_SCENARIO_COMPARE_PARITY에서 CASE.md TC1-37 중 대표 24개 케이스가 Excel 실시간 재계산 vs Python 엔진(core/engine/scenario_compare.py)으로 대조 검증되어 있습니다 — baseline self-delta status 전파, invalid baseline의 sibling absolute 보존, request-level ERROR(duplicate scenario_id/baseline not found)까지 포함합니다.</t>
        </is>
      </c>
    </row>
    <row r="24" ht="28" customHeight="1">
      <c r="B24" s="3" t="inlineStr">
        <is>
          <t>• 12_VOLUME_PROFIT_SIMULATOR는 단일 컴포넌트·월(per_month) 기준으로 월 계획 판매량(Planned Quantity)에서 총 순매출·총 공헌이익·영업이익·손익분기 판매량·안전한계를 대화형으로 계산합니다. 값 셀과 별도로 Status 열에 OK/ESTIMATED/UNKNOWN/ERROR/NOT_APPLICABLE/NOT_RUN을 표시합니다 — 정액(주문당) 비용이 있고 Units per Order(sales_plan.units_per_order)가 비어 있으면 판매량 의존 지표가 ESTIMATED(주문당 1개 판매 가정)이며, 값을 넣으면 주문당 비용을 그 값으로 나눠 개당 환산하고 지표는 OK가 됩니다(0 이하·문자는 ERROR). MODE A/BEP는 이 값을 읽지 않아 1이 아닐 때 이 시트의 단위 공헌이익·손익분기와 다릅니다. 음수 영업이익·음수 안전한계는 오류가 아닌 유효한 결과입니다. Excel-only 컨트롤 3개(Per-Order Cost Present, Fixed Cost Allocation Status, Sales Plan Present)를 사용합니다.</t>
        </is>
      </c>
    </row>
    <row r="25" ht="28" customHeight="1">
      <c r="B25" s="3" t="inlineStr">
        <is>
          <t>• 13_VOLUME_PROFIT_PARITY_TEST에서 43개 케이스(units_per_order 13개 포함) 전부 Excel 실시간 재계산 vs Python 엔진(core/engine/modes/volume_profit.py)으로 값·상태(ESTIMATED 포함)·모듈 상태·기간 basis를 대조 검증합니다. 경고 코드(warnings)는 Excel에 대응 셀이 없어 비교하지 않습니다. Volume Profit은 Scenario Compare(10/11번 시트)에 아직 연동되지 않았습니다.</t>
        </is>
      </c>
    </row>
    <row r="26" ht="28" customHeight="1">
      <c r="B26" s="3" t="inlineStr">
        <is>
          <t>• blank=UNKNOWN / 0=explicit zero 원칙은 MODE A, MODE B, MODE C, BEP, Scenario Compare, Volume Profit 모두 동일하게 적용됩니다.</t>
        </is>
      </c>
    </row>
    <row r="28" ht="20" customHeight="1">
      <c r="B28" s="2" t="inlineStr">
        <is>
          <t>Hybrid HW+SaaS — 참고용 (이 Excel에서 직접 계산하지 않음)</t>
        </is>
      </c>
    </row>
    <row r="29" ht="48" customHeight="1">
      <c r="B29" s="3" t="inlineStr">
        <is>
          <t>컴포넌트가 2개 이상인 하이브리드 상품은 단일-컴포넌트 Simulator 구조로 표현할 수 없어 이 Excel에서는 임의로 계산하지 않습니다. 아래는 Python Engine이 실제로 계산한 결과(core/schemas/examples/analysis_results/03_hybrid_hw_saas.analysis_result.json)를 그대로 옮긴 참고용 수치입니다 — 이 시트에서 재계산되지 않는 고정값입니다.</t>
        </is>
      </c>
    </row>
    <row r="30">
      <c r="B30" s="4" t="inlineStr">
        <is>
          <t>Component</t>
        </is>
      </c>
      <c r="C30" s="4" t="inlineStr">
        <is>
          <t>Gross Profit</t>
        </is>
      </c>
      <c r="D30" s="4" t="inlineStr">
        <is>
          <t>Gross Profit Rate</t>
        </is>
      </c>
      <c r="E30" s="4" t="inlineStr">
        <is>
          <t>Contribution Margin</t>
        </is>
      </c>
    </row>
    <row r="31" ht="30" customHeight="1">
      <c r="B31" s="5" t="inlineStr">
        <is>
          <t>hardware</t>
        </is>
      </c>
      <c r="C31" s="5" t="inlineStr">
        <is>
          <t>181.48 USD (OK)</t>
        </is>
      </c>
      <c r="D31" s="5" t="inlineStr">
        <is>
          <t>54.4% (OK)</t>
        </is>
      </c>
      <c r="E31" s="5" t="inlineStr">
        <is>
          <t>UNKNOWN — blended.allocation[pg_fee, channel_fee, maintenance_visit] 미구현</t>
        </is>
      </c>
    </row>
    <row r="32" ht="30" customHeight="1">
      <c r="B32" s="5" t="inlineStr">
        <is>
          <t>saas_subscription</t>
        </is>
      </c>
      <c r="C32" s="5" t="inlineStr">
        <is>
          <t>22.59 USD (OK)</t>
        </is>
      </c>
      <c r="D32" s="5" t="inlineStr">
        <is>
          <t>87.1% (OK)</t>
        </is>
      </c>
      <c r="E32" s="5" t="inlineStr">
        <is>
          <t>UNKNOWN — blended.allocation[pg_fee, channel_fee, maintenance_visit] 미구현</t>
        </is>
      </c>
    </row>
    <row r="34" ht="20" customHeight="1">
      <c r="B34" s="2" t="inlineStr">
        <is>
          <t>MODE B Shared Cost Status — Excel-only simulation control</t>
        </is>
      </c>
    </row>
    <row r="35" ht="68" customHeight="1">
      <c r="B35" s="3" t="inlineStr">
        <is>
          <t>04_MODE_B_SIMULATOR / 05_MODE_B_PARITY_TEST의 'Shared Cost Status' (none/unresolved/invalid) 입력은 client_input.schema.json의 정식 필드가 아닙니다. Shared Cost Status is an Excel simulation control only. It is not a field in client_input.schema.json. The production Python engine derives this state from actual cost item / applies_to_component / allocation_rule data (core/engine/modes/mode_b.py, dependency_rules.md §4) — never from a flag. 이 플래그는 shared 비용의 실제 배부(allocation) 금액을 계산하지 않고, 배부가 미구현/모순인 상태에서 MODE B가 UNKNOWN(unresolved) 또는 ERROR(invalid)를 정확히 산출하는지만 검증합니다 — Excel v0.2에도 실제 allocation engine은 추가되지 않았습니다. 아래는 05_MODE_B_PARITY_TEST의 #14/#15와 동일한 시나리오를 core/engine/modes/mode_b.py로 직접 실행한 결과(빌드 시점 고정값)입니다.</t>
        </is>
      </c>
    </row>
    <row r="36">
      <c r="B36" s="4" t="inlineStr">
        <is>
          <t>Scenario</t>
        </is>
      </c>
      <c r="C36" s="4" t="inlineStr">
        <is>
          <t>denominator</t>
        </is>
      </c>
      <c r="D36" s="4" t="inlineStr">
        <is>
          <t>required_net_sales_ex_vat</t>
        </is>
      </c>
      <c r="E36" s="4" t="inlineStr">
        <is>
          <t>Warning code</t>
        </is>
      </c>
    </row>
    <row r="37" ht="30" customHeight="1">
      <c r="B37" s="5" t="inlineStr">
        <is>
          <t>#14 shared + fixed_share (unresolved)</t>
        </is>
      </c>
      <c r="C37" s="5" t="inlineStr">
        <is>
          <t>UNKNOWN</t>
        </is>
      </c>
      <c r="D37" s="5" t="inlineStr">
        <is>
          <t>UNKNOWN</t>
        </is>
      </c>
      <c r="E37" s="5" t="inlineStr">
        <is>
          <t>UNSUPPORTED_SHARED_COST_ALLOCATION</t>
        </is>
      </c>
    </row>
    <row r="38" ht="30" customHeight="1">
      <c r="B38" s="5" t="inlineStr">
        <is>
          <t>#15 shared + direct (invalid config)</t>
        </is>
      </c>
      <c r="C38" s="5" t="inlineStr">
        <is>
          <t>ERROR</t>
        </is>
      </c>
      <c r="D38" s="5" t="inlineStr">
        <is>
          <t>ERROR</t>
        </is>
      </c>
      <c r="E38" s="5" t="inlineStr">
        <is>
          <t>INVALID_ALLOCATION_CONFIGURATION</t>
        </is>
      </c>
    </row>
    <row r="39" ht="20" customHeight="1">
      <c r="B39" s="2" t="inlineStr">
        <is>
          <t>MODE C Allocation Status — Excel-only simulation controls (TWO, independent)</t>
        </is>
      </c>
    </row>
    <row r="40" ht="96" customHeight="1">
      <c r="B40" s="3" t="inlineStr">
        <is>
          <t>06_MODE_C_SIMULATOR / 07_MODE_C_PARITY_TEST는 'Variable Cost Allocation Status'와 'Direct Cost Allocation Status', 2개의 독립된 Excel-only 컨트롤을 사용합니다 — 둘 다 client_input.schema.json의 정식 필드가 아닙니다(Excel simulation control only, not a field in client_input.schema.json). Variable Cost Allocation Status는 F/b/a(변동비)에 대한 공유비용 배부 상태를 시뮬레이션하며, unresolved/invalid일 때 allowable_direct_cost(ADC)·direct_cost_gap·expected_contribution_margin(_rate)까지 전부 UNKNOWN/ERROR로 전파됩니다. Direct Cost Allocation Status는 실제 직접원가(actual_direct_cost)에 대한 공유비용 배부 상태만 시뮬레이션하며, unresolved/invalid여도 이는 actual_direct_cost와 direct_cost_gap에만 영향을 주고 allowable_direct_cost·expected_contribution_margin(_rate)은 절대 영향받지 않습니다 — 이것이 MODE C Excel의 가장 중요한 dependency-isolation 테스트입니다 (docs/features/mode_c_allowable_cost/SPEC.md §9, core/schemas/dependency_rules.md §6). 07_MODE_C_PARITY_TEST의 TC19/TC20이 이 분리를 실시간으로 증명합니다.</t>
        </is>
      </c>
    </row>
    <row r="42" ht="20" customHeight="1">
      <c r="B42" s="2" t="inlineStr">
        <is>
          <t>BEP — Break-Even Point</t>
        </is>
      </c>
    </row>
    <row r="43" ht="56" customHeight="1">
      <c r="B43" s="3" t="inlineStr">
        <is>
          <t>• 질문: 현재 가격 + Contribution Margin + fixed operating cost → 손익분기 판매량(Q_BEP)은? BEP는 항상 현재 실제가격(actual_price, MODE A와 동일한 가격 기준) 기준으로 계산합니다 — MODE B의 required price나 MODE C의 market price를 대입하는 기능은 없습니다(향후 Scenario Compare 범위).</t>
        </is>
      </c>
    </row>
    <row r="44" ht="56" customHeight="1">
      <c r="B44" s="3" t="inlineStr">
        <is>
          <t>• Fixed Operating Cost Basis(예: per_month)는 quantity unit이 아니라 analysis period context입니다. break_even_quantity_exact의 unit은 항상 "units"이고, Fixed Operating Cost가 정의된 기간을 별도의 'Analysis Period Basis' 셀로 분리해서 보여줍니다 — 둘을 하나로 섞어 표시하지 않습니다.</t>
        </is>
      </c>
    </row>
    <row r="45" ht="56" customHeight="1">
      <c r="B45" s="3" t="inlineStr">
        <is>
          <t>• blank=UNKNOWN / 0=explicit zero 원칙은 BEP에도 동일하게 적용됩니다 — 단, fixed_operating_cost 항목이 '아예 없음'과 '항목은 있지만 값이 비어 있음'은 서로 다른 상태입니다(전자는 확정된 0/OK, 후자는 UNKNOWN) — Fixed Cost Allocation Status='none'으로 전자를, 'component'+금액 공백으로 후자를 표현합니다.</t>
        </is>
      </c>
    </row>
    <row r="46" ht="56" customHeight="1">
      <c r="B46" s="3" t="inlineStr">
        <is>
          <t>• Contribution Margin per Unit(CMu)이 0 또는 음수인 경우는 계산 오류(ERROR)가 아니라 BEP 고유의 NOT_APPLICABLE 상태입니다 — 모든 입력값이 확정되어 있지만 손익분기 판매량이라는 개념 자체가 성립하지 않는 경우이며, 0이나 음수를 Q_BEP로 표시하지 않습니다. module status는 낮아지지 않습니다.</t>
        </is>
      </c>
    </row>
    <row r="47" ht="56" customHeight="1">
      <c r="B47" s="3" t="inlineStr">
        <is>
          <t>• BEP v0.1은 단일 컴포넌트 상품만 지원합니다. 09_BEP_PARITY_TEST의 Component Count 컨트롤(Excel-only, schema field 아님)로 2개 이상 컴포넌트 시나리오를 시뮬레이션하면 즉시 ERROR/MULTI_COMPONENT_BEP_NOT_SUPPORTED로 처리되고, 이후 어떤 basis/CM/fixed-cost 계산도 수행되지 않습니다 — 이 gate가 다른 모든 validation보다 우선합니다.</t>
        </is>
      </c>
    </row>
    <row r="48" ht="56" customHeight="1">
      <c r="B48" s="3" t="inlineStr">
        <is>
          <t>• 실제 shared-cost 배부(allocation) 엔진은 여전히 구현되어 있지 않습니다. Fixed Cost Allocation Status(component/unresolved/blended_only/invalid_direct)와 09_BEP_PARITY_TEST의 Fixed Cost Basis Consistency는 전부 Excel-only 시뮬레이션 컨트롤이며 client_input.schema.json의 정식 필드가 아닙니다. 특히 blended_only는 다른 모드의 '배부 대상 아님 → 0으로 제외' 규칙을 그대로 쓰지 않고 UNKNOWN으로 처리합니다 — BEP의 분자가 바로 fixed_operating_cost이기 때문에, 실제 존재하는 고정비를 조용히 0으로 만드는 것을 방지하기 위한 의도적인 편차입니다(docs/features/bep/SPEC.md §12).</t>
        </is>
      </c>
    </row>
    <row r="50" ht="20" customHeight="1">
      <c r="B50" s="2" t="inlineStr">
        <is>
          <t>Scenario Compare — orchestration layer (not a new calculation mode)</t>
        </is>
      </c>
    </row>
    <row r="51" ht="56" customHeight="1">
      <c r="B51" s="3" t="inlineStr">
        <is>
          <t>• Scenario Compare는 새로운 가격 계산 엔진이 아니라, 기존 MODE A/B/C/BEP를 여러 가정(base + override)에 대해 반복 실행하고 그 결과를 나란히 비교하는 orchestration layer입니다. Contribution Margin/BEP/VAT normalization/cost allocation 규칙을 새로 정의하지 않으며, 모든 숫자는 4개 모드의 기존 출력을 그대로 읽어온 것입니다.</t>
        </is>
      </c>
    </row>
    <row r="52" ht="56" customHeight="1">
      <c r="B52" s="3" t="inlineStr">
        <is>
          <t>• Excel v0.1은 최대 5개 시나리오(A~E)로 제한됩니다 — 이는 presentation-layer 제한이며, Python Core(core/engine/scenario_compare.py)는 이 제한이 없습니다(2개 이상 임의 개수 지원).</t>
        </is>
      </c>
    </row>
    <row r="53" ht="56" customHeight="1">
      <c r="B53" s="3" t="inlineStr">
        <is>
          <t>• Baseline Scenario ID는 항상 명시적으로 지정해야 합니다 — 첫 번째 시나리오(컬럼 A)를 자동으로 baseline으로 취급하지 않습니다. Baseline이 활성 Scenario ID 중에 없으면 request-level ERROR입니다.</t>
        </is>
      </c>
    </row>
    <row r="54" ht="56" customHeight="1">
      <c r="B54" s="3" t="inlineStr">
        <is>
          <t>• Override 입력은 blank 하나로 'inherit'과 'explicit null'을 동시에 표현하지 않습니다 — 각 override 필드마다 Mode(inherit/null/value) 컨트롤을 따로 둡니다. inherit=base 값 유지(Python의 omitted와 동일), null=명시적 UNKNOWN(Python의 explicit null과 동일), value=Value 셀의 입력값 사용.</t>
        </is>
      </c>
    </row>
    <row r="55" ht="56" customHeight="1">
      <c r="B55" s="3" t="inlineStr">
        <is>
          <t>• Scenario ID / Cost Item ID는 array position(컬럼 순서)이 아니라 명시적 식별자입니다 — 컬럼을 재배치해도 baseline 참조나 override 대상이 바뀌지 않습니다(component_id/item_id 기반 identity, index 기반 identity 금지).</t>
        </is>
      </c>
    </row>
    <row r="56" ht="56" customHeight="1">
      <c r="B56" s="3" t="inlineStr">
        <is>
          <t>• Scenario Compare v0.1은 structural override(component/item 추가·삭제, component_id/item_id/cost_category/basis/applies_to_component/allocation_rule 변경)를 지원하지 않습니다 — value override(amount/rate/price 등)만 다룹니다.</t>
        </is>
      </c>
    </row>
    <row r="57" ht="56" customHeight="1">
      <c r="B57" s="3" t="inlineStr">
        <is>
          <t>• Multi-component 시나리오에서 MODE A/B/C는 가능한 범위를 계산하지만 BEP는 기존 MULTI_COMPONENT_BEP_NOT_SUPPORTED 규칙을 그대로 따릅니다 — Scenario Compare가 이를 우회하거나 단일 component로 축약하지 않습니다.</t>
        </is>
      </c>
    </row>
    <row r="58" ht="56" customHeight="1">
      <c r="B58" s="3" t="inlineStr">
        <is>
          <t>• Scenario Compare는 자동 ranking이나 recommendation을 하지 않습니다 — 여러 시나리오를 나란히 비교해서 보여주는 descriptive comparison layer일 뿐입니다. '최적 시나리오' 자동 선정은 향후 AI Pricing Strategy layer의 몫입니다.</t>
        </is>
      </c>
    </row>
  </sheetData>
  <mergeCells count="44">
    <mergeCell ref="B40"/>
    <mergeCell ref="B15"/>
    <mergeCell ref="B55"/>
    <mergeCell ref="B6"/>
    <mergeCell ref="B24"/>
    <mergeCell ref="B51"/>
    <mergeCell ref="B20"/>
    <mergeCell ref="B5"/>
    <mergeCell ref="B45"/>
    <mergeCell ref="B35"/>
    <mergeCell ref="B4"/>
    <mergeCell ref="B50"/>
    <mergeCell ref="B26"/>
    <mergeCell ref="B7"/>
    <mergeCell ref="B25"/>
    <mergeCell ref="B47"/>
    <mergeCell ref="B16"/>
    <mergeCell ref="B54"/>
    <mergeCell ref="B46"/>
    <mergeCell ref="B22"/>
    <mergeCell ref="B43"/>
    <mergeCell ref="B18"/>
    <mergeCell ref="B56"/>
    <mergeCell ref="B58"/>
    <mergeCell ref="B52"/>
    <mergeCell ref="B21"/>
    <mergeCell ref="B48"/>
    <mergeCell ref="B39"/>
    <mergeCell ref="B11"/>
    <mergeCell ref="B2"/>
    <mergeCell ref="B42"/>
    <mergeCell ref="B14"/>
    <mergeCell ref="B23"/>
    <mergeCell ref="B57"/>
    <mergeCell ref="B8"/>
    <mergeCell ref="B17"/>
    <mergeCell ref="B13"/>
    <mergeCell ref="B44"/>
    <mergeCell ref="B53"/>
    <mergeCell ref="B29"/>
    <mergeCell ref="B34"/>
    <mergeCell ref="B10"/>
    <mergeCell ref="B28"/>
    <mergeCell ref="B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3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6" customWidth="1" min="3" max="3"/>
    <col width="42" customWidth="1" min="4" max="4"/>
    <col hidden="1" width="5" customWidth="1" min="10" max="10"/>
  </cols>
  <sheetData>
    <row r="2" ht="26" customHeight="1">
      <c r="B2" s="1" t="inlineStr">
        <is>
          <t>01. MODE A Simulator — Interactive</t>
        </is>
      </c>
      <c r="C2" s="6" t="n"/>
      <c r="D2" s="6" t="n"/>
    </row>
    <row r="4" ht="20" customHeight="1">
      <c r="B4" s="2" t="inlineStr">
        <is>
          <t>INPUT (노란 셀만 입력)</t>
        </is>
      </c>
      <c r="C4" s="7" t="n"/>
    </row>
    <row r="5">
      <c r="B5" s="8" t="inlineStr">
        <is>
          <t>Product Name</t>
        </is>
      </c>
      <c r="C5" s="9" t="inlineStr">
        <is>
          <t>프리미엄 텀블러</t>
        </is>
      </c>
      <c r="D5" s="10" t="inlineStr">
        <is>
          <t>예시 시나리오 — 자유롭게 바꿔서 실험 가능</t>
        </is>
      </c>
    </row>
    <row r="6">
      <c r="B6" s="8" t="inlineStr">
        <is>
          <t>Actual Price</t>
        </is>
      </c>
      <c r="C6" s="11" t="n">
        <v>35000</v>
      </c>
      <c r="D6" s="8" t="inlineStr">
        <is>
          <t>실제 판매가격</t>
        </is>
      </c>
    </row>
    <row r="7">
      <c r="B7" s="8" t="inlineStr">
        <is>
          <t>Price Includes VAT</t>
        </is>
      </c>
      <c r="C7" s="9" t="b">
        <v>1</v>
      </c>
      <c r="D7" s="8" t="inlineStr">
        <is>
          <t>TRUE = 판매가에 VAT 포함 / FALSE = 별도 / 빈칸 = 모름</t>
        </is>
      </c>
    </row>
    <row r="8">
      <c r="B8" s="8" t="inlineStr">
        <is>
          <t>VAT Rate</t>
        </is>
      </c>
      <c r="C8" s="12" t="n">
        <v>0.1</v>
      </c>
      <c r="D8" s="8" t="inlineStr">
        <is>
          <t>Price Includes VAT=FALSE면 비워둬도 계산 가능</t>
        </is>
      </c>
    </row>
    <row r="9">
      <c r="B9" s="8" t="inlineStr">
        <is>
          <t>Product/Service Direct Cost</t>
        </is>
      </c>
      <c r="C9" s="11" t="n">
        <v>13500</v>
      </c>
      <c r="D9" s="8" t="inlineStr">
        <is>
          <t>Gross Profit 계산에 반영 (product_service_direct_cost)</t>
        </is>
      </c>
    </row>
    <row r="10">
      <c r="B10" s="8" t="inlineStr">
        <is>
          <t>Channel Fee Rate</t>
        </is>
      </c>
      <c r="C10" s="12" t="n">
        <v>0</v>
      </c>
      <c r="D10" s="8" t="inlineStr">
        <is>
          <t>rate_of_net_sales — Net Sales(ex VAT)에 곱함. 채널 없으면 0</t>
        </is>
      </c>
    </row>
    <row r="11">
      <c r="B11" s="8" t="inlineStr">
        <is>
          <t>PG Fee Rate</t>
        </is>
      </c>
      <c r="C11" s="12" t="n">
        <v>0.025</v>
      </c>
      <c r="D11" s="8" t="inlineStr">
        <is>
          <t>rate_of_gross_payment — Actual Price(결제금액)에 곱함</t>
        </is>
      </c>
    </row>
    <row r="12">
      <c r="B12" s="8" t="inlineStr">
        <is>
          <t>Delivery / Installation Cost</t>
        </is>
      </c>
      <c r="C12" s="11" t="n">
        <v>3000</v>
      </c>
      <c r="D12" s="8" t="inlineStr">
        <is>
          <t>variable_selling_delivery (Harness 기본 분류)</t>
        </is>
      </c>
    </row>
    <row r="13">
      <c r="B13" s="8" t="inlineStr">
        <is>
          <t>Other Variable Selling Cost</t>
        </is>
      </c>
      <c r="C13" s="11" t="n">
        <v>0</v>
      </c>
      <c r="D13" s="8" t="inlineStr">
        <is>
          <t>기타 판매 변동비</t>
        </is>
      </c>
    </row>
    <row r="15" ht="20" customHeight="1">
      <c r="B15" s="2" t="inlineStr">
        <is>
          <t>RESULT (계산값 — 직접 입력 금지)</t>
        </is>
      </c>
      <c r="C15" s="7" t="n"/>
    </row>
    <row r="16">
      <c r="B16" s="8" t="inlineStr">
        <is>
          <t>Actual Price ex VAT</t>
        </is>
      </c>
      <c r="C16" s="13">
        <f>IFERROR(IF(ISBLANK($C$6),"미입력",IF(ISBLANK($C$7),"미입력",IF($C$7=FALSE,$C$6,IF(ISBLANK($C$8),"미입력",$C$6/(1+$C$8))))),"계산불가")</f>
        <v/>
      </c>
      <c r="D16" s="8" t="inlineStr">
        <is>
          <t>= actual_price / (1+vat_rate), 조건부 (SPEC.md §VAT 규칙)</t>
        </is>
      </c>
      <c r="J16">
        <f>IFERROR(IF(ISBLANK($C$6),"미입력",IF(ISBLANK($C$7),"미입력",IF($C$7=TRUE,$C$6,IF(ISBLANK($C$8),"미입력",$C$6*(1+$C$8))))),"계산불가")</f>
        <v/>
      </c>
    </row>
    <row r="17">
      <c r="B17" s="8" t="inlineStr">
        <is>
          <t>Direct Cost Total</t>
        </is>
      </c>
      <c r="C17" s="13">
        <f>IFERROR(IF(ISBLANK($C$9),"미입력",$C$9),"계산불가")</f>
        <v/>
      </c>
      <c r="D17" s="8" t="inlineStr">
        <is>
          <t>product_service_direct_cost 합계</t>
        </is>
      </c>
    </row>
    <row r="18">
      <c r="B18" s="8" t="inlineStr">
        <is>
          <t>Gross Profit</t>
        </is>
      </c>
      <c r="C18" s="13">
        <f>IFERROR(IF(AND(ISNUMBER($C$16),ISNUMBER($C$17)),$C$16-$C$17,"미입력"),"계산불가")</f>
        <v/>
      </c>
      <c r="D18" s="8" t="inlineStr">
        <is>
          <t>= Actual Price ex VAT − Direct Cost Total</t>
        </is>
      </c>
    </row>
    <row r="19">
      <c r="B19" s="8" t="inlineStr">
        <is>
          <t>Gross Profit Rate</t>
        </is>
      </c>
      <c r="C19" s="14">
        <f>IFERROR(IF(OR(NOT(ISNUMBER($C$18)),NOT(ISNUMBER($C$16))),"미입력",IF($C$16=0,"계산불가",$C$18/$C$16)),"계산불가")</f>
        <v/>
      </c>
      <c r="D19" s="8" t="inlineStr">
        <is>
          <t>= Gross Profit / Actual Price ex VAT</t>
        </is>
      </c>
    </row>
    <row r="20">
      <c r="B20" s="8" t="inlineStr">
        <is>
          <t>Variable Cost Total</t>
        </is>
      </c>
      <c r="C20" s="13">
        <f>IFERROR(IF(OR(ISBLANK($C$10),ISBLANK($C$11),ISBLANK($C$12),ISBLANK($C$13),NOT(ISNUMBER($C$16)),NOT(ISNUMBER($J$16))),"미입력",$C$16*$C$10+$J$16*$C$11+$C$12+$C$13),"계산불가")</f>
        <v/>
      </c>
      <c r="D20" s="8" t="inlineStr">
        <is>
          <t>channel_fee×NetSales + pg_fee×GrossPayment(=NetSales×(1+VAT)) + delivery + other</t>
        </is>
      </c>
    </row>
    <row r="21">
      <c r="B21" s="8" t="inlineStr">
        <is>
          <t>Contribution Margin</t>
        </is>
      </c>
      <c r="C21" s="13">
        <f>IFERROR(IF(AND(ISNUMBER($C$18),ISNUMBER($C$20)),$C$18-$C$20,"미입력"),"계산불가")</f>
        <v/>
      </c>
      <c r="D21" s="8" t="inlineStr">
        <is>
          <t>= Gross Profit − Variable Cost Total (fixed cost 제외)</t>
        </is>
      </c>
    </row>
    <row r="22">
      <c r="B22" s="8" t="inlineStr">
        <is>
          <t>Contribution Margin Rate</t>
        </is>
      </c>
      <c r="C22" s="14">
        <f>IFERROR(IF(OR(NOT(ISNUMBER($C$21)),NOT(ISNUMBER($C$16))),"미입력",IF($C$16=0,"계산불가",$C$21/$C$16)),"계산불가")</f>
        <v/>
      </c>
      <c r="D22" s="8" t="inlineStr">
        <is>
          <t>= Contribution Margin / Actual Price ex VAT</t>
        </is>
      </c>
    </row>
    <row r="24" ht="20" customHeight="1">
      <c r="B24" s="2" t="inlineStr">
        <is>
          <t>STATUS</t>
        </is>
      </c>
      <c r="C24" s="7" t="n"/>
    </row>
    <row r="25">
      <c r="B25" s="8" t="inlineStr">
        <is>
          <t>Data Complete / Incomplete / Error</t>
        </is>
      </c>
      <c r="C25" s="15">
        <f>IF((IF($C$16="계산불가",1,0)+IF($C$18="계산불가",1,0)+IF($C$19="계산불가",1,0)+IF($C$20="계산불가",1,0)+IF($C$21="계산불가",1,0)+IF($C$22="계산불가",1,0))&gt;0,"Error",IF((IF(NOT(ISNUMBER($C$16)),1,0)+IF(NOT(ISNUMBER($C$18)),1,0)+IF(NOT(ISNUMBER($C$19)),1,0)+IF(NOT(ISNUMBER($C$20)),1,0)+IF(NOT(ISNUMBER($C$21)),1,0)+IF(NOT(ISNUMBER($C$22)),1,0))&gt;0,"Incomplete","Complete"))</f>
        <v/>
      </c>
    </row>
    <row r="26">
      <c r="B26" s="8" t="inlineStr">
        <is>
          <t>Missing Inputs</t>
        </is>
      </c>
      <c r="C26" s="16">
        <f>IF($J$26="","없음",SUBSTITUTE(LEFT($J$26,LEN($J$26)-1),"|",", "))</f>
        <v/>
      </c>
      <c r="J26">
        <f>IF(ISBLANK($C$6),"판매가격|","")&amp;IF(ISBLANK($C$7),"VAT포함여부|","")&amp;IF(AND(NOT(ISBLANK($C$7)),ISBLANK($C$8),OR($C$7=TRUE,AND($C$7=FALSE,NOT(ISBLANK($C$11))))),"VAT율|","")&amp;IF(ISBLANK($C$9),"직접원가|","")&amp;IF(ISBLANK($C$10),"채널수수료율|","")&amp;IF(ISBLANK($C$11),"PG수수료율|","")&amp;IF(ISBLANK($C$12),"배송/설치비|","")&amp;IF(ISBLANK($C$13),"기타변동비|","")</f>
        <v/>
      </c>
    </row>
    <row r="27">
      <c r="B27" s="8" t="inlineStr">
        <is>
          <t>Blocking Warning</t>
        </is>
      </c>
      <c r="C27" s="16">
        <f>IF(AND(ISNUMBER($C$18),ISNUMBER($C$21)),"없음 — 핵심 지표 계산 완료","Gross Profit: "&amp;IF(ISNUMBER($C$18),"OK","UNKNOWN")&amp;" | Contribution Margin: "&amp;IF(ISNUMBER($C$21),"OK","UNKNOWN"))</f>
        <v/>
      </c>
    </row>
    <row r="29" ht="20" customHeight="1">
      <c r="B29" s="2" t="inlineStr">
        <is>
          <t>DASHBOARD CARD</t>
        </is>
      </c>
      <c r="C29" s="7" t="n"/>
      <c r="D29" s="7" t="n"/>
      <c r="E29" s="7" t="n"/>
      <c r="F29" s="7" t="n"/>
    </row>
    <row r="30">
      <c r="B30" s="17" t="inlineStr">
        <is>
          <t>Current Price</t>
        </is>
      </c>
      <c r="E30" s="17" t="inlineStr">
        <is>
          <t>Net Sales</t>
        </is>
      </c>
      <c r="H30" s="17" t="inlineStr">
        <is>
          <t>Gross Profit</t>
        </is>
      </c>
    </row>
    <row r="31" ht="26" customHeight="1">
      <c r="B31" s="18">
        <f>$C$6</f>
        <v/>
      </c>
      <c r="E31" s="18">
        <f>$C$16</f>
        <v/>
      </c>
      <c r="H31" s="18">
        <f>$C$18</f>
        <v/>
      </c>
    </row>
    <row r="33">
      <c r="B33" s="17" t="inlineStr">
        <is>
          <t>GP Rate</t>
        </is>
      </c>
      <c r="E33" s="17" t="inlineStr">
        <is>
          <t>Contribution Margin</t>
        </is>
      </c>
      <c r="H33" s="17" t="inlineStr">
        <is>
          <t>CM Rate</t>
        </is>
      </c>
    </row>
    <row r="34" ht="26" customHeight="1">
      <c r="B34" s="19">
        <f>$C$19</f>
        <v/>
      </c>
      <c r="E34" s="18">
        <f>$C$21</f>
        <v/>
      </c>
      <c r="H34" s="19">
        <f>$C$22</f>
        <v/>
      </c>
    </row>
  </sheetData>
  <mergeCells count="17">
    <mergeCell ref="E34:F34"/>
    <mergeCell ref="H34:I34"/>
    <mergeCell ref="B29:F29"/>
    <mergeCell ref="B24:C24"/>
    <mergeCell ref="B30:C30"/>
    <mergeCell ref="B15:C15"/>
    <mergeCell ref="E30:F30"/>
    <mergeCell ref="B33:C33"/>
    <mergeCell ref="H31:I31"/>
    <mergeCell ref="B34:C34"/>
    <mergeCell ref="E33:F33"/>
    <mergeCell ref="H33:I33"/>
    <mergeCell ref="B31:C31"/>
    <mergeCell ref="E31:F31"/>
    <mergeCell ref="B4:C4"/>
    <mergeCell ref="B2:D2"/>
    <mergeCell ref="H30:I30"/>
  </mergeCells>
  <conditionalFormatting sqref="B31">
    <cfRule type="expression" priority="1" dxfId="0">
      <formula>NOT(ISNUMBER(B31))</formula>
    </cfRule>
    <cfRule type="expression" priority="2" dxfId="1">
      <formula>ISNUMBER(B31)</formula>
    </cfRule>
  </conditionalFormatting>
  <conditionalFormatting sqref="E31">
    <cfRule type="expression" priority="3" dxfId="0">
      <formula>NOT(ISNUMBER(E31))</formula>
    </cfRule>
    <cfRule type="expression" priority="4" dxfId="1">
      <formula>ISNUMBER(E31)</formula>
    </cfRule>
  </conditionalFormatting>
  <conditionalFormatting sqref="H31">
    <cfRule type="expression" priority="5" dxfId="0">
      <formula>NOT(ISNUMBER(H31))</formula>
    </cfRule>
    <cfRule type="expression" priority="6" dxfId="1">
      <formula>ISNUMBER(H31)</formula>
    </cfRule>
  </conditionalFormatting>
  <conditionalFormatting sqref="B34">
    <cfRule type="expression" priority="7" dxfId="0">
      <formula>NOT(ISNUMBER(B34))</formula>
    </cfRule>
    <cfRule type="expression" priority="8" dxfId="1">
      <formula>ISNUMBER(B34)</formula>
    </cfRule>
  </conditionalFormatting>
  <conditionalFormatting sqref="E34">
    <cfRule type="expression" priority="9" dxfId="0">
      <formula>NOT(ISNUMBER(E34))</formula>
    </cfRule>
    <cfRule type="expression" priority="10" dxfId="1">
      <formula>ISNUMBER(E34)</formula>
    </cfRule>
  </conditionalFormatting>
  <conditionalFormatting sqref="H34">
    <cfRule type="expression" priority="11" dxfId="0">
      <formula>NOT(ISNUMBER(H34))</formula>
    </cfRule>
    <cfRule type="expression" priority="12" dxfId="1">
      <formula>ISNUMBER(H34)</formula>
    </cfRule>
  </conditionalFormatting>
  <dataValidations count="1">
    <dataValidation sqref="C7"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46" customWidth="1" min="3" max="3"/>
    <col width="20" customWidth="1" min="4" max="4"/>
  </cols>
  <sheetData>
    <row r="2" ht="26" customHeight="1">
      <c r="B2" s="1" t="inlineStr">
        <is>
          <t>02. Calculation Flow — 교육/QA용 (01_SIMULATOR 값을 그대로 참조)</t>
        </is>
      </c>
      <c r="C2" s="6" t="n"/>
    </row>
    <row r="4">
      <c r="B4" s="4" t="inlineStr">
        <is>
          <t>Step</t>
        </is>
      </c>
      <c r="C4" s="4" t="inlineStr">
        <is>
          <t>Live Value (from 01_SIMULATOR)</t>
        </is>
      </c>
      <c r="D4" s="4" t="inlineStr">
        <is>
          <t>Formula / Rule</t>
        </is>
      </c>
    </row>
    <row r="5" ht="30" customHeight="1">
      <c r="B5" s="20" t="inlineStr">
        <is>
          <t>① Actual Price</t>
        </is>
      </c>
      <c r="C5" s="21">
        <f>'01_SIMULATOR'!$C$6</f>
        <v/>
      </c>
      <c r="D5" s="5" t="inlineStr">
        <is>
          <t>입력된 판매가격 그대로</t>
        </is>
      </c>
    </row>
    <row r="6">
      <c r="B6" s="22" t="inlineStr">
        <is>
          <t>↓</t>
        </is>
      </c>
    </row>
    <row r="7" ht="30" customHeight="1">
      <c r="B7" s="20" t="inlineStr">
        <is>
          <t>② VAT 처리</t>
        </is>
      </c>
      <c r="C7" s="23" t="inlineStr">
        <is>
          <t>(VAT 포함여부에 따라 분기 — 결과는 다음 행 ③에 반영됨)</t>
        </is>
      </c>
      <c r="D7" s="5" t="inlineStr">
        <is>
          <t>price_includes_vat=FALSE → 그대로 사용 / TRUE → ÷(1+vat_rate)</t>
        </is>
      </c>
    </row>
    <row r="8">
      <c r="B8" s="22" t="inlineStr">
        <is>
          <t>↓</t>
        </is>
      </c>
    </row>
    <row r="9" ht="30" customHeight="1">
      <c r="B9" s="20" t="inlineStr">
        <is>
          <t>③ Net Sales (ex VAT)</t>
        </is>
      </c>
      <c r="C9" s="21">
        <f>'01_SIMULATOR'!$C$16</f>
        <v/>
      </c>
      <c r="D9" s="5" t="inlineStr">
        <is>
          <t>①을 VAT 규칙대로 변환한 값</t>
        </is>
      </c>
    </row>
    <row r="10">
      <c r="B10" s="22" t="inlineStr">
        <is>
          <t>↓</t>
        </is>
      </c>
    </row>
    <row r="11" ht="30" customHeight="1">
      <c r="B11" s="20" t="inlineStr">
        <is>
          <t>④ Direct Cost</t>
        </is>
      </c>
      <c r="C11" s="21">
        <f>'01_SIMULATOR'!$C$9</f>
        <v/>
      </c>
      <c r="D11" s="5" t="inlineStr">
        <is>
          <t>product_service_direct_cost</t>
        </is>
      </c>
    </row>
    <row r="12">
      <c r="B12" s="22" t="inlineStr">
        <is>
          <t>↓</t>
        </is>
      </c>
    </row>
    <row r="13" ht="30" customHeight="1">
      <c r="B13" s="20" t="inlineStr">
        <is>
          <t>⑤ Gross Profit</t>
        </is>
      </c>
      <c r="C13" s="21">
        <f>'01_SIMULATOR'!$C$18</f>
        <v/>
      </c>
      <c r="D13" s="5" t="inlineStr">
        <is>
          <t>③ − ④</t>
        </is>
      </c>
    </row>
    <row r="14">
      <c r="B14" s="22" t="inlineStr">
        <is>
          <t>↓</t>
        </is>
      </c>
    </row>
    <row r="15" ht="30" customHeight="1">
      <c r="B15" s="20" t="inlineStr">
        <is>
          <t>⑥ Variable Selling Cost</t>
        </is>
      </c>
      <c r="C15" s="21">
        <f>'01_SIMULATOR'!$C$20</f>
        <v/>
      </c>
      <c r="D15" s="5" t="inlineStr">
        <is>
          <t>channel/PG/배송/기타 변동비 합</t>
        </is>
      </c>
    </row>
    <row r="16">
      <c r="B16" s="22" t="inlineStr">
        <is>
          <t>↓</t>
        </is>
      </c>
    </row>
    <row r="17" ht="30" customHeight="1">
      <c r="B17" s="20" t="inlineStr">
        <is>
          <t>⑦ Contribution Margin</t>
        </is>
      </c>
      <c r="C17" s="21">
        <f>'01_SIMULATOR'!$C$21</f>
        <v/>
      </c>
      <c r="D17" s="5" t="inlineStr">
        <is>
          <t>⑤ − ⑥ (고정비 제외)</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P6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5" customWidth="1" min="3" max="3"/>
    <col width="15" customWidth="1" min="4" max="4"/>
    <col width="15" customWidth="1" min="5" max="5"/>
    <col width="15" customWidth="1" min="6" max="6"/>
    <col width="15"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2" ht="26" customHeight="1">
      <c r="B2" s="1" t="inlineStr">
        <is>
          <t>03. Python Engine vs Excel Formula — Parity Test</t>
        </is>
      </c>
      <c r="C2" s="6" t="n"/>
      <c r="D2" s="6" t="n"/>
      <c r="E2" s="6" t="n"/>
      <c r="F2" s="6" t="n"/>
      <c r="G2" s="6" t="n"/>
    </row>
    <row r="3" ht="30" customHeight="1">
      <c r="B3" s="24" t="inlineStr">
        <is>
          <t>각 케이스는 Excel에 동일 입력값을 리터럴로 심어 01_SIMULATOR와 같은 수식 패턴으로 독립 재계산하고, Python 참조값(core/engine/modes/mode_a.py 실행 결과, 빌드 시점에 고정)과 비교합니다. 허용오차 0.01(금액) / 0.0001(비율).</t>
        </is>
      </c>
    </row>
    <row r="5" ht="20" customHeight="1">
      <c r="B5" s="2" t="inlineStr">
        <is>
          <t>Case 1 — Simple one-time product</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Actual Price ex VAT</t>
        </is>
      </c>
      <c r="C7" s="25">
        <f>I8</f>
        <v/>
      </c>
      <c r="D7" s="21" t="n">
        <v>31818.18181818182</v>
      </c>
      <c r="E7" s="26">
        <f>IF(ISNUMBER(D7),IF(ISNUMBER(I8),ABS(I8-D7),"N/A"),"N/A")</f>
        <v/>
      </c>
      <c r="F7" s="15">
        <f>IF(ISNUMBER(D7),IF(AND(ISNUMBER(I8),ABS(I8-D7)&lt;=0.01),"PASS","FAIL"),IF(NOT(ISNUMBER(I8)),"PASS","FAIL"))</f>
        <v/>
      </c>
      <c r="H7" s="27" t="inlineStr">
        <is>
          <t>(local inputs)</t>
        </is>
      </c>
      <c r="I7" t="n">
        <v>35000</v>
      </c>
      <c r="J7" t="b">
        <v>1</v>
      </c>
      <c r="K7" t="n">
        <v>0.1</v>
      </c>
      <c r="L7" t="n">
        <v>13500</v>
      </c>
      <c r="M7" t="n">
        <v>0</v>
      </c>
      <c r="N7" t="n">
        <v>0.025</v>
      </c>
      <c r="O7" t="n">
        <v>3000</v>
      </c>
      <c r="P7" t="n">
        <v>0</v>
      </c>
    </row>
    <row r="8">
      <c r="B8" s="8" t="inlineStr">
        <is>
          <t>Direct Cost Total</t>
        </is>
      </c>
      <c r="C8" s="25">
        <f>J8</f>
        <v/>
      </c>
      <c r="D8" s="21" t="n">
        <v>13500</v>
      </c>
      <c r="E8" s="26">
        <f>IF(ISNUMBER(D8),IF(ISNUMBER(J8),ABS(J8-D8),"N/A"),"N/A")</f>
        <v/>
      </c>
      <c r="F8" s="15">
        <f>IF(ISNUMBER(D8),IF(AND(ISNUMBER(J8),ABS(J8-D8)&lt;=0.01),"PASS","FAIL"),IF(NOT(ISNUMBER(J8)),"PASS","FAIL"))</f>
        <v/>
      </c>
      <c r="I8">
        <f>IFERROR(IF(ISBLANK($I$7),"미입력",IF(ISBLANK($J$7),"미입력",IF($J$7=FALSE,$I$7,IF(ISBLANK($K$7),"미입력",$I$7/(1+$K$7))))),"계산불가")</f>
        <v/>
      </c>
      <c r="J8">
        <f>IFERROR(IF(ISBLANK($L$7),"미입력",$L$7),"계산불가")</f>
        <v/>
      </c>
      <c r="K8">
        <f>IFERROR(IF(AND(ISNUMBER(I8),ISNUMBER(J8)),I8-J8,"미입력"),"계산불가")</f>
        <v/>
      </c>
      <c r="L8">
        <f>IFERROR(IF(OR(NOT(ISNUMBER(K8)),NOT(ISNUMBER(I8))),"미입력",IF(I8=0,"계산불가",K8/I8)),"계산불가")</f>
        <v/>
      </c>
      <c r="M8">
        <f>IFERROR(IF(OR(ISBLANK($M$7),ISBLANK($N$7),ISBLANK($O$7),ISBLANK($P$7),NOT(ISNUMBER(I8)),NOT(ISNUMBER(P8))),"미입력",I8*$M$7+P8*$N$7+$O$7+$P$7),"계산불가")</f>
        <v/>
      </c>
      <c r="N8">
        <f>IFERROR(IF(AND(ISNUMBER(K8),ISNUMBER(M8)),K8-M8,"미입력"),"계산불가")</f>
        <v/>
      </c>
      <c r="O8">
        <f>IFERROR(IF(OR(NOT(ISNUMBER(N8)),NOT(ISNUMBER(I8))),"미입력",IF(I8=0,"계산불가",N8/I8)),"계산불가")</f>
        <v/>
      </c>
      <c r="P8">
        <f>IFERROR(IF(ISBLANK($I$7),"미입력",IF(ISBLANK($J$7),"미입력",IF($J$7=TRUE,$I$7,IF(ISBLANK($K$7),"미입력",$I$7*(1+$K$7))))),"계산불가")</f>
        <v/>
      </c>
    </row>
    <row r="9">
      <c r="B9" s="8" t="inlineStr">
        <is>
          <t>Gross Profit</t>
        </is>
      </c>
      <c r="C9" s="25">
        <f>K8</f>
        <v/>
      </c>
      <c r="D9" s="21" t="n">
        <v>18318.18181818182</v>
      </c>
      <c r="E9" s="26">
        <f>IF(ISNUMBER(D9),IF(ISNUMBER(K8),ABS(K8-D9),"N/A"),"N/A")</f>
        <v/>
      </c>
      <c r="F9" s="15">
        <f>IF(ISNUMBER(D9),IF(AND(ISNUMBER(K8),ABS(K8-D9)&lt;=0.01),"PASS","FAIL"),IF(NOT(ISNUMBER(K8)),"PASS","FAIL"))</f>
        <v/>
      </c>
    </row>
    <row r="10">
      <c r="B10" s="8" t="inlineStr">
        <is>
          <t>Gross Profit Rate</t>
        </is>
      </c>
      <c r="C10" s="28">
        <f>L8</f>
        <v/>
      </c>
      <c r="D10" s="29" t="n">
        <v>0.5757142857142857</v>
      </c>
      <c r="E10" s="26">
        <f>IF(ISNUMBER(D10),IF(ISNUMBER(L8),ABS(L8-D10),"N/A"),"N/A")</f>
        <v/>
      </c>
      <c r="F10" s="15">
        <f>IF(ISNUMBER(D10),IF(AND(ISNUMBER(L8),ABS(L8-D10)&lt;=0.0001),"PASS","FAIL"),IF(NOT(ISNUMBER(L8)),"PASS","FAIL"))</f>
        <v/>
      </c>
    </row>
    <row r="11">
      <c r="B11" s="8" t="inlineStr">
        <is>
          <t>Variable Cost Total</t>
        </is>
      </c>
      <c r="C11" s="25">
        <f>M8</f>
        <v/>
      </c>
      <c r="D11" s="21" t="n">
        <v>3875</v>
      </c>
      <c r="E11" s="26">
        <f>IF(ISNUMBER(D11),IF(ISNUMBER(M8),ABS(M8-D11),"N/A"),"N/A")</f>
        <v/>
      </c>
      <c r="F11" s="15">
        <f>IF(ISNUMBER(D11),IF(AND(ISNUMBER(M8),ABS(M8-D11)&lt;=0.01),"PASS","FAIL"),IF(NOT(ISNUMBER(M8)),"PASS","FAIL"))</f>
        <v/>
      </c>
    </row>
    <row r="12">
      <c r="B12" s="8" t="inlineStr">
        <is>
          <t>Contribution Margin</t>
        </is>
      </c>
      <c r="C12" s="25">
        <f>N8</f>
        <v/>
      </c>
      <c r="D12" s="21" t="n">
        <v>14443.18181818182</v>
      </c>
      <c r="E12" s="26">
        <f>IF(ISNUMBER(D12),IF(ISNUMBER(N8),ABS(N8-D12),"N/A"),"N/A")</f>
        <v/>
      </c>
      <c r="F12" s="15">
        <f>IF(ISNUMBER(D12),IF(AND(ISNUMBER(N8),ABS(N8-D12)&lt;=0.01),"PASS","FAIL"),IF(NOT(ISNUMBER(N8)),"PASS","FAIL"))</f>
        <v/>
      </c>
    </row>
    <row r="13">
      <c r="B13" s="8" t="inlineStr">
        <is>
          <t>Contribution Margin Rate</t>
        </is>
      </c>
      <c r="C13" s="28">
        <f>O8</f>
        <v/>
      </c>
      <c r="D13" s="29" t="n">
        <v>0.4539285714285714</v>
      </c>
      <c r="E13" s="26">
        <f>IF(ISNUMBER(D13),IF(ISNUMBER(O8),ABS(O8-D13),"N/A"),"N/A")</f>
        <v/>
      </c>
      <c r="F13" s="15">
        <f>IF(ISNUMBER(D13),IF(AND(ISNUMBER(O8),ABS(O8-D13)&lt;=0.0001),"PASS","FAIL"),IF(NOT(ISNUMBER(O8)),"PASS","FAIL"))</f>
        <v/>
      </c>
    </row>
    <row r="15" ht="20" customHeight="1">
      <c r="B15" s="2" t="inlineStr">
        <is>
          <t>Case 2 — VAT-inclusive, clean numbers</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Actual Price ex VAT</t>
        </is>
      </c>
      <c r="C17" s="25">
        <f>I18</f>
        <v/>
      </c>
      <c r="D17" s="21" t="n">
        <v>10000</v>
      </c>
      <c r="E17" s="26">
        <f>IF(ISNUMBER(D17),IF(ISNUMBER(I18),ABS(I18-D17),"N/A"),"N/A")</f>
        <v/>
      </c>
      <c r="F17" s="15">
        <f>IF(ISNUMBER(D17),IF(AND(ISNUMBER(I18),ABS(I18-D17)&lt;=0.01),"PASS","FAIL"),IF(NOT(ISNUMBER(I18)),"PASS","FAIL"))</f>
        <v/>
      </c>
      <c r="H17" s="27" t="inlineStr">
        <is>
          <t>(local inputs)</t>
        </is>
      </c>
      <c r="I17" t="n">
        <v>11000</v>
      </c>
      <c r="J17" t="b">
        <v>1</v>
      </c>
      <c r="K17" t="n">
        <v>0.1</v>
      </c>
      <c r="L17" t="n">
        <v>4000</v>
      </c>
      <c r="M17" t="n">
        <v>0</v>
      </c>
      <c r="N17" t="n">
        <v>0</v>
      </c>
      <c r="O17" t="n">
        <v>0</v>
      </c>
      <c r="P17" t="n">
        <v>0</v>
      </c>
    </row>
    <row r="18">
      <c r="B18" s="8" t="inlineStr">
        <is>
          <t>Direct Cost Total</t>
        </is>
      </c>
      <c r="C18" s="25">
        <f>J18</f>
        <v/>
      </c>
      <c r="D18" s="21" t="n">
        <v>4000</v>
      </c>
      <c r="E18" s="26">
        <f>IF(ISNUMBER(D18),IF(ISNUMBER(J18),ABS(J18-D18),"N/A"),"N/A")</f>
        <v/>
      </c>
      <c r="F18" s="15">
        <f>IF(ISNUMBER(D18),IF(AND(ISNUMBER(J18),ABS(J18-D18)&lt;=0.01),"PASS","FAIL"),IF(NOT(ISNUMBER(J18)),"PASS","FAIL"))</f>
        <v/>
      </c>
      <c r="I18">
        <f>IFERROR(IF(ISBLANK($I$17),"미입력",IF(ISBLANK($J$17),"미입력",IF($J$17=FALSE,$I$17,IF(ISBLANK($K$17),"미입력",$I$17/(1+$K$17))))),"계산불가")</f>
        <v/>
      </c>
      <c r="J18">
        <f>IFERROR(IF(ISBLANK($L$17),"미입력",$L$17),"계산불가")</f>
        <v/>
      </c>
      <c r="K18">
        <f>IFERROR(IF(AND(ISNUMBER(I18),ISNUMBER(J18)),I18-J18,"미입력"),"계산불가")</f>
        <v/>
      </c>
      <c r="L18">
        <f>IFERROR(IF(OR(NOT(ISNUMBER(K18)),NOT(ISNUMBER(I18))),"미입력",IF(I18=0,"계산불가",K18/I18)),"계산불가")</f>
        <v/>
      </c>
      <c r="M18">
        <f>IFERROR(IF(OR(ISBLANK($M$17),ISBLANK($N$17),ISBLANK($O$17),ISBLANK($P$17),NOT(ISNUMBER(I18)),NOT(ISNUMBER(P18))),"미입력",I18*$M$17+P18*$N$17+$O$17+$P$17),"계산불가")</f>
        <v/>
      </c>
      <c r="N18">
        <f>IFERROR(IF(AND(ISNUMBER(K18),ISNUMBER(M18)),K18-M18,"미입력"),"계산불가")</f>
        <v/>
      </c>
      <c r="O18">
        <f>IFERROR(IF(OR(NOT(ISNUMBER(N18)),NOT(ISNUMBER(I18))),"미입력",IF(I18=0,"계산불가",N18/I18)),"계산불가")</f>
        <v/>
      </c>
      <c r="P18">
        <f>IFERROR(IF(ISBLANK($I$17),"미입력",IF(ISBLANK($J$17),"미입력",IF($J$17=TRUE,$I$17,IF(ISBLANK($K$17),"미입력",$I$17*(1+$K$17))))),"계산불가")</f>
        <v/>
      </c>
    </row>
    <row r="19">
      <c r="B19" s="8" t="inlineStr">
        <is>
          <t>Gross Profit</t>
        </is>
      </c>
      <c r="C19" s="25">
        <f>K18</f>
        <v/>
      </c>
      <c r="D19" s="21" t="n">
        <v>6000</v>
      </c>
      <c r="E19" s="26">
        <f>IF(ISNUMBER(D19),IF(ISNUMBER(K18),ABS(K18-D19),"N/A"),"N/A")</f>
        <v/>
      </c>
      <c r="F19" s="15">
        <f>IF(ISNUMBER(D19),IF(AND(ISNUMBER(K18),ABS(K18-D19)&lt;=0.01),"PASS","FAIL"),IF(NOT(ISNUMBER(K18)),"PASS","FAIL"))</f>
        <v/>
      </c>
    </row>
    <row r="20">
      <c r="B20" s="8" t="inlineStr">
        <is>
          <t>Gross Profit Rate</t>
        </is>
      </c>
      <c r="C20" s="28">
        <f>L18</f>
        <v/>
      </c>
      <c r="D20" s="29" t="n">
        <v>0.6</v>
      </c>
      <c r="E20" s="26">
        <f>IF(ISNUMBER(D20),IF(ISNUMBER(L18),ABS(L18-D20),"N/A"),"N/A")</f>
        <v/>
      </c>
      <c r="F20" s="15">
        <f>IF(ISNUMBER(D20),IF(AND(ISNUMBER(L18),ABS(L18-D20)&lt;=0.0001),"PASS","FAIL"),IF(NOT(ISNUMBER(L18)),"PASS","FAIL"))</f>
        <v/>
      </c>
    </row>
    <row r="21">
      <c r="B21" s="8" t="inlineStr">
        <is>
          <t>Variable Cost Total</t>
        </is>
      </c>
      <c r="C21" s="25">
        <f>M18</f>
        <v/>
      </c>
      <c r="D21" s="21" t="n">
        <v>0</v>
      </c>
      <c r="E21" s="26">
        <f>IF(ISNUMBER(D21),IF(ISNUMBER(M18),ABS(M18-D21),"N/A"),"N/A")</f>
        <v/>
      </c>
      <c r="F21" s="15">
        <f>IF(ISNUMBER(D21),IF(AND(ISNUMBER(M18),ABS(M18-D21)&lt;=0.01),"PASS","FAIL"),IF(NOT(ISNUMBER(M18)),"PASS","FAIL"))</f>
        <v/>
      </c>
    </row>
    <row r="22">
      <c r="B22" s="8" t="inlineStr">
        <is>
          <t>Contribution Margin</t>
        </is>
      </c>
      <c r="C22" s="25">
        <f>N18</f>
        <v/>
      </c>
      <c r="D22" s="21" t="n">
        <v>6000</v>
      </c>
      <c r="E22" s="26">
        <f>IF(ISNUMBER(D22),IF(ISNUMBER(N18),ABS(N18-D22),"N/A"),"N/A")</f>
        <v/>
      </c>
      <c r="F22" s="15">
        <f>IF(ISNUMBER(D22),IF(AND(ISNUMBER(N18),ABS(N18-D22)&lt;=0.01),"PASS","FAIL"),IF(NOT(ISNUMBER(N18)),"PASS","FAIL"))</f>
        <v/>
      </c>
    </row>
    <row r="23">
      <c r="B23" s="8" t="inlineStr">
        <is>
          <t>Contribution Margin Rate</t>
        </is>
      </c>
      <c r="C23" s="28">
        <f>O18</f>
        <v/>
      </c>
      <c r="D23" s="29" t="n">
        <v>0.6</v>
      </c>
      <c r="E23" s="26">
        <f>IF(ISNUMBER(D23),IF(ISNUMBER(O18),ABS(O18-D23),"N/A"),"N/A")</f>
        <v/>
      </c>
      <c r="F23" s="15">
        <f>IF(ISNUMBER(D23),IF(AND(ISNUMBER(O18),ABS(O18-D23)&lt;=0.0001),"PASS","FAIL"),IF(NOT(ISNUMBER(O18)),"PASS","FAIL"))</f>
        <v/>
      </c>
    </row>
    <row r="25" ht="20" customHeight="1">
      <c r="B25" s="2" t="inlineStr">
        <is>
          <t>Case 3 — Ecommerce (channel fee + PG fee)</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Actual Price ex VAT</t>
        </is>
      </c>
      <c r="C27" s="25">
        <f>I28</f>
        <v/>
      </c>
      <c r="D27" s="21" t="n">
        <v>53636.36363636363</v>
      </c>
      <c r="E27" s="26">
        <f>IF(ISNUMBER(D27),IF(ISNUMBER(I28),ABS(I28-D27),"N/A"),"N/A")</f>
        <v/>
      </c>
      <c r="F27" s="15">
        <f>IF(ISNUMBER(D27),IF(AND(ISNUMBER(I28),ABS(I28-D27)&lt;=0.01),"PASS","FAIL"),IF(NOT(ISNUMBER(I28)),"PASS","FAIL"))</f>
        <v/>
      </c>
      <c r="H27" s="27" t="inlineStr">
        <is>
          <t>(local inputs)</t>
        </is>
      </c>
      <c r="I27" t="n">
        <v>59000</v>
      </c>
      <c r="J27" t="b">
        <v>1</v>
      </c>
      <c r="K27" t="n">
        <v>0.1</v>
      </c>
      <c r="L27" t="n">
        <v>17000</v>
      </c>
      <c r="M27" t="n">
        <v>0.13</v>
      </c>
      <c r="N27" t="n">
        <v>0.028</v>
      </c>
      <c r="O27" t="n">
        <v>2500</v>
      </c>
      <c r="P27" t="n">
        <v>0</v>
      </c>
    </row>
    <row r="28">
      <c r="B28" s="8" t="inlineStr">
        <is>
          <t>Direct Cost Total</t>
        </is>
      </c>
      <c r="C28" s="25">
        <f>J28</f>
        <v/>
      </c>
      <c r="D28" s="21" t="n">
        <v>17000</v>
      </c>
      <c r="E28" s="26">
        <f>IF(ISNUMBER(D28),IF(ISNUMBER(J28),ABS(J28-D28),"N/A"),"N/A")</f>
        <v/>
      </c>
      <c r="F28" s="15">
        <f>IF(ISNUMBER(D28),IF(AND(ISNUMBER(J28),ABS(J28-D28)&lt;=0.01),"PASS","FAIL"),IF(NOT(ISNUMBER(J28)),"PASS","FAIL"))</f>
        <v/>
      </c>
      <c r="I28">
        <f>IFERROR(IF(ISBLANK($I$27),"미입력",IF(ISBLANK($J$27),"미입력",IF($J$27=FALSE,$I$27,IF(ISBLANK($K$27),"미입력",$I$27/(1+$K$27))))),"계산불가")</f>
        <v/>
      </c>
      <c r="J28">
        <f>IFERROR(IF(ISBLANK($L$27),"미입력",$L$27),"계산불가")</f>
        <v/>
      </c>
      <c r="K28">
        <f>IFERROR(IF(AND(ISNUMBER(I28),ISNUMBER(J28)),I28-J28,"미입력"),"계산불가")</f>
        <v/>
      </c>
      <c r="L28">
        <f>IFERROR(IF(OR(NOT(ISNUMBER(K28)),NOT(ISNUMBER(I28))),"미입력",IF(I28=0,"계산불가",K28/I28)),"계산불가")</f>
        <v/>
      </c>
      <c r="M28">
        <f>IFERROR(IF(OR(ISBLANK($M$27),ISBLANK($N$27),ISBLANK($O$27),ISBLANK($P$27),NOT(ISNUMBER(I28)),NOT(ISNUMBER(P28))),"미입력",I28*$M$27+P28*$N$27+$O$27+$P$27),"계산불가")</f>
        <v/>
      </c>
      <c r="N28">
        <f>IFERROR(IF(AND(ISNUMBER(K28),ISNUMBER(M28)),K28-M28,"미입력"),"계산불가")</f>
        <v/>
      </c>
      <c r="O28">
        <f>IFERROR(IF(OR(NOT(ISNUMBER(N28)),NOT(ISNUMBER(I28))),"미입력",IF(I28=0,"계산불가",N28/I28)),"계산불가")</f>
        <v/>
      </c>
      <c r="P28">
        <f>IFERROR(IF(ISBLANK($I$27),"미입력",IF(ISBLANK($J$27),"미입력",IF($J$27=TRUE,$I$27,IF(ISBLANK($K$27),"미입력",$I$27*(1+$K$27))))),"계산불가")</f>
        <v/>
      </c>
    </row>
    <row r="29">
      <c r="B29" s="8" t="inlineStr">
        <is>
          <t>Gross Profit</t>
        </is>
      </c>
      <c r="C29" s="25">
        <f>K28</f>
        <v/>
      </c>
      <c r="D29" s="21" t="n">
        <v>36636.36363636363</v>
      </c>
      <c r="E29" s="26">
        <f>IF(ISNUMBER(D29),IF(ISNUMBER(K28),ABS(K28-D29),"N/A"),"N/A")</f>
        <v/>
      </c>
      <c r="F29" s="15">
        <f>IF(ISNUMBER(D29),IF(AND(ISNUMBER(K28),ABS(K28-D29)&lt;=0.01),"PASS","FAIL"),IF(NOT(ISNUMBER(K28)),"PASS","FAIL"))</f>
        <v/>
      </c>
    </row>
    <row r="30">
      <c r="B30" s="8" t="inlineStr">
        <is>
          <t>Gross Profit Rate</t>
        </is>
      </c>
      <c r="C30" s="28">
        <f>L28</f>
        <v/>
      </c>
      <c r="D30" s="29" t="n">
        <v>0.6830508474576271</v>
      </c>
      <c r="E30" s="26">
        <f>IF(ISNUMBER(D30),IF(ISNUMBER(L28),ABS(L28-D30),"N/A"),"N/A")</f>
        <v/>
      </c>
      <c r="F30" s="15">
        <f>IF(ISNUMBER(D30),IF(AND(ISNUMBER(L28),ABS(L28-D30)&lt;=0.0001),"PASS","FAIL"),IF(NOT(ISNUMBER(L28)),"PASS","FAIL"))</f>
        <v/>
      </c>
    </row>
    <row r="31">
      <c r="B31" s="8" t="inlineStr">
        <is>
          <t>Variable Cost Total</t>
        </is>
      </c>
      <c r="C31" s="25">
        <f>M28</f>
        <v/>
      </c>
      <c r="D31" s="21" t="n">
        <v>11124.72727272727</v>
      </c>
      <c r="E31" s="26">
        <f>IF(ISNUMBER(D31),IF(ISNUMBER(M28),ABS(M28-D31),"N/A"),"N/A")</f>
        <v/>
      </c>
      <c r="F31" s="15">
        <f>IF(ISNUMBER(D31),IF(AND(ISNUMBER(M28),ABS(M28-D31)&lt;=0.01),"PASS","FAIL"),IF(NOT(ISNUMBER(M28)),"PASS","FAIL"))</f>
        <v/>
      </c>
    </row>
    <row r="32">
      <c r="B32" s="8" t="inlineStr">
        <is>
          <t>Contribution Margin</t>
        </is>
      </c>
      <c r="C32" s="25">
        <f>N28</f>
        <v/>
      </c>
      <c r="D32" s="21" t="n">
        <v>25511.63636363636</v>
      </c>
      <c r="E32" s="26">
        <f>IF(ISNUMBER(D32),IF(ISNUMBER(N28),ABS(N28-D32),"N/A"),"N/A")</f>
        <v/>
      </c>
      <c r="F32" s="15">
        <f>IF(ISNUMBER(D32),IF(AND(ISNUMBER(N28),ABS(N28-D32)&lt;=0.01),"PASS","FAIL"),IF(NOT(ISNUMBER(N28)),"PASS","FAIL"))</f>
        <v/>
      </c>
    </row>
    <row r="33">
      <c r="B33" s="8" t="inlineStr">
        <is>
          <t>Contribution Margin Rate</t>
        </is>
      </c>
      <c r="C33" s="28">
        <f>O28</f>
        <v/>
      </c>
      <c r="D33" s="29" t="n">
        <v>0.4756406779661017</v>
      </c>
      <c r="E33" s="26">
        <f>IF(ISNUMBER(D33),IF(ISNUMBER(O28),ABS(O28-D33),"N/A"),"N/A")</f>
        <v/>
      </c>
      <c r="F33" s="15">
        <f>IF(ISNUMBER(D33),IF(AND(ISNUMBER(O28),ABS(O28-D33)&lt;=0.0001),"PASS","FAIL"),IF(NOT(ISNUMBER(O28)),"PASS","FAIL"))</f>
        <v/>
      </c>
    </row>
    <row r="35" ht="20" customHeight="1">
      <c r="B35" s="2" t="inlineStr">
        <is>
          <t>Case 4 — Incomplete input (UNKNOWN propagation)</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Actual Price ex VAT</t>
        </is>
      </c>
      <c r="C37" s="25">
        <f>I38</f>
        <v/>
      </c>
      <c r="D37" s="30" t="inlineStr">
        <is>
          <t>UNKNOWN</t>
        </is>
      </c>
      <c r="E37" s="26">
        <f>IF(ISNUMBER(D37),IF(ISNUMBER(I38),ABS(I38-D37),"N/A"),"N/A")</f>
        <v/>
      </c>
      <c r="F37" s="15">
        <f>IF(ISNUMBER(D37),IF(AND(ISNUMBER(I38),ABS(I38-D37)&lt;=0.01),"PASS","FAIL"),IF(NOT(ISNUMBER(I38)),"PASS","FAIL"))</f>
        <v/>
      </c>
      <c r="H37" s="27" t="inlineStr">
        <is>
          <t>(local inputs)</t>
        </is>
      </c>
      <c r="I37" t="n">
        <v>35000</v>
      </c>
    </row>
    <row r="38">
      <c r="B38" s="8" t="inlineStr">
        <is>
          <t>Direct Cost Total</t>
        </is>
      </c>
      <c r="C38" s="25">
        <f>J38</f>
        <v/>
      </c>
      <c r="D38" s="30" t="inlineStr">
        <is>
          <t>UNKNOWN</t>
        </is>
      </c>
      <c r="E38" s="26">
        <f>IF(ISNUMBER(D38),IF(ISNUMBER(J38),ABS(J38-D38),"N/A"),"N/A")</f>
        <v/>
      </c>
      <c r="F38" s="15">
        <f>IF(ISNUMBER(D38),IF(AND(ISNUMBER(J38),ABS(J38-D38)&lt;=0.01),"PASS","FAIL"),IF(NOT(ISNUMBER(J38)),"PASS","FAIL"))</f>
        <v/>
      </c>
      <c r="I38">
        <f>IFERROR(IF(ISBLANK($I$37),"미입력",IF(ISBLANK($J$37),"미입력",IF($J$37=FALSE,$I$37,IF(ISBLANK($K$37),"미입력",$I$37/(1+$K$37))))),"계산불가")</f>
        <v/>
      </c>
      <c r="J38">
        <f>IFERROR(IF(ISBLANK($L$37),"미입력",$L$37),"계산불가")</f>
        <v/>
      </c>
      <c r="K38">
        <f>IFERROR(IF(AND(ISNUMBER(I38),ISNUMBER(J38)),I38-J38,"미입력"),"계산불가")</f>
        <v/>
      </c>
      <c r="L38">
        <f>IFERROR(IF(OR(NOT(ISNUMBER(K38)),NOT(ISNUMBER(I38))),"미입력",IF(I38=0,"계산불가",K38/I38)),"계산불가")</f>
        <v/>
      </c>
      <c r="M38">
        <f>IFERROR(IF(OR(ISBLANK($M$37),ISBLANK($N$37),ISBLANK($O$37),ISBLANK($P$37),NOT(ISNUMBER(I38)),NOT(ISNUMBER(P38))),"미입력",I38*$M$37+P38*$N$37+$O$37+$P$37),"계산불가")</f>
        <v/>
      </c>
      <c r="N38">
        <f>IFERROR(IF(AND(ISNUMBER(K38),ISNUMBER(M38)),K38-M38,"미입력"),"계산불가")</f>
        <v/>
      </c>
      <c r="O38">
        <f>IFERROR(IF(OR(NOT(ISNUMBER(N38)),NOT(ISNUMBER(I38))),"미입력",IF(I38=0,"계산불가",N38/I38)),"계산불가")</f>
        <v/>
      </c>
      <c r="P38">
        <f>IFERROR(IF(ISBLANK($I$37),"미입력",IF(ISBLANK($J$37),"미입력",IF($J$37=TRUE,$I$37,IF(ISBLANK($K$37),"미입력",$I$37*(1+$K$37))))),"계산불가")</f>
        <v/>
      </c>
    </row>
    <row r="39">
      <c r="B39" s="8" t="inlineStr">
        <is>
          <t>Gross Profit</t>
        </is>
      </c>
      <c r="C39" s="25">
        <f>K38</f>
        <v/>
      </c>
      <c r="D39" s="30" t="inlineStr">
        <is>
          <t>UNKNOWN</t>
        </is>
      </c>
      <c r="E39" s="26">
        <f>IF(ISNUMBER(D39),IF(ISNUMBER(K38),ABS(K38-D39),"N/A"),"N/A")</f>
        <v/>
      </c>
      <c r="F39" s="15">
        <f>IF(ISNUMBER(D39),IF(AND(ISNUMBER(K38),ABS(K38-D39)&lt;=0.01),"PASS","FAIL"),IF(NOT(ISNUMBER(K38)),"PASS","FAIL"))</f>
        <v/>
      </c>
    </row>
    <row r="40">
      <c r="B40" s="8" t="inlineStr">
        <is>
          <t>Gross Profit Rate</t>
        </is>
      </c>
      <c r="C40" s="28">
        <f>L38</f>
        <v/>
      </c>
      <c r="D40" s="30" t="inlineStr">
        <is>
          <t>UNKNOWN</t>
        </is>
      </c>
      <c r="E40" s="26">
        <f>IF(ISNUMBER(D40),IF(ISNUMBER(L38),ABS(L38-D40),"N/A"),"N/A")</f>
        <v/>
      </c>
      <c r="F40" s="15">
        <f>IF(ISNUMBER(D40),IF(AND(ISNUMBER(L38),ABS(L38-D40)&lt;=0.0001),"PASS","FAIL"),IF(NOT(ISNUMBER(L38)),"PASS","FAIL"))</f>
        <v/>
      </c>
    </row>
    <row r="41">
      <c r="B41" s="8" t="inlineStr">
        <is>
          <t>Variable Cost Total</t>
        </is>
      </c>
      <c r="C41" s="25">
        <f>M38</f>
        <v/>
      </c>
      <c r="D41" s="30" t="inlineStr">
        <is>
          <t>UNKNOWN</t>
        </is>
      </c>
      <c r="E41" s="26">
        <f>IF(ISNUMBER(D41),IF(ISNUMBER(M38),ABS(M38-D41),"N/A"),"N/A")</f>
        <v/>
      </c>
      <c r="F41" s="15">
        <f>IF(ISNUMBER(D41),IF(AND(ISNUMBER(M38),ABS(M38-D41)&lt;=0.01),"PASS","FAIL"),IF(NOT(ISNUMBER(M38)),"PASS","FAIL"))</f>
        <v/>
      </c>
    </row>
    <row r="42">
      <c r="B42" s="8" t="inlineStr">
        <is>
          <t>Contribution Margin</t>
        </is>
      </c>
      <c r="C42" s="25">
        <f>N38</f>
        <v/>
      </c>
      <c r="D42" s="30" t="inlineStr">
        <is>
          <t>UNKNOWN</t>
        </is>
      </c>
      <c r="E42" s="26">
        <f>IF(ISNUMBER(D42),IF(ISNUMBER(N38),ABS(N38-D42),"N/A"),"N/A")</f>
        <v/>
      </c>
      <c r="F42" s="15">
        <f>IF(ISNUMBER(D42),IF(AND(ISNUMBER(N38),ABS(N38-D42)&lt;=0.01),"PASS","FAIL"),IF(NOT(ISNUMBER(N38)),"PASS","FAIL"))</f>
        <v/>
      </c>
    </row>
    <row r="43">
      <c r="B43" s="8" t="inlineStr">
        <is>
          <t>Contribution Margin Rate</t>
        </is>
      </c>
      <c r="C43" s="28">
        <f>O38</f>
        <v/>
      </c>
      <c r="D43" s="30" t="inlineStr">
        <is>
          <t>UNKNOWN</t>
        </is>
      </c>
      <c r="E43" s="26">
        <f>IF(ISNUMBER(D43),IF(ISNUMBER(O38),ABS(O38-D43),"N/A"),"N/A")</f>
        <v/>
      </c>
      <c r="F43" s="15">
        <f>IF(ISNUMBER(D43),IF(AND(ISNUMBER(O38),ABS(O38-D43)&lt;=0.0001),"PASS","FAIL"),IF(NOT(ISNUMBER(O38)),"PASS","FAIL"))</f>
        <v/>
      </c>
    </row>
    <row r="45" ht="20" customHeight="1">
      <c r="B45" s="2" t="inlineStr">
        <is>
          <t>Case 5 — VAT-exclusive display + known VAT rate + gross-payment fee</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Actual Price ex VAT</t>
        </is>
      </c>
      <c r="C47" s="25">
        <f>I48</f>
        <v/>
      </c>
      <c r="D47" s="21" t="n">
        <v>8800</v>
      </c>
      <c r="E47" s="26">
        <f>IF(ISNUMBER(D47),IF(ISNUMBER(I48),ABS(I48-D47),"N/A"),"N/A")</f>
        <v/>
      </c>
      <c r="F47" s="15">
        <f>IF(ISNUMBER(D47),IF(AND(ISNUMBER(I48),ABS(I48-D47)&lt;=0.01),"PASS","FAIL"),IF(NOT(ISNUMBER(I48)),"PASS","FAIL"))</f>
        <v/>
      </c>
      <c r="H47" s="27" t="inlineStr">
        <is>
          <t>(local inputs)</t>
        </is>
      </c>
      <c r="I47" t="n">
        <v>8800</v>
      </c>
      <c r="J47" t="b">
        <v>0</v>
      </c>
      <c r="K47" t="n">
        <v>0.1</v>
      </c>
      <c r="L47" t="n">
        <v>3000</v>
      </c>
      <c r="M47" t="n">
        <v>0</v>
      </c>
      <c r="N47" t="n">
        <v>0.04</v>
      </c>
      <c r="O47" t="n">
        <v>200</v>
      </c>
      <c r="P47" t="n">
        <v>0</v>
      </c>
    </row>
    <row r="48">
      <c r="B48" s="8" t="inlineStr">
        <is>
          <t>Direct Cost Total</t>
        </is>
      </c>
      <c r="C48" s="25">
        <f>J48</f>
        <v/>
      </c>
      <c r="D48" s="21" t="n">
        <v>3000</v>
      </c>
      <c r="E48" s="26">
        <f>IF(ISNUMBER(D48),IF(ISNUMBER(J48),ABS(J48-D48),"N/A"),"N/A")</f>
        <v/>
      </c>
      <c r="F48" s="15">
        <f>IF(ISNUMBER(D48),IF(AND(ISNUMBER(J48),ABS(J48-D48)&lt;=0.01),"PASS","FAIL"),IF(NOT(ISNUMBER(J48)),"PASS","FAIL"))</f>
        <v/>
      </c>
      <c r="I48">
        <f>IFERROR(IF(ISBLANK($I$47),"미입력",IF(ISBLANK($J$47),"미입력",IF($J$47=FALSE,$I$47,IF(ISBLANK($K$47),"미입력",$I$47/(1+$K$47))))),"계산불가")</f>
        <v/>
      </c>
      <c r="J48">
        <f>IFERROR(IF(ISBLANK($L$47),"미입력",$L$47),"계산불가")</f>
        <v/>
      </c>
      <c r="K48">
        <f>IFERROR(IF(AND(ISNUMBER(I48),ISNUMBER(J48)),I48-J48,"미입력"),"계산불가")</f>
        <v/>
      </c>
      <c r="L48">
        <f>IFERROR(IF(OR(NOT(ISNUMBER(K48)),NOT(ISNUMBER(I48))),"미입력",IF(I48=0,"계산불가",K48/I48)),"계산불가")</f>
        <v/>
      </c>
      <c r="M48">
        <f>IFERROR(IF(OR(ISBLANK($M$47),ISBLANK($N$47),ISBLANK($O$47),ISBLANK($P$47),NOT(ISNUMBER(I48)),NOT(ISNUMBER(P48))),"미입력",I48*$M$47+P48*$N$47+$O$47+$P$47),"계산불가")</f>
        <v/>
      </c>
      <c r="N48">
        <f>IFERROR(IF(AND(ISNUMBER(K48),ISNUMBER(M48)),K48-M48,"미입력"),"계산불가")</f>
        <v/>
      </c>
      <c r="O48">
        <f>IFERROR(IF(OR(NOT(ISNUMBER(N48)),NOT(ISNUMBER(I48))),"미입력",IF(I48=0,"계산불가",N48/I48)),"계산불가")</f>
        <v/>
      </c>
      <c r="P48">
        <f>IFERROR(IF(ISBLANK($I$47),"미입력",IF(ISBLANK($J$47),"미입력",IF($J$47=TRUE,$I$47,IF(ISBLANK($K$47),"미입력",$I$47*(1+$K$47))))),"계산불가")</f>
        <v/>
      </c>
    </row>
    <row r="49">
      <c r="B49" s="8" t="inlineStr">
        <is>
          <t>Gross Profit</t>
        </is>
      </c>
      <c r="C49" s="25">
        <f>K48</f>
        <v/>
      </c>
      <c r="D49" s="21" t="n">
        <v>5800</v>
      </c>
      <c r="E49" s="26">
        <f>IF(ISNUMBER(D49),IF(ISNUMBER(K48),ABS(K48-D49),"N/A"),"N/A")</f>
        <v/>
      </c>
      <c r="F49" s="15">
        <f>IF(ISNUMBER(D49),IF(AND(ISNUMBER(K48),ABS(K48-D49)&lt;=0.01),"PASS","FAIL"),IF(NOT(ISNUMBER(K48)),"PASS","FAIL"))</f>
        <v/>
      </c>
    </row>
    <row r="50">
      <c r="B50" s="8" t="inlineStr">
        <is>
          <t>Gross Profit Rate</t>
        </is>
      </c>
      <c r="C50" s="28">
        <f>L48</f>
        <v/>
      </c>
      <c r="D50" s="29" t="n">
        <v>0.6590909090909091</v>
      </c>
      <c r="E50" s="26">
        <f>IF(ISNUMBER(D50),IF(ISNUMBER(L48),ABS(L48-D50),"N/A"),"N/A")</f>
        <v/>
      </c>
      <c r="F50" s="15">
        <f>IF(ISNUMBER(D50),IF(AND(ISNUMBER(L48),ABS(L48-D50)&lt;=0.0001),"PASS","FAIL"),IF(NOT(ISNUMBER(L48)),"PASS","FAIL"))</f>
        <v/>
      </c>
    </row>
    <row r="51">
      <c r="B51" s="8" t="inlineStr">
        <is>
          <t>Variable Cost Total</t>
        </is>
      </c>
      <c r="C51" s="25">
        <f>M48</f>
        <v/>
      </c>
      <c r="D51" s="21" t="n">
        <v>587.2</v>
      </c>
      <c r="E51" s="26">
        <f>IF(ISNUMBER(D51),IF(ISNUMBER(M48),ABS(M48-D51),"N/A"),"N/A")</f>
        <v/>
      </c>
      <c r="F51" s="15">
        <f>IF(ISNUMBER(D51),IF(AND(ISNUMBER(M48),ABS(M48-D51)&lt;=0.01),"PASS","FAIL"),IF(NOT(ISNUMBER(M48)),"PASS","FAIL"))</f>
        <v/>
      </c>
    </row>
    <row r="52">
      <c r="B52" s="8" t="inlineStr">
        <is>
          <t>Contribution Margin</t>
        </is>
      </c>
      <c r="C52" s="25">
        <f>N48</f>
        <v/>
      </c>
      <c r="D52" s="21" t="n">
        <v>5212.8</v>
      </c>
      <c r="E52" s="26">
        <f>IF(ISNUMBER(D52),IF(ISNUMBER(N48),ABS(N48-D52),"N/A"),"N/A")</f>
        <v/>
      </c>
      <c r="F52" s="15">
        <f>IF(ISNUMBER(D52),IF(AND(ISNUMBER(N48),ABS(N48-D52)&lt;=0.01),"PASS","FAIL"),IF(NOT(ISNUMBER(N48)),"PASS","FAIL"))</f>
        <v/>
      </c>
    </row>
    <row r="53">
      <c r="B53" s="8" t="inlineStr">
        <is>
          <t>Contribution Margin Rate</t>
        </is>
      </c>
      <c r="C53" s="28">
        <f>O48</f>
        <v/>
      </c>
      <c r="D53" s="29" t="n">
        <v>0.5923636363636364</v>
      </c>
      <c r="E53" s="26">
        <f>IF(ISNUMBER(D53),IF(ISNUMBER(O48),ABS(O48-D53),"N/A"),"N/A")</f>
        <v/>
      </c>
      <c r="F53" s="15">
        <f>IF(ISNUMBER(D53),IF(AND(ISNUMBER(O48),ABS(O48-D53)&lt;=0.0001),"PASS","FAIL"),IF(NOT(ISNUMBER(O48)),"PASS","FAIL"))</f>
        <v/>
      </c>
    </row>
    <row r="55" ht="20" customHeight="1">
      <c r="B55" s="2" t="inlineStr">
        <is>
          <t>Case 6 — VAT-exclusive display + VAT rate UNKNOWN + gross-payment fee</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Actual Price ex VAT</t>
        </is>
      </c>
      <c r="C57" s="25">
        <f>I58</f>
        <v/>
      </c>
      <c r="D57" s="21" t="n">
        <v>8800</v>
      </c>
      <c r="E57" s="26">
        <f>IF(ISNUMBER(D57),IF(ISNUMBER(I58),ABS(I58-D57),"N/A"),"N/A")</f>
        <v/>
      </c>
      <c r="F57" s="15">
        <f>IF(ISNUMBER(D57),IF(AND(ISNUMBER(I58),ABS(I58-D57)&lt;=0.01),"PASS","FAIL"),IF(NOT(ISNUMBER(I58)),"PASS","FAIL"))</f>
        <v/>
      </c>
      <c r="H57" s="27" t="inlineStr">
        <is>
          <t>(local inputs)</t>
        </is>
      </c>
      <c r="I57" t="n">
        <v>8800</v>
      </c>
      <c r="J57" t="b">
        <v>0</v>
      </c>
      <c r="L57" t="n">
        <v>3000</v>
      </c>
      <c r="M57" t="n">
        <v>0</v>
      </c>
      <c r="N57" t="n">
        <v>0.04</v>
      </c>
      <c r="O57" t="n">
        <v>200</v>
      </c>
      <c r="P57" t="n">
        <v>0</v>
      </c>
    </row>
    <row r="58">
      <c r="B58" s="8" t="inlineStr">
        <is>
          <t>Direct Cost Total</t>
        </is>
      </c>
      <c r="C58" s="25">
        <f>J58</f>
        <v/>
      </c>
      <c r="D58" s="21" t="n">
        <v>3000</v>
      </c>
      <c r="E58" s="26">
        <f>IF(ISNUMBER(D58),IF(ISNUMBER(J58),ABS(J58-D58),"N/A"),"N/A")</f>
        <v/>
      </c>
      <c r="F58" s="15">
        <f>IF(ISNUMBER(D58),IF(AND(ISNUMBER(J58),ABS(J58-D58)&lt;=0.01),"PASS","FAIL"),IF(NOT(ISNUMBER(J58)),"PASS","FAIL"))</f>
        <v/>
      </c>
      <c r="I58">
        <f>IFERROR(IF(ISBLANK($I$57),"미입력",IF(ISBLANK($J$57),"미입력",IF($J$57=FALSE,$I$57,IF(ISBLANK($K$57),"미입력",$I$57/(1+$K$57))))),"계산불가")</f>
        <v/>
      </c>
      <c r="J58">
        <f>IFERROR(IF(ISBLANK($L$57),"미입력",$L$57),"계산불가")</f>
        <v/>
      </c>
      <c r="K58">
        <f>IFERROR(IF(AND(ISNUMBER(I58),ISNUMBER(J58)),I58-J58,"미입력"),"계산불가")</f>
        <v/>
      </c>
      <c r="L58">
        <f>IFERROR(IF(OR(NOT(ISNUMBER(K58)),NOT(ISNUMBER(I58))),"미입력",IF(I58=0,"계산불가",K58/I58)),"계산불가")</f>
        <v/>
      </c>
      <c r="M58">
        <f>IFERROR(IF(OR(ISBLANK($M$57),ISBLANK($N$57),ISBLANK($O$57),ISBLANK($P$57),NOT(ISNUMBER(I58)),NOT(ISNUMBER(P58))),"미입력",I58*$M$57+P58*$N$57+$O$57+$P$57),"계산불가")</f>
        <v/>
      </c>
      <c r="N58">
        <f>IFERROR(IF(AND(ISNUMBER(K58),ISNUMBER(M58)),K58-M58,"미입력"),"계산불가")</f>
        <v/>
      </c>
      <c r="O58">
        <f>IFERROR(IF(OR(NOT(ISNUMBER(N58)),NOT(ISNUMBER(I58))),"미입력",IF(I58=0,"계산불가",N58/I58)),"계산불가")</f>
        <v/>
      </c>
      <c r="P58">
        <f>IFERROR(IF(ISBLANK($I$57),"미입력",IF(ISBLANK($J$57),"미입력",IF($J$57=TRUE,$I$57,IF(ISBLANK($K$57),"미입력",$I$57*(1+$K$57))))),"계산불가")</f>
        <v/>
      </c>
    </row>
    <row r="59">
      <c r="B59" s="8" t="inlineStr">
        <is>
          <t>Gross Profit</t>
        </is>
      </c>
      <c r="C59" s="25">
        <f>K58</f>
        <v/>
      </c>
      <c r="D59" s="21" t="n">
        <v>5800</v>
      </c>
      <c r="E59" s="26">
        <f>IF(ISNUMBER(D59),IF(ISNUMBER(K58),ABS(K58-D59),"N/A"),"N/A")</f>
        <v/>
      </c>
      <c r="F59" s="15">
        <f>IF(ISNUMBER(D59),IF(AND(ISNUMBER(K58),ABS(K58-D59)&lt;=0.01),"PASS","FAIL"),IF(NOT(ISNUMBER(K58)),"PASS","FAIL"))</f>
        <v/>
      </c>
    </row>
    <row r="60">
      <c r="B60" s="8" t="inlineStr">
        <is>
          <t>Gross Profit Rate</t>
        </is>
      </c>
      <c r="C60" s="28">
        <f>L58</f>
        <v/>
      </c>
      <c r="D60" s="29" t="n">
        <v>0.6590909090909091</v>
      </c>
      <c r="E60" s="26">
        <f>IF(ISNUMBER(D60),IF(ISNUMBER(L58),ABS(L58-D60),"N/A"),"N/A")</f>
        <v/>
      </c>
      <c r="F60" s="15">
        <f>IF(ISNUMBER(D60),IF(AND(ISNUMBER(L58),ABS(L58-D60)&lt;=0.0001),"PASS","FAIL"),IF(NOT(ISNUMBER(L58)),"PASS","FAIL"))</f>
        <v/>
      </c>
    </row>
    <row r="61">
      <c r="B61" s="8" t="inlineStr">
        <is>
          <t>Variable Cost Total</t>
        </is>
      </c>
      <c r="C61" s="25">
        <f>M58</f>
        <v/>
      </c>
      <c r="D61" s="30" t="inlineStr">
        <is>
          <t>UNKNOWN</t>
        </is>
      </c>
      <c r="E61" s="26">
        <f>IF(ISNUMBER(D61),IF(ISNUMBER(M58),ABS(M58-D61),"N/A"),"N/A")</f>
        <v/>
      </c>
      <c r="F61" s="15">
        <f>IF(ISNUMBER(D61),IF(AND(ISNUMBER(M58),ABS(M58-D61)&lt;=0.01),"PASS","FAIL"),IF(NOT(ISNUMBER(M58)),"PASS","FAIL"))</f>
        <v/>
      </c>
    </row>
    <row r="62">
      <c r="B62" s="8" t="inlineStr">
        <is>
          <t>Contribution Margin</t>
        </is>
      </c>
      <c r="C62" s="25">
        <f>N58</f>
        <v/>
      </c>
      <c r="D62" s="30" t="inlineStr">
        <is>
          <t>UNKNOWN</t>
        </is>
      </c>
      <c r="E62" s="26">
        <f>IF(ISNUMBER(D62),IF(ISNUMBER(N58),ABS(N58-D62),"N/A"),"N/A")</f>
        <v/>
      </c>
      <c r="F62" s="15">
        <f>IF(ISNUMBER(D62),IF(AND(ISNUMBER(N58),ABS(N58-D62)&lt;=0.01),"PASS","FAIL"),IF(NOT(ISNUMBER(N58)),"PASS","FAIL"))</f>
        <v/>
      </c>
    </row>
    <row r="63">
      <c r="B63" s="8" t="inlineStr">
        <is>
          <t>Contribution Margin Rate</t>
        </is>
      </c>
      <c r="C63" s="28">
        <f>O58</f>
        <v/>
      </c>
      <c r="D63" s="30" t="inlineStr">
        <is>
          <t>UNKNOWN</t>
        </is>
      </c>
      <c r="E63" s="26">
        <f>IF(ISNUMBER(D63),IF(ISNUMBER(O58),ABS(O58-D63),"N/A"),"N/A")</f>
        <v/>
      </c>
      <c r="F63" s="15">
        <f>IF(ISNUMBER(D63),IF(AND(ISNUMBER(O58),ABS(O58-D63)&lt;=0.0001),"PASS","FAIL"),IF(NOT(ISNUMBER(O58)),"PASS","FAIL"))</f>
        <v/>
      </c>
    </row>
    <row r="65" ht="20" customHeight="1">
      <c r="B65" s="2" t="inlineStr">
        <is>
          <t>Overall</t>
        </is>
      </c>
      <c r="C65" s="7" t="n"/>
    </row>
    <row r="66">
      <c r="B66" s="8" t="inlineStr">
        <is>
          <t>All metrics PASS?</t>
        </is>
      </c>
      <c r="C66" s="15">
        <f>IF(COUNTIF(F7:F63,"FAIL")=0,"ALL PASS","SOME FAILED")</f>
        <v/>
      </c>
    </row>
  </sheetData>
  <mergeCells count="9">
    <mergeCell ref="B3:G3"/>
    <mergeCell ref="B2:G2"/>
    <mergeCell ref="B55:F55"/>
    <mergeCell ref="B15:F15"/>
    <mergeCell ref="B25:F25"/>
    <mergeCell ref="B5:F5"/>
    <mergeCell ref="B45:F45"/>
    <mergeCell ref="B65:C6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C66">
    <cfRule type="expression" priority="85" dxfId="0">
      <formula>C66="SOME FAILED"</formula>
    </cfRule>
    <cfRule type="expression" priority="86" dxfId="1">
      <formula>C66="ALL PASS"</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3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6" customWidth="1" min="3" max="3"/>
    <col width="48" customWidth="1" min="4" max="4"/>
  </cols>
  <sheetData>
    <row r="2" ht="26" customHeight="1">
      <c r="B2" s="1" t="inlineStr">
        <is>
          <t>04. MODE B Simulator — Target Price (Interactive)</t>
        </is>
      </c>
      <c r="C2" s="6" t="n"/>
      <c r="D2" s="6" t="n"/>
    </row>
    <row r="4" ht="20" customHeight="1">
      <c r="B4" s="2" t="inlineStr">
        <is>
          <t>INPUT (노란 셀만 입력, 단일 컴포넌트 / shared cost 없음 기준)</t>
        </is>
      </c>
      <c r="C4" s="7" t="n"/>
    </row>
    <row r="5">
      <c r="B5" s="8" t="inlineStr">
        <is>
          <t>Target Contribution Margin Rate (t)</t>
        </is>
      </c>
      <c r="C5" s="12" t="n">
        <v>0.3</v>
      </c>
      <c r="D5" s="8" t="inlineStr">
        <is>
          <t>0 이상 1 미만이어야 함 (&gt;=1 또는 &lt;0은 ERROR)</t>
        </is>
      </c>
    </row>
    <row r="6">
      <c r="B6" s="8" t="inlineStr">
        <is>
          <t>Fixed-Amount Direct + Variable Cost (C)</t>
        </is>
      </c>
      <c r="C6" s="11" t="n">
        <v>10000</v>
      </c>
      <c r="D6" s="8" t="inlineStr">
        <is>
          <t>직접원가 + 금액형 변동비 합계 (rate 기반 항목 제외)</t>
        </is>
      </c>
    </row>
    <row r="7">
      <c r="B7" s="8" t="inlineStr">
        <is>
          <t>Net-Sales Fee Rate (b)</t>
        </is>
      </c>
      <c r="C7" s="12" t="n">
        <v>0</v>
      </c>
      <c r="D7" s="8" t="inlineStr">
        <is>
          <t>rate_of_net_sales 합계 — Net Sales(N)에 곱함. 없으면 0</t>
        </is>
      </c>
    </row>
    <row r="8">
      <c r="B8" s="8" t="inlineStr">
        <is>
          <t>Gross-Payment Fee Rate (a)</t>
        </is>
      </c>
      <c r="C8" s="12" t="n">
        <v>0.05</v>
      </c>
      <c r="D8" s="8" t="inlineStr">
        <is>
          <t>rate_of_gross_payment 합계 — Gross Payment(G)에 곱함. 없으면 0</t>
        </is>
      </c>
    </row>
    <row r="9">
      <c r="B9" s="8" t="inlineStr">
        <is>
          <t>Price Includes VAT</t>
        </is>
      </c>
      <c r="C9" s="9" t="b">
        <v>0</v>
      </c>
      <c r="D9" s="8" t="inlineStr">
        <is>
          <t>TRUE→표시가=G / FALSE→표시가=N / 빈칸=모름(UNKNOWN)</t>
        </is>
      </c>
    </row>
    <row r="10">
      <c r="B10" s="8" t="inlineStr">
        <is>
          <t>VAT Rate (v)</t>
        </is>
      </c>
      <c r="C10" s="12" t="n">
        <v>0.1</v>
      </c>
      <c r="D10" s="8" t="inlineStr">
        <is>
          <t>a=0이면 N 계산에 불필요. G는 a와 무관하게 항상 필요 (SPEC.md §3)</t>
        </is>
      </c>
    </row>
    <row r="11">
      <c r="B11" s="8" t="inlineStr">
        <is>
          <t>Discount Rate</t>
        </is>
      </c>
      <c r="C11" s="12" t="n"/>
      <c r="D11" s="8" t="inlineStr">
        <is>
          <t>0 이상 1 미만이어야 함. 빈칸=UNKNOWN → 정가 계산 불가</t>
        </is>
      </c>
    </row>
    <row r="12">
      <c r="B12" s="8" t="inlineStr">
        <is>
          <t>Shared Cost Status (Excel simulation control — not a schema field)</t>
        </is>
      </c>
      <c r="C12" s="9" t="inlineStr">
        <is>
          <t>none</t>
        </is>
      </c>
      <c r="D12" s="31" t="inlineStr">
        <is>
          <t>Excel-only simulation control. NOT a field in client_input.schema.json — the production Python engine (core/engine/modes/mode_b.py) derives this state from actual cost item / applies_to_component / allocation_rule data, never from a flag like this. none=shared 비용 없음(정상 계산) / unresolved=by_component_revenue·fixed_share 등 배부 미구현(모든 결과 UNKNOWN) / invalid=shared+direct 모순 설정(모든 결과 ERROR). 실제 배부 엔진은 구현하지 않음 — 미지원 상태를 조용히 숫자로 만들지 않는지만 검증</t>
        </is>
      </c>
    </row>
    <row r="14" ht="20" customHeight="1">
      <c r="B14" s="2" t="inlineStr">
        <is>
          <t>RESULT (계산값 — 직접 입력 금지)</t>
        </is>
      </c>
      <c r="C14" s="7" t="n"/>
    </row>
    <row r="15">
      <c r="B15" s="8" t="inlineStr">
        <is>
          <t>Denominator</t>
        </is>
      </c>
      <c r="C15" s="32">
        <f>IFERROR(IF($C$12="invalid","ERROR",IF($C$12="unresolved","UNKNOWN",IF(OR(AND(NOT(ISBLANK($C$5)),OR($C$5&lt;0,$C$5&gt;=1)),AND(NOT(ISBLANK($C$7)),$C$7&lt;0),AND(NOT(ISBLANK($C$8)),$C$8&lt;0),AND(NOT(ISBLANK($C$6)),$C$6&lt;0)),"ERROR",IF(OR(ISBLANK($C$5),ISBLANK($C$7),ISBLANK($C$8)),"UNKNOWN",IF($C$8=0,IF(1-$C$5-$C$7&lt;=0,"ERROR",1-$C$5-$C$7),IF(ISBLANK($C$10),"UNKNOWN",IF(1-$C$5-$C$7-$C$8*(1+$C$10)&lt;=0,"ERROR",1-$C$5-$C$7-$C$8*(1+$C$10)))))))),"ERROR")</f>
        <v/>
      </c>
      <c r="D15" s="8" t="inlineStr">
        <is>
          <t>D = 1 - t - b - a(1+v). D&lt;=0 → ERROR (목표 불가능)</t>
        </is>
      </c>
    </row>
    <row r="16">
      <c r="B16" s="8" t="inlineStr">
        <is>
          <t>Required Net Sales ex VAT</t>
        </is>
      </c>
      <c r="C16" s="13">
        <f>IFERROR(IF(ISBLANK($C$6),"UNKNOWN",IF(NOT(ISNUMBER(C15)),C15,$C$6/C15)),"ERROR")</f>
        <v/>
      </c>
      <c r="D16" s="8" t="inlineStr">
        <is>
          <t>N = C / D</t>
        </is>
      </c>
    </row>
    <row r="17">
      <c r="B17" s="8" t="inlineStr">
        <is>
          <t>Required Gross Payment incl VAT</t>
        </is>
      </c>
      <c r="C17" s="13">
        <f>IFERROR(IF(NOT(ISNUMBER(C16)),C16,IF(ISBLANK($C$10),"UNKNOWN",C16*(1+$C$10))),"ERROR")</f>
        <v/>
      </c>
      <c r="D17" s="8" t="inlineStr">
        <is>
          <t>G = N × (1+v) — 항상 v 필요</t>
        </is>
      </c>
    </row>
    <row r="18">
      <c r="B18" s="8" t="inlineStr">
        <is>
          <t>Required Selling Price</t>
        </is>
      </c>
      <c r="C18" s="13">
        <f>IFERROR(IF(ISBLANK($C$9),"UNKNOWN",IF($C$9=FALSE,C16,C17)),"ERROR")</f>
        <v/>
      </c>
      <c r="D18" s="8" t="inlineStr">
        <is>
          <t>price_includes_vat=FALSE→N / TRUE→G / 빈칸→UNKNOWN</t>
        </is>
      </c>
    </row>
    <row r="19">
      <c r="B19" s="8" t="inlineStr">
        <is>
          <t>Required List Price</t>
        </is>
      </c>
      <c r="C19" s="13">
        <f>IFERROR(IF(NOT(ISNUMBER(C18)),C18,IF(ISBLANK($C$11),"UNKNOWN",IF(OR($C$11&lt;0,$C$11&gt;=1),"ERROR",IF($C$11=0,C18,C18/(1-$C$11))))),"ERROR")</f>
        <v/>
      </c>
      <c r="D19" s="8" t="inlineStr">
        <is>
          <t>= 판매가 / (1 - discount_rate)</t>
        </is>
      </c>
    </row>
    <row r="20">
      <c r="B20" s="8" t="inlineStr">
        <is>
          <t>Expected Contribution Margin</t>
        </is>
      </c>
      <c r="C20" s="13">
        <f>IFERROR(IF(NOT(ISNUMBER(C16)),C16,IF($C$8=0,C16-$C$6-$C$7*C16,IF(NOT(ISNUMBER(C17)),C17,C16-$C$6-$C$7*C16-$C$8*C17))),"ERROR")</f>
        <v/>
      </c>
      <c r="D20" s="8" t="inlineStr">
        <is>
          <t>= N - C - b×N - a×G (역산식과 독립적인 비용구조 재계산)</t>
        </is>
      </c>
    </row>
    <row r="21">
      <c r="B21" s="8" t="inlineStr">
        <is>
          <t>Expected CM Rate</t>
        </is>
      </c>
      <c r="C21" s="14">
        <f>IFERROR(IF(NOT(ISNUMBER(C20)),C20,IF(C16=0,"ERROR",C20/C16)),"ERROR")</f>
        <v/>
      </c>
      <c r="D21" s="8" t="inlineStr">
        <is>
          <t>= CM / N — 아래 Self-Check에서 목표 t와 별도 대조</t>
        </is>
      </c>
    </row>
    <row r="23">
      <c r="B23" s="8" t="inlineStr">
        <is>
          <t>Self-Check: |CMR − t| ≤ 0.0001?</t>
        </is>
      </c>
      <c r="C23" s="15">
        <f>IF(NOT(ISNUMBER(C21)),"N/A",IF(ABS(C21-$C$5)&lt;=0.0001,"PASS","FAIL"))</f>
        <v/>
      </c>
      <c r="D23" s="31" t="inlineStr">
        <is>
          <t>역산식(N=C/D)과 독립적으로 재계산한 CMR(=CM/N)이 목표 t와 tolerance 내에서 일치하는지 진단. MODE B의 공식 출력 metric은 아님 — 산술 오류를 잡기 위한 진단용.</t>
        </is>
      </c>
    </row>
    <row r="24" ht="20" customHeight="1">
      <c r="B24" s="2" t="inlineStr">
        <is>
          <t>STATUS</t>
        </is>
      </c>
      <c r="C24" s="7" t="n"/>
    </row>
    <row r="25">
      <c r="B25" s="8" t="inlineStr">
        <is>
          <t>Overall Status</t>
        </is>
      </c>
      <c r="C25" s="33">
        <f>IF((IF(C15="ERROR",1,0)+IF(C16="ERROR",1,0)+IF(C17="ERROR",1,0)+IF(C18="ERROR",1,0)+IF(C19="ERROR",1,0)+IF(C20="ERROR",1,0)+IF(C21="ERROR",1,0))&gt;0,"ERROR — 목표 불가능 또는 입력값 모순",IF((IF(C15="UNKNOWN",1,0)+IF(C16="UNKNOWN",1,0)+IF(C17="UNKNOWN",1,0)+IF(C18="UNKNOWN",1,0)+IF(C19="UNKNOWN",1,0)+IF(C20="UNKNOWN",1,0)+IF(C21="UNKNOWN",1,0))&gt;0,"INCOMPLETE — 일부 지표 UNKNOWN","OK — 전체 계산 완료"))</f>
        <v/>
      </c>
      <c r="D25" s="34" t="n"/>
    </row>
    <row r="26">
      <c r="B26" s="10" t="inlineStr">
        <is>
          <t>blank = UNKNOWN / 0 = explicit zero</t>
        </is>
      </c>
    </row>
    <row r="28" ht="20" customHeight="1">
      <c r="B28" s="2" t="inlineStr">
        <is>
          <t>DASHBOARD CARD</t>
        </is>
      </c>
      <c r="C28" s="7" t="n"/>
      <c r="D28" s="7" t="n"/>
      <c r="E28" s="7" t="n"/>
      <c r="F28" s="7" t="n"/>
    </row>
    <row r="29">
      <c r="B29" s="17" t="inlineStr">
        <is>
          <t>Required Net Sales ex VAT</t>
        </is>
      </c>
      <c r="E29" s="17" t="inlineStr">
        <is>
          <t>Required Gross Payment</t>
        </is>
      </c>
      <c r="H29" s="17" t="inlineStr">
        <is>
          <t>Required Selling Price</t>
        </is>
      </c>
    </row>
    <row r="30" ht="26" customHeight="1">
      <c r="B30" s="18">
        <f>C16</f>
        <v/>
      </c>
      <c r="E30" s="18">
        <f>C17</f>
        <v/>
      </c>
      <c r="H30" s="18">
        <f>C18</f>
        <v/>
      </c>
    </row>
    <row r="32">
      <c r="B32" s="17" t="inlineStr">
        <is>
          <t>Required List Price</t>
        </is>
      </c>
      <c r="E32" s="17" t="inlineStr">
        <is>
          <t>Expected CM</t>
        </is>
      </c>
      <c r="H32" s="17" t="inlineStr">
        <is>
          <t>Expected CM Rate</t>
        </is>
      </c>
    </row>
    <row r="33" ht="26" customHeight="1">
      <c r="B33" s="18">
        <f>C19</f>
        <v/>
      </c>
      <c r="E33" s="18">
        <f>C20</f>
        <v/>
      </c>
      <c r="H33" s="19">
        <f>C21</f>
        <v/>
      </c>
    </row>
  </sheetData>
  <mergeCells count="18">
    <mergeCell ref="B24:C24"/>
    <mergeCell ref="B30:C30"/>
    <mergeCell ref="E30:F30"/>
    <mergeCell ref="B29:C29"/>
    <mergeCell ref="B33:C33"/>
    <mergeCell ref="E29:F29"/>
    <mergeCell ref="E32:F32"/>
    <mergeCell ref="H29:I29"/>
    <mergeCell ref="C25:D25"/>
    <mergeCell ref="B28:F28"/>
    <mergeCell ref="E33:F33"/>
    <mergeCell ref="H32:I32"/>
    <mergeCell ref="H33:I33"/>
    <mergeCell ref="B14:C14"/>
    <mergeCell ref="B32:C32"/>
    <mergeCell ref="B4:C4"/>
    <mergeCell ref="B2:D2"/>
    <mergeCell ref="H30:I30"/>
  </mergeCells>
  <conditionalFormatting sqref="C15">
    <cfRule type="expression" priority="1" dxfId="0">
      <formula>C15="ERROR"</formula>
    </cfRule>
    <cfRule type="expression" priority="2" dxfId="2">
      <formula>C15="UNKNOWN"</formula>
    </cfRule>
    <cfRule type="expression" priority="3" dxfId="1">
      <formula>ISNUMBER(C15)</formula>
    </cfRule>
  </conditionalFormatting>
  <conditionalFormatting sqref="C16">
    <cfRule type="expression" priority="4" dxfId="0">
      <formula>C16="ERROR"</formula>
    </cfRule>
    <cfRule type="expression" priority="5" dxfId="2">
      <formula>C16="UNKNOWN"</formula>
    </cfRule>
    <cfRule type="expression" priority="6" dxfId="1">
      <formula>ISNUMBER(C16)</formula>
    </cfRule>
  </conditionalFormatting>
  <conditionalFormatting sqref="C17">
    <cfRule type="expression" priority="7" dxfId="0">
      <formula>C17="ERROR"</formula>
    </cfRule>
    <cfRule type="expression" priority="8" dxfId="2">
      <formula>C17="UNKNOWN"</formula>
    </cfRule>
    <cfRule type="expression" priority="9" dxfId="1">
      <formula>ISNUMBER(C17)</formula>
    </cfRule>
  </conditionalFormatting>
  <conditionalFormatting sqref="C18">
    <cfRule type="expression" priority="10" dxfId="0">
      <formula>C18="ERROR"</formula>
    </cfRule>
    <cfRule type="expression" priority="11" dxfId="2">
      <formula>C18="UNKNOWN"</formula>
    </cfRule>
    <cfRule type="expression" priority="12" dxfId="1">
      <formula>ISNUMBER(C18)</formula>
    </cfRule>
  </conditionalFormatting>
  <conditionalFormatting sqref="C19">
    <cfRule type="expression" priority="13" dxfId="0">
      <formula>C19="ERROR"</formula>
    </cfRule>
    <cfRule type="expression" priority="14" dxfId="2">
      <formula>C19="UNKNOWN"</formula>
    </cfRule>
    <cfRule type="expression" priority="15" dxfId="1">
      <formula>ISNUMBER(C19)</formula>
    </cfRule>
  </conditionalFormatting>
  <conditionalFormatting sqref="C20">
    <cfRule type="expression" priority="16" dxfId="0">
      <formula>C20="ERROR"</formula>
    </cfRule>
    <cfRule type="expression" priority="17" dxfId="2">
      <formula>C20="UNKNOWN"</formula>
    </cfRule>
    <cfRule type="expression" priority="18" dxfId="1">
      <formula>ISNUMBER(C20)</formula>
    </cfRule>
  </conditionalFormatting>
  <conditionalFormatting sqref="C21">
    <cfRule type="expression" priority="19" dxfId="0">
      <formula>C21="ERROR"</formula>
    </cfRule>
    <cfRule type="expression" priority="20" dxfId="2">
      <formula>C21="UNKNOWN"</formula>
    </cfRule>
    <cfRule type="expression" priority="21" dxfId="1">
      <formula>ISNUMBER(C21)</formula>
    </cfRule>
  </conditionalFormatting>
  <conditionalFormatting sqref="C23">
    <cfRule type="expression" priority="22" dxfId="0">
      <formula>C23="FAIL"</formula>
    </cfRule>
    <cfRule type="expression" priority="23" dxfId="1">
      <formula>C23="PASS"</formula>
    </cfRule>
  </conditionalFormatting>
  <conditionalFormatting sqref="B30">
    <cfRule type="expression" priority="24" dxfId="0">
      <formula>NOT(ISNUMBER(B30))</formula>
    </cfRule>
    <cfRule type="expression" priority="25" dxfId="1">
      <formula>ISNUMBER(B30)</formula>
    </cfRule>
  </conditionalFormatting>
  <conditionalFormatting sqref="E30">
    <cfRule type="expression" priority="26" dxfId="0">
      <formula>NOT(ISNUMBER(E30))</formula>
    </cfRule>
    <cfRule type="expression" priority="27" dxfId="1">
      <formula>ISNUMBER(E30)</formula>
    </cfRule>
  </conditionalFormatting>
  <conditionalFormatting sqref="H30">
    <cfRule type="expression" priority="28" dxfId="0">
      <formula>NOT(ISNUMBER(H30))</formula>
    </cfRule>
    <cfRule type="expression" priority="29" dxfId="1">
      <formula>ISNUMBER(H30)</formula>
    </cfRule>
  </conditionalFormatting>
  <conditionalFormatting sqref="B33">
    <cfRule type="expression" priority="30" dxfId="0">
      <formula>NOT(ISNUMBER(B33))</formula>
    </cfRule>
    <cfRule type="expression" priority="31" dxfId="1">
      <formula>ISNUMBER(B33)</formula>
    </cfRule>
  </conditionalFormatting>
  <conditionalFormatting sqref="E33">
    <cfRule type="expression" priority="32" dxfId="0">
      <formula>NOT(ISNUMBER(E33))</formula>
    </cfRule>
    <cfRule type="expression" priority="33" dxfId="1">
      <formula>ISNUMBER(E33)</formula>
    </cfRule>
  </conditionalFormatting>
  <conditionalFormatting sqref="H33">
    <cfRule type="expression" priority="34" dxfId="0">
      <formula>NOT(ISNUMBER(H33))</formula>
    </cfRule>
    <cfRule type="expression" priority="35" dxfId="1">
      <formula>ISNUMBER(H33)</formula>
    </cfRule>
  </conditionalFormatting>
  <dataValidations count="2">
    <dataValidation sqref="C9" showDropDown="0" showInputMessage="0" showErrorMessage="0" allowBlank="1" type="list">
      <formula1>"TRUE,FALSE"</formula1>
    </dataValidation>
    <dataValidation sqref="C12" showDropDown="0" showInputMessage="0" showErrorMessage="0" allowBlank="0" type="list">
      <formula1>"none,unresolved,invalid"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W15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s>
  <sheetData>
    <row r="2" ht="26" customHeight="1">
      <c r="B2" s="1" t="inlineStr">
        <is>
          <t>05. Python Engine vs Excel Formula — MODE B Parity Test</t>
        </is>
      </c>
      <c r="C2" s="6" t="n"/>
      <c r="D2" s="6" t="n"/>
      <c r="E2" s="6" t="n"/>
      <c r="F2" s="6" t="n"/>
      <c r="G2" s="6" t="n"/>
    </row>
    <row r="3" ht="44" customHeight="1">
      <c r="B3" s="24" t="inlineStr">
        <is>
          <t>각 케이스는 Excel에 동일 입력값을 리터럴로 심어 04_MODE_B_SIMULATOR와 같은 수식(build_mode_b_formulas)으로 독립 재계산하고, Python 참조값(core/engine/modes/mode_b.py 실행 결과, 빌드 시점에 고정)과 비교합니다. 허용오차 0.01(금액) / 0.0001(비율). #14/#15는 shared-cost 시나리오로, 실제 배부(allocation) 금액을 계산하지는 않지만 Shared Cost Status 플래그를 통해 Excel이 '미지원 상태를 UNKNOWN/ERROR로 정확히 표시하는지'를 실시간으로 평가합니다 — 다른 13개 케이스와 동일하게 15/15 전부 live parity입니다.</t>
        </is>
      </c>
    </row>
    <row r="5" ht="20" customHeight="1">
      <c r="B5" s="2" t="inlineStr">
        <is>
          <t>1. Simple — no rate cost at all (TC1)</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Denominator</t>
        </is>
      </c>
      <c r="C7" s="26">
        <f>Q7</f>
        <v/>
      </c>
      <c r="D7" s="35" t="n">
        <v>0.6</v>
      </c>
      <c r="E7" s="26">
        <f>IF(ISNUMBER(D7),IF(ISNUMBER(Q7),ABS(Q7-D7),"N/A"),"N/A")</f>
        <v/>
      </c>
      <c r="F7" s="15">
        <f>IF(ISNUMBER(D7),IF(AND(ISNUMBER(Q7),ABS(Q7-D7)&lt;=0.01),"PASS","FAIL"),IF(AND(NOT(ISNUMBER(Q7)),Q7=D7),"PASS","FAIL"))</f>
        <v/>
      </c>
      <c r="I7" t="n">
        <v>0.4</v>
      </c>
      <c r="J7" t="n">
        <v>10000</v>
      </c>
      <c r="K7" t="n">
        <v>0</v>
      </c>
      <c r="L7" t="n">
        <v>0</v>
      </c>
      <c r="M7" t="n">
        <v>0.1</v>
      </c>
      <c r="N7" t="b">
        <v>0</v>
      </c>
      <c r="P7" t="inlineStr">
        <is>
          <t>none</t>
        </is>
      </c>
      <c r="Q7">
        <f>IFERROR(IF($P$7="invalid","ERROR",IF($P$7="unresolved","UNKNOWN",IF(OR(AND(NOT(ISBLANK($I$7)),OR($I$7&lt;0,$I$7&gt;=1)),AND(NOT(ISBLANK($K$7)),$K$7&lt;0),AND(NOT(ISBLANK($L$7)),$L$7&lt;0),AND(NOT(ISBLANK($J$7)),$J$7&lt;0)),"ERROR",IF(OR(ISBLANK($I$7),ISBLANK($K$7),ISBLANK($L$7)),"UNKNOWN",IF($L$7=0,IF(1-$I$7-$K$7&lt;=0,"ERROR",1-$I$7-$K$7),IF(ISBLANK($M$7),"UNKNOWN",IF(1-$I$7-$K$7-$L$7*(1+$M$7)&lt;=0,"ERROR",1-$I$7-$K$7-$L$7*(1+$M$7)))))))),"ERROR")</f>
        <v/>
      </c>
      <c r="R7">
        <f>IFERROR(IF(ISBLANK($J$7),"UNKNOWN",IF(NOT(ISNUMBER(Q7)),Q7,$J$7/Q7)),"ERROR")</f>
        <v/>
      </c>
      <c r="S7">
        <f>IFERROR(IF(NOT(ISNUMBER(R7)),R7,IF(ISBLANK($M$7),"UNKNOWN",R7*(1+$M$7))),"ERROR")</f>
        <v/>
      </c>
      <c r="T7">
        <f>IFERROR(IF(ISBLANK($N$7),"UNKNOWN",IF($N$7=FALSE,R7,S7)),"ERROR")</f>
        <v/>
      </c>
      <c r="U7">
        <f>IFERROR(IF(NOT(ISNUMBER(T7)),T7,IF(ISBLANK($O$7),"UNKNOWN",IF(OR($O$7&lt;0,$O$7&gt;=1),"ERROR",IF($O$7=0,T7,T7/(1-$O$7))))),"ERROR")</f>
        <v/>
      </c>
      <c r="V7">
        <f>IFERROR(IF(NOT(ISNUMBER(R7)),R7,IF($L$7=0,R7-$J$7-$K$7*R7,IF(NOT(ISNUMBER(S7)),S7,R7-$J$7-$K$7*R7-$L$7*S7))),"ERROR")</f>
        <v/>
      </c>
      <c r="W7">
        <f>IFERROR(IF(NOT(ISNUMBER(V7)),V7,IF(R7=0,"ERROR",V7/R7)),"ERROR")</f>
        <v/>
      </c>
    </row>
    <row r="8">
      <c r="B8" s="8" t="inlineStr">
        <is>
          <t>Required Net Sales ex VAT</t>
        </is>
      </c>
      <c r="C8" s="25">
        <f>R7</f>
        <v/>
      </c>
      <c r="D8" s="21" t="n">
        <v>16666.66666666667</v>
      </c>
      <c r="E8" s="26">
        <f>IF(ISNUMBER(D8),IF(ISNUMBER(R7),ABS(R7-D8),"N/A"),"N/A")</f>
        <v/>
      </c>
      <c r="F8" s="15">
        <f>IF(ISNUMBER(D8),IF(AND(ISNUMBER(R7),ABS(R7-D8)&lt;=0.01),"PASS","FAIL"),IF(AND(NOT(ISNUMBER(R7)),R7=D8),"PASS","FAIL"))</f>
        <v/>
      </c>
    </row>
    <row r="9">
      <c r="B9" s="8" t="inlineStr">
        <is>
          <t>Required Gross Payment incl VAT</t>
        </is>
      </c>
      <c r="C9" s="25">
        <f>S7</f>
        <v/>
      </c>
      <c r="D9" s="21" t="n">
        <v>18333.33333333334</v>
      </c>
      <c r="E9" s="26">
        <f>IF(ISNUMBER(D9),IF(ISNUMBER(S7),ABS(S7-D9),"N/A"),"N/A")</f>
        <v/>
      </c>
      <c r="F9" s="15">
        <f>IF(ISNUMBER(D9),IF(AND(ISNUMBER(S7),ABS(S7-D9)&lt;=0.01),"PASS","FAIL"),IF(AND(NOT(ISNUMBER(S7)),S7=D9),"PASS","FAIL"))</f>
        <v/>
      </c>
    </row>
    <row r="10">
      <c r="B10" s="8" t="inlineStr">
        <is>
          <t>Required Selling Price</t>
        </is>
      </c>
      <c r="C10" s="25">
        <f>T7</f>
        <v/>
      </c>
      <c r="D10" s="21" t="n">
        <v>16666.66666666667</v>
      </c>
      <c r="E10" s="26">
        <f>IF(ISNUMBER(D10),IF(ISNUMBER(T7),ABS(T7-D10),"N/A"),"N/A")</f>
        <v/>
      </c>
      <c r="F10" s="15">
        <f>IF(ISNUMBER(D10),IF(AND(ISNUMBER(T7),ABS(T7-D10)&lt;=0.01),"PASS","FAIL"),IF(AND(NOT(ISNUMBER(T7)),T7=D10),"PASS","FAIL"))</f>
        <v/>
      </c>
    </row>
    <row r="11">
      <c r="B11" s="8" t="inlineStr">
        <is>
          <t>Required List Price</t>
        </is>
      </c>
      <c r="C11" s="25">
        <f>U7</f>
        <v/>
      </c>
      <c r="D11" s="30" t="inlineStr">
        <is>
          <t>UNKNOWN</t>
        </is>
      </c>
      <c r="E11" s="26">
        <f>IF(ISNUMBER(D11),IF(ISNUMBER(U7),ABS(U7-D11),"N/A"),"N/A")</f>
        <v/>
      </c>
      <c r="F11" s="15">
        <f>IF(ISNUMBER(D11),IF(AND(ISNUMBER(U7),ABS(U7-D11)&lt;=0.01),"PASS","FAIL"),IF(AND(NOT(ISNUMBER(U7)),U7=D11),"PASS","FAIL"))</f>
        <v/>
      </c>
    </row>
    <row r="12">
      <c r="B12" s="8" t="inlineStr">
        <is>
          <t>Expected Contribution Margin</t>
        </is>
      </c>
      <c r="C12" s="25">
        <f>V7</f>
        <v/>
      </c>
      <c r="D12" s="21" t="n">
        <v>6666.666666666668</v>
      </c>
      <c r="E12" s="26">
        <f>IF(ISNUMBER(D12),IF(ISNUMBER(V7),ABS(V7-D12),"N/A"),"N/A")</f>
        <v/>
      </c>
      <c r="F12" s="15">
        <f>IF(ISNUMBER(D12),IF(AND(ISNUMBER(V7),ABS(V7-D12)&lt;=0.01),"PASS","FAIL"),IF(AND(NOT(ISNUMBER(V7)),V7=D12),"PASS","FAIL"))</f>
        <v/>
      </c>
    </row>
    <row r="13">
      <c r="B13" s="8" t="inlineStr">
        <is>
          <t>Expected CM Rate</t>
        </is>
      </c>
      <c r="C13" s="28">
        <f>W7</f>
        <v/>
      </c>
      <c r="D13" s="29" t="n">
        <v>0.4</v>
      </c>
      <c r="E13" s="26">
        <f>IF(ISNUMBER(D13),IF(ISNUMBER(W7),ABS(W7-D13),"N/A"),"N/A")</f>
        <v/>
      </c>
      <c r="F13" s="15">
        <f>IF(ISNUMBER(D13),IF(AND(ISNUMBER(W7),ABS(W7-D13)&lt;=0.0001),"PASS","FAIL"),IF(AND(NOT(ISNUMBER(W7)),W7=D13),"PASS","FAIL"))</f>
        <v/>
      </c>
    </row>
    <row r="15" ht="20" customHeight="1">
      <c r="B15" s="2" t="inlineStr">
        <is>
          <t>2. Net-sales fee only (TC2)</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Denominator</t>
        </is>
      </c>
      <c r="C17" s="26">
        <f>Q17</f>
        <v/>
      </c>
      <c r="D17" s="35" t="n">
        <v>0.6</v>
      </c>
      <c r="E17" s="26">
        <f>IF(ISNUMBER(D17),IF(ISNUMBER(Q17),ABS(Q17-D17),"N/A"),"N/A")</f>
        <v/>
      </c>
      <c r="F17" s="15">
        <f>IF(ISNUMBER(D17),IF(AND(ISNUMBER(Q17),ABS(Q17-D17)&lt;=0.01),"PASS","FAIL"),IF(AND(NOT(ISNUMBER(Q17)),Q17=D17),"PASS","FAIL"))</f>
        <v/>
      </c>
      <c r="I17" t="n">
        <v>0.3</v>
      </c>
      <c r="J17" t="n">
        <v>10000</v>
      </c>
      <c r="K17" t="n">
        <v>0.1</v>
      </c>
      <c r="L17" t="n">
        <v>0</v>
      </c>
      <c r="M17" t="n">
        <v>0.1</v>
      </c>
      <c r="N17" t="b">
        <v>0</v>
      </c>
      <c r="P17" t="inlineStr">
        <is>
          <t>none</t>
        </is>
      </c>
      <c r="Q17">
        <f>IFERROR(IF($P$17="invalid","ERROR",IF($P$17="unresolved","UNKNOWN",IF(OR(AND(NOT(ISBLANK($I$17)),OR($I$17&lt;0,$I$17&gt;=1)),AND(NOT(ISBLANK($K$17)),$K$17&lt;0),AND(NOT(ISBLANK($L$17)),$L$17&lt;0),AND(NOT(ISBLANK($J$17)),$J$17&lt;0)),"ERROR",IF(OR(ISBLANK($I$17),ISBLANK($K$17),ISBLANK($L$17)),"UNKNOWN",IF($L$17=0,IF(1-$I$17-$K$17&lt;=0,"ERROR",1-$I$17-$K$17),IF(ISBLANK($M$17),"UNKNOWN",IF(1-$I$17-$K$17-$L$17*(1+$M$17)&lt;=0,"ERROR",1-$I$17-$K$17-$L$17*(1+$M$17)))))))),"ERROR")</f>
        <v/>
      </c>
      <c r="R17">
        <f>IFERROR(IF(ISBLANK($J$17),"UNKNOWN",IF(NOT(ISNUMBER(Q17)),Q17,$J$17/Q17)),"ERROR")</f>
        <v/>
      </c>
      <c r="S17">
        <f>IFERROR(IF(NOT(ISNUMBER(R17)),R17,IF(ISBLANK($M$17),"UNKNOWN",R17*(1+$M$17))),"ERROR")</f>
        <v/>
      </c>
      <c r="T17">
        <f>IFERROR(IF(ISBLANK($N$17),"UNKNOWN",IF($N$17=FALSE,R17,S17)),"ERROR")</f>
        <v/>
      </c>
      <c r="U17">
        <f>IFERROR(IF(NOT(ISNUMBER(T17)),T17,IF(ISBLANK($O$17),"UNKNOWN",IF(OR($O$17&lt;0,$O$17&gt;=1),"ERROR",IF($O$17=0,T17,T17/(1-$O$17))))),"ERROR")</f>
        <v/>
      </c>
      <c r="V17">
        <f>IFERROR(IF(NOT(ISNUMBER(R17)),R17,IF($L$17=0,R17-$J$17-$K$17*R17,IF(NOT(ISNUMBER(S17)),S17,R17-$J$17-$K$17*R17-$L$17*S17))),"ERROR")</f>
        <v/>
      </c>
      <c r="W17">
        <f>IFERROR(IF(NOT(ISNUMBER(V17)),V17,IF(R17=0,"ERROR",V17/R17)),"ERROR")</f>
        <v/>
      </c>
    </row>
    <row r="18">
      <c r="B18" s="8" t="inlineStr">
        <is>
          <t>Required Net Sales ex VAT</t>
        </is>
      </c>
      <c r="C18" s="25">
        <f>R17</f>
        <v/>
      </c>
      <c r="D18" s="21" t="n">
        <v>16666.66666666667</v>
      </c>
      <c r="E18" s="26">
        <f>IF(ISNUMBER(D18),IF(ISNUMBER(R17),ABS(R17-D18),"N/A"),"N/A")</f>
        <v/>
      </c>
      <c r="F18" s="15">
        <f>IF(ISNUMBER(D18),IF(AND(ISNUMBER(R17),ABS(R17-D18)&lt;=0.01),"PASS","FAIL"),IF(AND(NOT(ISNUMBER(R17)),R17=D18),"PASS","FAIL"))</f>
        <v/>
      </c>
    </row>
    <row r="19">
      <c r="B19" s="8" t="inlineStr">
        <is>
          <t>Required Gross Payment incl VAT</t>
        </is>
      </c>
      <c r="C19" s="25">
        <f>S17</f>
        <v/>
      </c>
      <c r="D19" s="21" t="n">
        <v>18333.33333333334</v>
      </c>
      <c r="E19" s="26">
        <f>IF(ISNUMBER(D19),IF(ISNUMBER(S17),ABS(S17-D19),"N/A"),"N/A")</f>
        <v/>
      </c>
      <c r="F19" s="15">
        <f>IF(ISNUMBER(D19),IF(AND(ISNUMBER(S17),ABS(S17-D19)&lt;=0.01),"PASS","FAIL"),IF(AND(NOT(ISNUMBER(S17)),S17=D19),"PASS","FAIL"))</f>
        <v/>
      </c>
    </row>
    <row r="20">
      <c r="B20" s="8" t="inlineStr">
        <is>
          <t>Required Selling Price</t>
        </is>
      </c>
      <c r="C20" s="25">
        <f>T17</f>
        <v/>
      </c>
      <c r="D20" s="21" t="n">
        <v>16666.66666666667</v>
      </c>
      <c r="E20" s="26">
        <f>IF(ISNUMBER(D20),IF(ISNUMBER(T17),ABS(T17-D20),"N/A"),"N/A")</f>
        <v/>
      </c>
      <c r="F20" s="15">
        <f>IF(ISNUMBER(D20),IF(AND(ISNUMBER(T17),ABS(T17-D20)&lt;=0.01),"PASS","FAIL"),IF(AND(NOT(ISNUMBER(T17)),T17=D20),"PASS","FAIL"))</f>
        <v/>
      </c>
    </row>
    <row r="21">
      <c r="B21" s="8" t="inlineStr">
        <is>
          <t>Required List Price</t>
        </is>
      </c>
      <c r="C21" s="25">
        <f>U17</f>
        <v/>
      </c>
      <c r="D21" s="30" t="inlineStr">
        <is>
          <t>UNKNOWN</t>
        </is>
      </c>
      <c r="E21" s="26">
        <f>IF(ISNUMBER(D21),IF(ISNUMBER(U17),ABS(U17-D21),"N/A"),"N/A")</f>
        <v/>
      </c>
      <c r="F21" s="15">
        <f>IF(ISNUMBER(D21),IF(AND(ISNUMBER(U17),ABS(U17-D21)&lt;=0.01),"PASS","FAIL"),IF(AND(NOT(ISNUMBER(U17)),U17=D21),"PASS","FAIL"))</f>
        <v/>
      </c>
    </row>
    <row r="22">
      <c r="B22" s="8" t="inlineStr">
        <is>
          <t>Expected Contribution Margin</t>
        </is>
      </c>
      <c r="C22" s="25">
        <f>V17</f>
        <v/>
      </c>
      <c r="D22" s="21" t="n">
        <v>5000</v>
      </c>
      <c r="E22" s="26">
        <f>IF(ISNUMBER(D22),IF(ISNUMBER(V17),ABS(V17-D22),"N/A"),"N/A")</f>
        <v/>
      </c>
      <c r="F22" s="15">
        <f>IF(ISNUMBER(D22),IF(AND(ISNUMBER(V17),ABS(V17-D22)&lt;=0.01),"PASS","FAIL"),IF(AND(NOT(ISNUMBER(V17)),V17=D22),"PASS","FAIL"))</f>
        <v/>
      </c>
    </row>
    <row r="23">
      <c r="B23" s="8" t="inlineStr">
        <is>
          <t>Expected CM Rate</t>
        </is>
      </c>
      <c r="C23" s="28">
        <f>W17</f>
        <v/>
      </c>
      <c r="D23" s="29" t="n">
        <v>0.3</v>
      </c>
      <c r="E23" s="26">
        <f>IF(ISNUMBER(D23),IF(ISNUMBER(W17),ABS(W17-D23),"N/A"),"N/A")</f>
        <v/>
      </c>
      <c r="F23" s="15">
        <f>IF(ISNUMBER(D23),IF(AND(ISNUMBER(W17),ABS(W17-D23)&lt;=0.0001),"PASS","FAIL"),IF(AND(NOT(ISNUMBER(W17)),W17=D23),"PASS","FAIL"))</f>
        <v/>
      </c>
    </row>
    <row r="25" ht="20" customHeight="1">
      <c r="B25" s="2" t="inlineStr">
        <is>
          <t>3. Gross-payment fee only, VAT-exclusive display (TC3)</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Denominator</t>
        </is>
      </c>
      <c r="C27" s="26">
        <f>Q27</f>
        <v/>
      </c>
      <c r="D27" s="35" t="n">
        <v>0.6449999999999999</v>
      </c>
      <c r="E27" s="26">
        <f>IF(ISNUMBER(D27),IF(ISNUMBER(Q27),ABS(Q27-D27),"N/A"),"N/A")</f>
        <v/>
      </c>
      <c r="F27" s="15">
        <f>IF(ISNUMBER(D27),IF(AND(ISNUMBER(Q27),ABS(Q27-D27)&lt;=0.01),"PASS","FAIL"),IF(AND(NOT(ISNUMBER(Q27)),Q27=D27),"PASS","FAIL"))</f>
        <v/>
      </c>
      <c r="I27" t="n">
        <v>0.3</v>
      </c>
      <c r="J27" t="n">
        <v>10000</v>
      </c>
      <c r="K27" t="n">
        <v>0</v>
      </c>
      <c r="L27" t="n">
        <v>0.05</v>
      </c>
      <c r="M27" t="n">
        <v>0.1</v>
      </c>
      <c r="N27" t="b">
        <v>0</v>
      </c>
      <c r="P27" t="inlineStr">
        <is>
          <t>none</t>
        </is>
      </c>
      <c r="Q27">
        <f>IFERROR(IF($P$27="invalid","ERROR",IF($P$27="unresolved","UNKNOWN",IF(OR(AND(NOT(ISBLANK($I$27)),OR($I$27&lt;0,$I$27&gt;=1)),AND(NOT(ISBLANK($K$27)),$K$27&lt;0),AND(NOT(ISBLANK($L$27)),$L$27&lt;0),AND(NOT(ISBLANK($J$27)),$J$27&lt;0)),"ERROR",IF(OR(ISBLANK($I$27),ISBLANK($K$27),ISBLANK($L$27)),"UNKNOWN",IF($L$27=0,IF(1-$I$27-$K$27&lt;=0,"ERROR",1-$I$27-$K$27),IF(ISBLANK($M$27),"UNKNOWN",IF(1-$I$27-$K$27-$L$27*(1+$M$27)&lt;=0,"ERROR",1-$I$27-$K$27-$L$27*(1+$M$27)))))))),"ERROR")</f>
        <v/>
      </c>
      <c r="R27">
        <f>IFERROR(IF(ISBLANK($J$27),"UNKNOWN",IF(NOT(ISNUMBER(Q27)),Q27,$J$27/Q27)),"ERROR")</f>
        <v/>
      </c>
      <c r="S27">
        <f>IFERROR(IF(NOT(ISNUMBER(R27)),R27,IF(ISBLANK($M$27),"UNKNOWN",R27*(1+$M$27))),"ERROR")</f>
        <v/>
      </c>
      <c r="T27">
        <f>IFERROR(IF(ISBLANK($N$27),"UNKNOWN",IF($N$27=FALSE,R27,S27)),"ERROR")</f>
        <v/>
      </c>
      <c r="U27">
        <f>IFERROR(IF(NOT(ISNUMBER(T27)),T27,IF(ISBLANK($O$27),"UNKNOWN",IF(OR($O$27&lt;0,$O$27&gt;=1),"ERROR",IF($O$27=0,T27,T27/(1-$O$27))))),"ERROR")</f>
        <v/>
      </c>
      <c r="V27">
        <f>IFERROR(IF(NOT(ISNUMBER(R27)),R27,IF($L$27=0,R27-$J$27-$K$27*R27,IF(NOT(ISNUMBER(S27)),S27,R27-$J$27-$K$27*R27-$L$27*S27))),"ERROR")</f>
        <v/>
      </c>
      <c r="W27">
        <f>IFERROR(IF(NOT(ISNUMBER(V27)),V27,IF(R27=0,"ERROR",V27/R27)),"ERROR")</f>
        <v/>
      </c>
    </row>
    <row r="28">
      <c r="B28" s="8" t="inlineStr">
        <is>
          <t>Required Net Sales ex VAT</t>
        </is>
      </c>
      <c r="C28" s="25">
        <f>R27</f>
        <v/>
      </c>
      <c r="D28" s="21" t="n">
        <v>15503.87596899225</v>
      </c>
      <c r="E28" s="26">
        <f>IF(ISNUMBER(D28),IF(ISNUMBER(R27),ABS(R27-D28),"N/A"),"N/A")</f>
        <v/>
      </c>
      <c r="F28" s="15">
        <f>IF(ISNUMBER(D28),IF(AND(ISNUMBER(R27),ABS(R27-D28)&lt;=0.01),"PASS","FAIL"),IF(AND(NOT(ISNUMBER(R27)),R27=D28),"PASS","FAIL"))</f>
        <v/>
      </c>
    </row>
    <row r="29">
      <c r="B29" s="8" t="inlineStr">
        <is>
          <t>Required Gross Payment incl VAT</t>
        </is>
      </c>
      <c r="C29" s="25">
        <f>S27</f>
        <v/>
      </c>
      <c r="D29" s="21" t="n">
        <v>17054.26356589148</v>
      </c>
      <c r="E29" s="26">
        <f>IF(ISNUMBER(D29),IF(ISNUMBER(S27),ABS(S27-D29),"N/A"),"N/A")</f>
        <v/>
      </c>
      <c r="F29" s="15">
        <f>IF(ISNUMBER(D29),IF(AND(ISNUMBER(S27),ABS(S27-D29)&lt;=0.01),"PASS","FAIL"),IF(AND(NOT(ISNUMBER(S27)),S27=D29),"PASS","FAIL"))</f>
        <v/>
      </c>
    </row>
    <row r="30">
      <c r="B30" s="8" t="inlineStr">
        <is>
          <t>Required Selling Price</t>
        </is>
      </c>
      <c r="C30" s="25">
        <f>T27</f>
        <v/>
      </c>
      <c r="D30" s="21" t="n">
        <v>15503.87596899225</v>
      </c>
      <c r="E30" s="26">
        <f>IF(ISNUMBER(D30),IF(ISNUMBER(T27),ABS(T27-D30),"N/A"),"N/A")</f>
        <v/>
      </c>
      <c r="F30" s="15">
        <f>IF(ISNUMBER(D30),IF(AND(ISNUMBER(T27),ABS(T27-D30)&lt;=0.01),"PASS","FAIL"),IF(AND(NOT(ISNUMBER(T27)),T27=D30),"PASS","FAIL"))</f>
        <v/>
      </c>
    </row>
    <row r="31">
      <c r="B31" s="8" t="inlineStr">
        <is>
          <t>Required List Price</t>
        </is>
      </c>
      <c r="C31" s="25">
        <f>U27</f>
        <v/>
      </c>
      <c r="D31" s="30" t="inlineStr">
        <is>
          <t>UNKNOWN</t>
        </is>
      </c>
      <c r="E31" s="26">
        <f>IF(ISNUMBER(D31),IF(ISNUMBER(U27),ABS(U27-D31),"N/A"),"N/A")</f>
        <v/>
      </c>
      <c r="F31" s="15">
        <f>IF(ISNUMBER(D31),IF(AND(ISNUMBER(U27),ABS(U27-D31)&lt;=0.01),"PASS","FAIL"),IF(AND(NOT(ISNUMBER(U27)),U27=D31),"PASS","FAIL"))</f>
        <v/>
      </c>
    </row>
    <row r="32">
      <c r="B32" s="8" t="inlineStr">
        <is>
          <t>Expected Contribution Margin</t>
        </is>
      </c>
      <c r="C32" s="25">
        <f>V27</f>
        <v/>
      </c>
      <c r="D32" s="21" t="n">
        <v>4651.162790697675</v>
      </c>
      <c r="E32" s="26">
        <f>IF(ISNUMBER(D32),IF(ISNUMBER(V27),ABS(V27-D32),"N/A"),"N/A")</f>
        <v/>
      </c>
      <c r="F32" s="15">
        <f>IF(ISNUMBER(D32),IF(AND(ISNUMBER(V27),ABS(V27-D32)&lt;=0.01),"PASS","FAIL"),IF(AND(NOT(ISNUMBER(V27)),V27=D32),"PASS","FAIL"))</f>
        <v/>
      </c>
    </row>
    <row r="33">
      <c r="B33" s="8" t="inlineStr">
        <is>
          <t>Expected CM Rate</t>
        </is>
      </c>
      <c r="C33" s="28">
        <f>W27</f>
        <v/>
      </c>
      <c r="D33" s="29" t="n">
        <v>0.3</v>
      </c>
      <c r="E33" s="26">
        <f>IF(ISNUMBER(D33),IF(ISNUMBER(W27),ABS(W27-D33),"N/A"),"N/A")</f>
        <v/>
      </c>
      <c r="F33" s="15">
        <f>IF(ISNUMBER(D33),IF(AND(ISNUMBER(W27),ABS(W27-D33)&lt;=0.0001),"PASS","FAIL"),IF(AND(NOT(ISNUMBER(W27)),W27=D33),"PASS","FAIL"))</f>
        <v/>
      </c>
    </row>
    <row r="35" ht="20" customHeight="1">
      <c r="B35" s="2" t="inlineStr">
        <is>
          <t>4. VAT-inclusive display, both fee types (TC4)</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Denominator</t>
        </is>
      </c>
      <c r="C37" s="26">
        <f>Q37</f>
        <v/>
      </c>
      <c r="D37" s="35" t="n">
        <v>0.5669999999999999</v>
      </c>
      <c r="E37" s="26">
        <f>IF(ISNUMBER(D37),IF(ISNUMBER(Q37),ABS(Q37-D37),"N/A"),"N/A")</f>
        <v/>
      </c>
      <c r="F37" s="15">
        <f>IF(ISNUMBER(D37),IF(AND(ISNUMBER(Q37),ABS(Q37-D37)&lt;=0.01),"PASS","FAIL"),IF(AND(NOT(ISNUMBER(Q37)),Q37=D37),"PASS","FAIL"))</f>
        <v/>
      </c>
      <c r="I37" t="n">
        <v>0.3</v>
      </c>
      <c r="J37" t="n">
        <v>10000</v>
      </c>
      <c r="K37" t="n">
        <v>0.1</v>
      </c>
      <c r="L37" t="n">
        <v>0.03</v>
      </c>
      <c r="M37" t="n">
        <v>0.1</v>
      </c>
      <c r="N37" t="b">
        <v>1</v>
      </c>
      <c r="P37" t="inlineStr">
        <is>
          <t>none</t>
        </is>
      </c>
      <c r="Q37">
        <f>IFERROR(IF($P$37="invalid","ERROR",IF($P$37="unresolved","UNKNOWN",IF(OR(AND(NOT(ISBLANK($I$37)),OR($I$37&lt;0,$I$37&gt;=1)),AND(NOT(ISBLANK($K$37)),$K$37&lt;0),AND(NOT(ISBLANK($L$37)),$L$37&lt;0),AND(NOT(ISBLANK($J$37)),$J$37&lt;0)),"ERROR",IF(OR(ISBLANK($I$37),ISBLANK($K$37),ISBLANK($L$37)),"UNKNOWN",IF($L$37=0,IF(1-$I$37-$K$37&lt;=0,"ERROR",1-$I$37-$K$37),IF(ISBLANK($M$37),"UNKNOWN",IF(1-$I$37-$K$37-$L$37*(1+$M$37)&lt;=0,"ERROR",1-$I$37-$K$37-$L$37*(1+$M$37)))))))),"ERROR")</f>
        <v/>
      </c>
      <c r="R37">
        <f>IFERROR(IF(ISBLANK($J$37),"UNKNOWN",IF(NOT(ISNUMBER(Q37)),Q37,$J$37/Q37)),"ERROR")</f>
        <v/>
      </c>
      <c r="S37">
        <f>IFERROR(IF(NOT(ISNUMBER(R37)),R37,IF(ISBLANK($M$37),"UNKNOWN",R37*(1+$M$37))),"ERROR")</f>
        <v/>
      </c>
      <c r="T37">
        <f>IFERROR(IF(ISBLANK($N$37),"UNKNOWN",IF($N$37=FALSE,R37,S37)),"ERROR")</f>
        <v/>
      </c>
      <c r="U37">
        <f>IFERROR(IF(NOT(ISNUMBER(T37)),T37,IF(ISBLANK($O$37),"UNKNOWN",IF(OR($O$37&lt;0,$O$37&gt;=1),"ERROR",IF($O$37=0,T37,T37/(1-$O$37))))),"ERROR")</f>
        <v/>
      </c>
      <c r="V37">
        <f>IFERROR(IF(NOT(ISNUMBER(R37)),R37,IF($L$37=0,R37-$J$37-$K$37*R37,IF(NOT(ISNUMBER(S37)),S37,R37-$J$37-$K$37*R37-$L$37*S37))),"ERROR")</f>
        <v/>
      </c>
      <c r="W37">
        <f>IFERROR(IF(NOT(ISNUMBER(V37)),V37,IF(R37=0,"ERROR",V37/R37)),"ERROR")</f>
        <v/>
      </c>
    </row>
    <row r="38">
      <c r="B38" s="8" t="inlineStr">
        <is>
          <t>Required Net Sales ex VAT</t>
        </is>
      </c>
      <c r="C38" s="25">
        <f>R37</f>
        <v/>
      </c>
      <c r="D38" s="21" t="n">
        <v>17636.68430335097</v>
      </c>
      <c r="E38" s="26">
        <f>IF(ISNUMBER(D38),IF(ISNUMBER(R37),ABS(R37-D38),"N/A"),"N/A")</f>
        <v/>
      </c>
      <c r="F38" s="15">
        <f>IF(ISNUMBER(D38),IF(AND(ISNUMBER(R37),ABS(R37-D38)&lt;=0.01),"PASS","FAIL"),IF(AND(NOT(ISNUMBER(R37)),R37=D38),"PASS","FAIL"))</f>
        <v/>
      </c>
    </row>
    <row r="39">
      <c r="B39" s="8" t="inlineStr">
        <is>
          <t>Required Gross Payment incl VAT</t>
        </is>
      </c>
      <c r="C39" s="25">
        <f>S37</f>
        <v/>
      </c>
      <c r="D39" s="21" t="n">
        <v>19400.35273368607</v>
      </c>
      <c r="E39" s="26">
        <f>IF(ISNUMBER(D39),IF(ISNUMBER(S37),ABS(S37-D39),"N/A"),"N/A")</f>
        <v/>
      </c>
      <c r="F39" s="15">
        <f>IF(ISNUMBER(D39),IF(AND(ISNUMBER(S37),ABS(S37-D39)&lt;=0.01),"PASS","FAIL"),IF(AND(NOT(ISNUMBER(S37)),S37=D39),"PASS","FAIL"))</f>
        <v/>
      </c>
    </row>
    <row r="40">
      <c r="B40" s="8" t="inlineStr">
        <is>
          <t>Required Selling Price</t>
        </is>
      </c>
      <c r="C40" s="25">
        <f>T37</f>
        <v/>
      </c>
      <c r="D40" s="21" t="n">
        <v>19400.35273368607</v>
      </c>
      <c r="E40" s="26">
        <f>IF(ISNUMBER(D40),IF(ISNUMBER(T37),ABS(T37-D40),"N/A"),"N/A")</f>
        <v/>
      </c>
      <c r="F40" s="15">
        <f>IF(ISNUMBER(D40),IF(AND(ISNUMBER(T37),ABS(T37-D40)&lt;=0.01),"PASS","FAIL"),IF(AND(NOT(ISNUMBER(T37)),T37=D40),"PASS","FAIL"))</f>
        <v/>
      </c>
    </row>
    <row r="41">
      <c r="B41" s="8" t="inlineStr">
        <is>
          <t>Required List Price</t>
        </is>
      </c>
      <c r="C41" s="25">
        <f>U37</f>
        <v/>
      </c>
      <c r="D41" s="30" t="inlineStr">
        <is>
          <t>UNKNOWN</t>
        </is>
      </c>
      <c r="E41" s="26">
        <f>IF(ISNUMBER(D41),IF(ISNUMBER(U37),ABS(U37-D41),"N/A"),"N/A")</f>
        <v/>
      </c>
      <c r="F41" s="15">
        <f>IF(ISNUMBER(D41),IF(AND(ISNUMBER(U37),ABS(U37-D41)&lt;=0.01),"PASS","FAIL"),IF(AND(NOT(ISNUMBER(U37)),U37=D41),"PASS","FAIL"))</f>
        <v/>
      </c>
    </row>
    <row r="42">
      <c r="B42" s="8" t="inlineStr">
        <is>
          <t>Expected Contribution Margin</t>
        </is>
      </c>
      <c r="C42" s="25">
        <f>V37</f>
        <v/>
      </c>
      <c r="D42" s="21" t="n">
        <v>5291.005291005292</v>
      </c>
      <c r="E42" s="26">
        <f>IF(ISNUMBER(D42),IF(ISNUMBER(V37),ABS(V37-D42),"N/A"),"N/A")</f>
        <v/>
      </c>
      <c r="F42" s="15">
        <f>IF(ISNUMBER(D42),IF(AND(ISNUMBER(V37),ABS(V37-D42)&lt;=0.01),"PASS","FAIL"),IF(AND(NOT(ISNUMBER(V37)),V37=D42),"PASS","FAIL"))</f>
        <v/>
      </c>
    </row>
    <row r="43">
      <c r="B43" s="8" t="inlineStr">
        <is>
          <t>Expected CM Rate</t>
        </is>
      </c>
      <c r="C43" s="28">
        <f>W37</f>
        <v/>
      </c>
      <c r="D43" s="29" t="n">
        <v>0.3</v>
      </c>
      <c r="E43" s="26">
        <f>IF(ISNUMBER(D43),IF(ISNUMBER(W37),ABS(W37-D43),"N/A"),"N/A")</f>
        <v/>
      </c>
      <c r="F43" s="15">
        <f>IF(ISNUMBER(D43),IF(AND(ISNUMBER(W37),ABS(W37-D43)&lt;=0.0001),"PASS","FAIL"),IF(AND(NOT(ISNUMBER(W37)),W37=D43),"PASS","FAIL"))</f>
        <v/>
      </c>
    </row>
    <row r="45" ht="20" customHeight="1">
      <c r="B45" s="2" t="inlineStr">
        <is>
          <t>5. VAT-exclusive display, both fee types (TC5)</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Denominator</t>
        </is>
      </c>
      <c r="C47" s="26">
        <f>Q47</f>
        <v/>
      </c>
      <c r="D47" s="35" t="n">
        <v>0.6779999999999999</v>
      </c>
      <c r="E47" s="26">
        <f>IF(ISNUMBER(D47),IF(ISNUMBER(Q47),ABS(Q47-D47),"N/A"),"N/A")</f>
        <v/>
      </c>
      <c r="F47" s="15">
        <f>IF(ISNUMBER(D47),IF(AND(ISNUMBER(Q47),ABS(Q47-D47)&lt;=0.01),"PASS","FAIL"),IF(AND(NOT(ISNUMBER(Q47)),Q47=D47),"PASS","FAIL"))</f>
        <v/>
      </c>
      <c r="I47" t="n">
        <v>0.25</v>
      </c>
      <c r="J47" t="n">
        <v>8000</v>
      </c>
      <c r="K47" t="n">
        <v>0.05</v>
      </c>
      <c r="L47" t="n">
        <v>0.02</v>
      </c>
      <c r="M47" t="n">
        <v>0.1</v>
      </c>
      <c r="N47" t="b">
        <v>0</v>
      </c>
      <c r="P47" t="inlineStr">
        <is>
          <t>none</t>
        </is>
      </c>
      <c r="Q47">
        <f>IFERROR(IF($P$47="invalid","ERROR",IF($P$47="unresolved","UNKNOWN",IF(OR(AND(NOT(ISBLANK($I$47)),OR($I$47&lt;0,$I$47&gt;=1)),AND(NOT(ISBLANK($K$47)),$K$47&lt;0),AND(NOT(ISBLANK($L$47)),$L$47&lt;0),AND(NOT(ISBLANK($J$47)),$J$47&lt;0)),"ERROR",IF(OR(ISBLANK($I$47),ISBLANK($K$47),ISBLANK($L$47)),"UNKNOWN",IF($L$47=0,IF(1-$I$47-$K$47&lt;=0,"ERROR",1-$I$47-$K$47),IF(ISBLANK($M$47),"UNKNOWN",IF(1-$I$47-$K$47-$L$47*(1+$M$47)&lt;=0,"ERROR",1-$I$47-$K$47-$L$47*(1+$M$47)))))))),"ERROR")</f>
        <v/>
      </c>
      <c r="R47">
        <f>IFERROR(IF(ISBLANK($J$47),"UNKNOWN",IF(NOT(ISNUMBER(Q47)),Q47,$J$47/Q47)),"ERROR")</f>
        <v/>
      </c>
      <c r="S47">
        <f>IFERROR(IF(NOT(ISNUMBER(R47)),R47,IF(ISBLANK($M$47),"UNKNOWN",R47*(1+$M$47))),"ERROR")</f>
        <v/>
      </c>
      <c r="T47">
        <f>IFERROR(IF(ISBLANK($N$47),"UNKNOWN",IF($N$47=FALSE,R47,S47)),"ERROR")</f>
        <v/>
      </c>
      <c r="U47">
        <f>IFERROR(IF(NOT(ISNUMBER(T47)),T47,IF(ISBLANK($O$47),"UNKNOWN",IF(OR($O$47&lt;0,$O$47&gt;=1),"ERROR",IF($O$47=0,T47,T47/(1-$O$47))))),"ERROR")</f>
        <v/>
      </c>
      <c r="V47">
        <f>IFERROR(IF(NOT(ISNUMBER(R47)),R47,IF($L$47=0,R47-$J$47-$K$47*R47,IF(NOT(ISNUMBER(S47)),S47,R47-$J$47-$K$47*R47-$L$47*S47))),"ERROR")</f>
        <v/>
      </c>
      <c r="W47">
        <f>IFERROR(IF(NOT(ISNUMBER(V47)),V47,IF(R47=0,"ERROR",V47/R47)),"ERROR")</f>
        <v/>
      </c>
    </row>
    <row r="48">
      <c r="B48" s="8" t="inlineStr">
        <is>
          <t>Required Net Sales ex VAT</t>
        </is>
      </c>
      <c r="C48" s="25">
        <f>R47</f>
        <v/>
      </c>
      <c r="D48" s="21" t="n">
        <v>11799.41002949853</v>
      </c>
      <c r="E48" s="26">
        <f>IF(ISNUMBER(D48),IF(ISNUMBER(R47),ABS(R47-D48),"N/A"),"N/A")</f>
        <v/>
      </c>
      <c r="F48" s="15">
        <f>IF(ISNUMBER(D48),IF(AND(ISNUMBER(R47),ABS(R47-D48)&lt;=0.01),"PASS","FAIL"),IF(AND(NOT(ISNUMBER(R47)),R47=D48),"PASS","FAIL"))</f>
        <v/>
      </c>
    </row>
    <row r="49">
      <c r="B49" s="8" t="inlineStr">
        <is>
          <t>Required Gross Payment incl VAT</t>
        </is>
      </c>
      <c r="C49" s="25">
        <f>S47</f>
        <v/>
      </c>
      <c r="D49" s="21" t="n">
        <v>12979.35103244838</v>
      </c>
      <c r="E49" s="26">
        <f>IF(ISNUMBER(D49),IF(ISNUMBER(S47),ABS(S47-D49),"N/A"),"N/A")</f>
        <v/>
      </c>
      <c r="F49" s="15">
        <f>IF(ISNUMBER(D49),IF(AND(ISNUMBER(S47),ABS(S47-D49)&lt;=0.01),"PASS","FAIL"),IF(AND(NOT(ISNUMBER(S47)),S47=D49),"PASS","FAIL"))</f>
        <v/>
      </c>
    </row>
    <row r="50">
      <c r="B50" s="8" t="inlineStr">
        <is>
          <t>Required Selling Price</t>
        </is>
      </c>
      <c r="C50" s="25">
        <f>T47</f>
        <v/>
      </c>
      <c r="D50" s="21" t="n">
        <v>11799.41002949853</v>
      </c>
      <c r="E50" s="26">
        <f>IF(ISNUMBER(D50),IF(ISNUMBER(T47),ABS(T47-D50),"N/A"),"N/A")</f>
        <v/>
      </c>
      <c r="F50" s="15">
        <f>IF(ISNUMBER(D50),IF(AND(ISNUMBER(T47),ABS(T47-D50)&lt;=0.01),"PASS","FAIL"),IF(AND(NOT(ISNUMBER(T47)),T47=D50),"PASS","FAIL"))</f>
        <v/>
      </c>
    </row>
    <row r="51">
      <c r="B51" s="8" t="inlineStr">
        <is>
          <t>Required List Price</t>
        </is>
      </c>
      <c r="C51" s="25">
        <f>U47</f>
        <v/>
      </c>
      <c r="D51" s="30" t="inlineStr">
        <is>
          <t>UNKNOWN</t>
        </is>
      </c>
      <c r="E51" s="26">
        <f>IF(ISNUMBER(D51),IF(ISNUMBER(U47),ABS(U47-D51),"N/A"),"N/A")</f>
        <v/>
      </c>
      <c r="F51" s="15">
        <f>IF(ISNUMBER(D51),IF(AND(ISNUMBER(U47),ABS(U47-D51)&lt;=0.01),"PASS","FAIL"),IF(AND(NOT(ISNUMBER(U47)),U47=D51),"PASS","FAIL"))</f>
        <v/>
      </c>
    </row>
    <row r="52">
      <c r="B52" s="8" t="inlineStr">
        <is>
          <t>Expected Contribution Margin</t>
        </is>
      </c>
      <c r="C52" s="25">
        <f>V47</f>
        <v/>
      </c>
      <c r="D52" s="21" t="n">
        <v>2949.852507374631</v>
      </c>
      <c r="E52" s="26">
        <f>IF(ISNUMBER(D52),IF(ISNUMBER(V47),ABS(V47-D52),"N/A"),"N/A")</f>
        <v/>
      </c>
      <c r="F52" s="15">
        <f>IF(ISNUMBER(D52),IF(AND(ISNUMBER(V47),ABS(V47-D52)&lt;=0.01),"PASS","FAIL"),IF(AND(NOT(ISNUMBER(V47)),V47=D52),"PASS","FAIL"))</f>
        <v/>
      </c>
    </row>
    <row r="53">
      <c r="B53" s="8" t="inlineStr">
        <is>
          <t>Expected CM Rate</t>
        </is>
      </c>
      <c r="C53" s="28">
        <f>W47</f>
        <v/>
      </c>
      <c r="D53" s="29" t="n">
        <v>0.25</v>
      </c>
      <c r="E53" s="26">
        <f>IF(ISNUMBER(D53),IF(ISNUMBER(W47),ABS(W47-D53),"N/A"),"N/A")</f>
        <v/>
      </c>
      <c r="F53" s="15">
        <f>IF(ISNUMBER(D53),IF(AND(ISNUMBER(W47),ABS(W47-D53)&lt;=0.0001),"PASS","FAIL"),IF(AND(NOT(ISNUMBER(W47)),W47=D53),"PASS","FAIL"))</f>
        <v/>
      </c>
    </row>
    <row r="55" ht="20" customHeight="1">
      <c r="B55" s="2" t="inlineStr">
        <is>
          <t>6. VAT-exclusive, VAT UNKNOWN, gross-payment fee (TC11)</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Denominator</t>
        </is>
      </c>
      <c r="C57" s="26">
        <f>Q57</f>
        <v/>
      </c>
      <c r="D57" s="30" t="inlineStr">
        <is>
          <t>UNKNOWN</t>
        </is>
      </c>
      <c r="E57" s="26">
        <f>IF(ISNUMBER(D57),IF(ISNUMBER(Q57),ABS(Q57-D57),"N/A"),"N/A")</f>
        <v/>
      </c>
      <c r="F57" s="15">
        <f>IF(ISNUMBER(D57),IF(AND(ISNUMBER(Q57),ABS(Q57-D57)&lt;=0.01),"PASS","FAIL"),IF(AND(NOT(ISNUMBER(Q57)),Q57=D57),"PASS","FAIL"))</f>
        <v/>
      </c>
      <c r="I57" t="n">
        <v>0.3</v>
      </c>
      <c r="J57" t="n">
        <v>10000</v>
      </c>
      <c r="K57" t="n">
        <v>0</v>
      </c>
      <c r="L57" t="n">
        <v>0.05</v>
      </c>
      <c r="N57" t="b">
        <v>0</v>
      </c>
      <c r="P57" t="inlineStr">
        <is>
          <t>none</t>
        </is>
      </c>
      <c r="Q57">
        <f>IFERROR(IF($P$57="invalid","ERROR",IF($P$57="unresolved","UNKNOWN",IF(OR(AND(NOT(ISBLANK($I$57)),OR($I$57&lt;0,$I$57&gt;=1)),AND(NOT(ISBLANK($K$57)),$K$57&lt;0),AND(NOT(ISBLANK($L$57)),$L$57&lt;0),AND(NOT(ISBLANK($J$57)),$J$57&lt;0)),"ERROR",IF(OR(ISBLANK($I$57),ISBLANK($K$57),ISBLANK($L$57)),"UNKNOWN",IF($L$57=0,IF(1-$I$57-$K$57&lt;=0,"ERROR",1-$I$57-$K$57),IF(ISBLANK($M$57),"UNKNOWN",IF(1-$I$57-$K$57-$L$57*(1+$M$57)&lt;=0,"ERROR",1-$I$57-$K$57-$L$57*(1+$M$57)))))))),"ERROR")</f>
        <v/>
      </c>
      <c r="R57">
        <f>IFERROR(IF(ISBLANK($J$57),"UNKNOWN",IF(NOT(ISNUMBER(Q57)),Q57,$J$57/Q57)),"ERROR")</f>
        <v/>
      </c>
      <c r="S57">
        <f>IFERROR(IF(NOT(ISNUMBER(R57)),R57,IF(ISBLANK($M$57),"UNKNOWN",R57*(1+$M$57))),"ERROR")</f>
        <v/>
      </c>
      <c r="T57">
        <f>IFERROR(IF(ISBLANK($N$57),"UNKNOWN",IF($N$57=FALSE,R57,S57)),"ERROR")</f>
        <v/>
      </c>
      <c r="U57">
        <f>IFERROR(IF(NOT(ISNUMBER(T57)),T57,IF(ISBLANK($O$57),"UNKNOWN",IF(OR($O$57&lt;0,$O$57&gt;=1),"ERROR",IF($O$57=0,T57,T57/(1-$O$57))))),"ERROR")</f>
        <v/>
      </c>
      <c r="V57">
        <f>IFERROR(IF(NOT(ISNUMBER(R57)),R57,IF($L$57=0,R57-$J$57-$K$57*R57,IF(NOT(ISNUMBER(S57)),S57,R57-$J$57-$K$57*R57-$L$57*S57))),"ERROR")</f>
        <v/>
      </c>
      <c r="W57">
        <f>IFERROR(IF(NOT(ISNUMBER(V57)),V57,IF(R57=0,"ERROR",V57/R57)),"ERROR")</f>
        <v/>
      </c>
    </row>
    <row r="58">
      <c r="B58" s="8" t="inlineStr">
        <is>
          <t>Required Net Sales ex VAT</t>
        </is>
      </c>
      <c r="C58" s="25">
        <f>R57</f>
        <v/>
      </c>
      <c r="D58" s="30" t="inlineStr">
        <is>
          <t>UNKNOWN</t>
        </is>
      </c>
      <c r="E58" s="26">
        <f>IF(ISNUMBER(D58),IF(ISNUMBER(R57),ABS(R57-D58),"N/A"),"N/A")</f>
        <v/>
      </c>
      <c r="F58" s="15">
        <f>IF(ISNUMBER(D58),IF(AND(ISNUMBER(R57),ABS(R57-D58)&lt;=0.01),"PASS","FAIL"),IF(AND(NOT(ISNUMBER(R57)),R57=D58),"PASS","FAIL"))</f>
        <v/>
      </c>
    </row>
    <row r="59">
      <c r="B59" s="8" t="inlineStr">
        <is>
          <t>Required Gross Payment incl VAT</t>
        </is>
      </c>
      <c r="C59" s="25">
        <f>S57</f>
        <v/>
      </c>
      <c r="D59" s="30" t="inlineStr">
        <is>
          <t>UNKNOWN</t>
        </is>
      </c>
      <c r="E59" s="26">
        <f>IF(ISNUMBER(D59),IF(ISNUMBER(S57),ABS(S57-D59),"N/A"),"N/A")</f>
        <v/>
      </c>
      <c r="F59" s="15">
        <f>IF(ISNUMBER(D59),IF(AND(ISNUMBER(S57),ABS(S57-D59)&lt;=0.01),"PASS","FAIL"),IF(AND(NOT(ISNUMBER(S57)),S57=D59),"PASS","FAIL"))</f>
        <v/>
      </c>
    </row>
    <row r="60">
      <c r="B60" s="8" t="inlineStr">
        <is>
          <t>Required Selling Price</t>
        </is>
      </c>
      <c r="C60" s="25">
        <f>T57</f>
        <v/>
      </c>
      <c r="D60" s="30" t="inlineStr">
        <is>
          <t>UNKNOWN</t>
        </is>
      </c>
      <c r="E60" s="26">
        <f>IF(ISNUMBER(D60),IF(ISNUMBER(T57),ABS(T57-D60),"N/A"),"N/A")</f>
        <v/>
      </c>
      <c r="F60" s="15">
        <f>IF(ISNUMBER(D60),IF(AND(ISNUMBER(T57),ABS(T57-D60)&lt;=0.01),"PASS","FAIL"),IF(AND(NOT(ISNUMBER(T57)),T57=D60),"PASS","FAIL"))</f>
        <v/>
      </c>
    </row>
    <row r="61">
      <c r="B61" s="8" t="inlineStr">
        <is>
          <t>Required List Price</t>
        </is>
      </c>
      <c r="C61" s="25">
        <f>U57</f>
        <v/>
      </c>
      <c r="D61" s="30" t="inlineStr">
        <is>
          <t>UNKNOWN</t>
        </is>
      </c>
      <c r="E61" s="26">
        <f>IF(ISNUMBER(D61),IF(ISNUMBER(U57),ABS(U57-D61),"N/A"),"N/A")</f>
        <v/>
      </c>
      <c r="F61" s="15">
        <f>IF(ISNUMBER(D61),IF(AND(ISNUMBER(U57),ABS(U57-D61)&lt;=0.01),"PASS","FAIL"),IF(AND(NOT(ISNUMBER(U57)),U57=D61),"PASS","FAIL"))</f>
        <v/>
      </c>
    </row>
    <row r="62">
      <c r="B62" s="8" t="inlineStr">
        <is>
          <t>Expected Contribution Margin</t>
        </is>
      </c>
      <c r="C62" s="25">
        <f>V57</f>
        <v/>
      </c>
      <c r="D62" s="30" t="inlineStr">
        <is>
          <t>UNKNOWN</t>
        </is>
      </c>
      <c r="E62" s="26">
        <f>IF(ISNUMBER(D62),IF(ISNUMBER(V57),ABS(V57-D62),"N/A"),"N/A")</f>
        <v/>
      </c>
      <c r="F62" s="15">
        <f>IF(ISNUMBER(D62),IF(AND(ISNUMBER(V57),ABS(V57-D62)&lt;=0.01),"PASS","FAIL"),IF(AND(NOT(ISNUMBER(V57)),V57=D62),"PASS","FAIL"))</f>
        <v/>
      </c>
    </row>
    <row r="63">
      <c r="B63" s="8" t="inlineStr">
        <is>
          <t>Expected CM Rate</t>
        </is>
      </c>
      <c r="C63" s="28">
        <f>W57</f>
        <v/>
      </c>
      <c r="D63" s="30" t="inlineStr">
        <is>
          <t>UNKNOWN</t>
        </is>
      </c>
      <c r="E63" s="26">
        <f>IF(ISNUMBER(D63),IF(ISNUMBER(W57),ABS(W57-D63),"N/A"),"N/A")</f>
        <v/>
      </c>
      <c r="F63" s="15">
        <f>IF(ISNUMBER(D63),IF(AND(ISNUMBER(W57),ABS(W57-D63)&lt;=0.0001),"PASS","FAIL"),IF(AND(NOT(ISNUMBER(W57)),W57=D63),"PASS","FAIL"))</f>
        <v/>
      </c>
    </row>
    <row r="65" ht="20" customHeight="1">
      <c r="B65" s="2" t="inlineStr">
        <is>
          <t>7. VAT-exclusive, VAT UNKNOWN, net-sales fee only (TC12)</t>
        </is>
      </c>
      <c r="C65" s="7" t="n"/>
      <c r="D65" s="7" t="n"/>
      <c r="E65" s="7" t="n"/>
      <c r="F65" s="7" t="n"/>
    </row>
    <row r="66">
      <c r="B66" s="4" t="inlineStr">
        <is>
          <t>Metric</t>
        </is>
      </c>
      <c r="C66" s="4" t="inlineStr">
        <is>
          <t>Excel Result</t>
        </is>
      </c>
      <c r="D66" s="4" t="inlineStr">
        <is>
          <t>Python Reference</t>
        </is>
      </c>
      <c r="E66" s="4" t="inlineStr">
        <is>
          <t>Difference</t>
        </is>
      </c>
      <c r="F66" s="4" t="inlineStr">
        <is>
          <t>PASS / FAIL</t>
        </is>
      </c>
    </row>
    <row r="67">
      <c r="B67" s="8" t="inlineStr">
        <is>
          <t>Denominator</t>
        </is>
      </c>
      <c r="C67" s="26">
        <f>Q67</f>
        <v/>
      </c>
      <c r="D67" s="35" t="n">
        <v>0.6</v>
      </c>
      <c r="E67" s="26">
        <f>IF(ISNUMBER(D67),IF(ISNUMBER(Q67),ABS(Q67-D67),"N/A"),"N/A")</f>
        <v/>
      </c>
      <c r="F67" s="15">
        <f>IF(ISNUMBER(D67),IF(AND(ISNUMBER(Q67),ABS(Q67-D67)&lt;=0.01),"PASS","FAIL"),IF(AND(NOT(ISNUMBER(Q67)),Q67=D67),"PASS","FAIL"))</f>
        <v/>
      </c>
      <c r="I67" t="n">
        <v>0.3</v>
      </c>
      <c r="J67" t="n">
        <v>10000</v>
      </c>
      <c r="K67" t="n">
        <v>0.1</v>
      </c>
      <c r="L67" t="n">
        <v>0</v>
      </c>
      <c r="N67" t="b">
        <v>0</v>
      </c>
      <c r="P67" t="inlineStr">
        <is>
          <t>none</t>
        </is>
      </c>
      <c r="Q67">
        <f>IFERROR(IF($P$67="invalid","ERROR",IF($P$67="unresolved","UNKNOWN",IF(OR(AND(NOT(ISBLANK($I$67)),OR($I$67&lt;0,$I$67&gt;=1)),AND(NOT(ISBLANK($K$67)),$K$67&lt;0),AND(NOT(ISBLANK($L$67)),$L$67&lt;0),AND(NOT(ISBLANK($J$67)),$J$67&lt;0)),"ERROR",IF(OR(ISBLANK($I$67),ISBLANK($K$67),ISBLANK($L$67)),"UNKNOWN",IF($L$67=0,IF(1-$I$67-$K$67&lt;=0,"ERROR",1-$I$67-$K$67),IF(ISBLANK($M$67),"UNKNOWN",IF(1-$I$67-$K$67-$L$67*(1+$M$67)&lt;=0,"ERROR",1-$I$67-$K$67-$L$67*(1+$M$67)))))))),"ERROR")</f>
        <v/>
      </c>
      <c r="R67">
        <f>IFERROR(IF(ISBLANK($J$67),"UNKNOWN",IF(NOT(ISNUMBER(Q67)),Q67,$J$67/Q67)),"ERROR")</f>
        <v/>
      </c>
      <c r="S67">
        <f>IFERROR(IF(NOT(ISNUMBER(R67)),R67,IF(ISBLANK($M$67),"UNKNOWN",R67*(1+$M$67))),"ERROR")</f>
        <v/>
      </c>
      <c r="T67">
        <f>IFERROR(IF(ISBLANK($N$67),"UNKNOWN",IF($N$67=FALSE,R67,S67)),"ERROR")</f>
        <v/>
      </c>
      <c r="U67">
        <f>IFERROR(IF(NOT(ISNUMBER(T67)),T67,IF(ISBLANK($O$67),"UNKNOWN",IF(OR($O$67&lt;0,$O$67&gt;=1),"ERROR",IF($O$67=0,T67,T67/(1-$O$67))))),"ERROR")</f>
        <v/>
      </c>
      <c r="V67">
        <f>IFERROR(IF(NOT(ISNUMBER(R67)),R67,IF($L$67=0,R67-$J$67-$K$67*R67,IF(NOT(ISNUMBER(S67)),S67,R67-$J$67-$K$67*R67-$L$67*S67))),"ERROR")</f>
        <v/>
      </c>
      <c r="W67">
        <f>IFERROR(IF(NOT(ISNUMBER(V67)),V67,IF(R67=0,"ERROR",V67/R67)),"ERROR")</f>
        <v/>
      </c>
    </row>
    <row r="68">
      <c r="B68" s="8" t="inlineStr">
        <is>
          <t>Required Net Sales ex VAT</t>
        </is>
      </c>
      <c r="C68" s="25">
        <f>R67</f>
        <v/>
      </c>
      <c r="D68" s="21" t="n">
        <v>16666.66666666667</v>
      </c>
      <c r="E68" s="26">
        <f>IF(ISNUMBER(D68),IF(ISNUMBER(R67),ABS(R67-D68),"N/A"),"N/A")</f>
        <v/>
      </c>
      <c r="F68" s="15">
        <f>IF(ISNUMBER(D68),IF(AND(ISNUMBER(R67),ABS(R67-D68)&lt;=0.01),"PASS","FAIL"),IF(AND(NOT(ISNUMBER(R67)),R67=D68),"PASS","FAIL"))</f>
        <v/>
      </c>
    </row>
    <row r="69">
      <c r="B69" s="8" t="inlineStr">
        <is>
          <t>Required Gross Payment incl VAT</t>
        </is>
      </c>
      <c r="C69" s="25">
        <f>S67</f>
        <v/>
      </c>
      <c r="D69" s="30" t="inlineStr">
        <is>
          <t>UNKNOWN</t>
        </is>
      </c>
      <c r="E69" s="26">
        <f>IF(ISNUMBER(D69),IF(ISNUMBER(S67),ABS(S67-D69),"N/A"),"N/A")</f>
        <v/>
      </c>
      <c r="F69" s="15">
        <f>IF(ISNUMBER(D69),IF(AND(ISNUMBER(S67),ABS(S67-D69)&lt;=0.01),"PASS","FAIL"),IF(AND(NOT(ISNUMBER(S67)),S67=D69),"PASS","FAIL"))</f>
        <v/>
      </c>
    </row>
    <row r="70">
      <c r="B70" s="8" t="inlineStr">
        <is>
          <t>Required Selling Price</t>
        </is>
      </c>
      <c r="C70" s="25">
        <f>T67</f>
        <v/>
      </c>
      <c r="D70" s="21" t="n">
        <v>16666.66666666667</v>
      </c>
      <c r="E70" s="26">
        <f>IF(ISNUMBER(D70),IF(ISNUMBER(T67),ABS(T67-D70),"N/A"),"N/A")</f>
        <v/>
      </c>
      <c r="F70" s="15">
        <f>IF(ISNUMBER(D70),IF(AND(ISNUMBER(T67),ABS(T67-D70)&lt;=0.01),"PASS","FAIL"),IF(AND(NOT(ISNUMBER(T67)),T67=D70),"PASS","FAIL"))</f>
        <v/>
      </c>
    </row>
    <row r="71">
      <c r="B71" s="8" t="inlineStr">
        <is>
          <t>Required List Price</t>
        </is>
      </c>
      <c r="C71" s="25">
        <f>U67</f>
        <v/>
      </c>
      <c r="D71" s="30" t="inlineStr">
        <is>
          <t>UNKNOWN</t>
        </is>
      </c>
      <c r="E71" s="26">
        <f>IF(ISNUMBER(D71),IF(ISNUMBER(U67),ABS(U67-D71),"N/A"),"N/A")</f>
        <v/>
      </c>
      <c r="F71" s="15">
        <f>IF(ISNUMBER(D71),IF(AND(ISNUMBER(U67),ABS(U67-D71)&lt;=0.01),"PASS","FAIL"),IF(AND(NOT(ISNUMBER(U67)),U67=D71),"PASS","FAIL"))</f>
        <v/>
      </c>
    </row>
    <row r="72">
      <c r="B72" s="8" t="inlineStr">
        <is>
          <t>Expected Contribution Margin</t>
        </is>
      </c>
      <c r="C72" s="25">
        <f>V67</f>
        <v/>
      </c>
      <c r="D72" s="21" t="n">
        <v>5000</v>
      </c>
      <c r="E72" s="26">
        <f>IF(ISNUMBER(D72),IF(ISNUMBER(V67),ABS(V67-D72),"N/A"),"N/A")</f>
        <v/>
      </c>
      <c r="F72" s="15">
        <f>IF(ISNUMBER(D72),IF(AND(ISNUMBER(V67),ABS(V67-D72)&lt;=0.01),"PASS","FAIL"),IF(AND(NOT(ISNUMBER(V67)),V67=D72),"PASS","FAIL"))</f>
        <v/>
      </c>
    </row>
    <row r="73">
      <c r="B73" s="8" t="inlineStr">
        <is>
          <t>Expected CM Rate</t>
        </is>
      </c>
      <c r="C73" s="28">
        <f>W67</f>
        <v/>
      </c>
      <c r="D73" s="29" t="n">
        <v>0.3</v>
      </c>
      <c r="E73" s="26">
        <f>IF(ISNUMBER(D73),IF(ISNUMBER(W67),ABS(W67-D73),"N/A"),"N/A")</f>
        <v/>
      </c>
      <c r="F73" s="15">
        <f>IF(ISNUMBER(D73),IF(AND(ISNUMBER(W67),ABS(W67-D73)&lt;=0.0001),"PASS","FAIL"),IF(AND(NOT(ISNUMBER(W67)),W67=D73),"PASS","FAIL"))</f>
        <v/>
      </c>
    </row>
    <row r="75" ht="20" customHeight="1">
      <c r="B75" s="2" t="inlineStr">
        <is>
          <t>8. VAT-inclusive display, VAT UNKNOWN</t>
        </is>
      </c>
      <c r="C75" s="7" t="n"/>
      <c r="D75" s="7" t="n"/>
      <c r="E75" s="7" t="n"/>
      <c r="F75" s="7" t="n"/>
    </row>
    <row r="76">
      <c r="B76" s="4" t="inlineStr">
        <is>
          <t>Metric</t>
        </is>
      </c>
      <c r="C76" s="4" t="inlineStr">
        <is>
          <t>Excel Result</t>
        </is>
      </c>
      <c r="D76" s="4" t="inlineStr">
        <is>
          <t>Python Reference</t>
        </is>
      </c>
      <c r="E76" s="4" t="inlineStr">
        <is>
          <t>Difference</t>
        </is>
      </c>
      <c r="F76" s="4" t="inlineStr">
        <is>
          <t>PASS / FAIL</t>
        </is>
      </c>
    </row>
    <row r="77">
      <c r="B77" s="8" t="inlineStr">
        <is>
          <t>Denominator</t>
        </is>
      </c>
      <c r="C77" s="26">
        <f>Q77</f>
        <v/>
      </c>
      <c r="D77" s="35" t="n">
        <v>0.6</v>
      </c>
      <c r="E77" s="26">
        <f>IF(ISNUMBER(D77),IF(ISNUMBER(Q77),ABS(Q77-D77),"N/A"),"N/A")</f>
        <v/>
      </c>
      <c r="F77" s="15">
        <f>IF(ISNUMBER(D77),IF(AND(ISNUMBER(Q77),ABS(Q77-D77)&lt;=0.01),"PASS","FAIL"),IF(AND(NOT(ISNUMBER(Q77)),Q77=D77),"PASS","FAIL"))</f>
        <v/>
      </c>
      <c r="I77" t="n">
        <v>0.3</v>
      </c>
      <c r="J77" t="n">
        <v>10000</v>
      </c>
      <c r="K77" t="n">
        <v>0.1</v>
      </c>
      <c r="L77" t="n">
        <v>0</v>
      </c>
      <c r="N77" t="b">
        <v>1</v>
      </c>
      <c r="P77" t="inlineStr">
        <is>
          <t>none</t>
        </is>
      </c>
      <c r="Q77">
        <f>IFERROR(IF($P$77="invalid","ERROR",IF($P$77="unresolved","UNKNOWN",IF(OR(AND(NOT(ISBLANK($I$77)),OR($I$77&lt;0,$I$77&gt;=1)),AND(NOT(ISBLANK($K$77)),$K$77&lt;0),AND(NOT(ISBLANK($L$77)),$L$77&lt;0),AND(NOT(ISBLANK($J$77)),$J$77&lt;0)),"ERROR",IF(OR(ISBLANK($I$77),ISBLANK($K$77),ISBLANK($L$77)),"UNKNOWN",IF($L$77=0,IF(1-$I$77-$K$77&lt;=0,"ERROR",1-$I$77-$K$77),IF(ISBLANK($M$77),"UNKNOWN",IF(1-$I$77-$K$77-$L$77*(1+$M$77)&lt;=0,"ERROR",1-$I$77-$K$77-$L$77*(1+$M$77)))))))),"ERROR")</f>
        <v/>
      </c>
      <c r="R77">
        <f>IFERROR(IF(ISBLANK($J$77),"UNKNOWN",IF(NOT(ISNUMBER(Q77)),Q77,$J$77/Q77)),"ERROR")</f>
        <v/>
      </c>
      <c r="S77">
        <f>IFERROR(IF(NOT(ISNUMBER(R77)),R77,IF(ISBLANK($M$77),"UNKNOWN",R77*(1+$M$77))),"ERROR")</f>
        <v/>
      </c>
      <c r="T77">
        <f>IFERROR(IF(ISBLANK($N$77),"UNKNOWN",IF($N$77=FALSE,R77,S77)),"ERROR")</f>
        <v/>
      </c>
      <c r="U77">
        <f>IFERROR(IF(NOT(ISNUMBER(T77)),T77,IF(ISBLANK($O$77),"UNKNOWN",IF(OR($O$77&lt;0,$O$77&gt;=1),"ERROR",IF($O$77=0,T77,T77/(1-$O$77))))),"ERROR")</f>
        <v/>
      </c>
      <c r="V77">
        <f>IFERROR(IF(NOT(ISNUMBER(R77)),R77,IF($L$77=0,R77-$J$77-$K$77*R77,IF(NOT(ISNUMBER(S77)),S77,R77-$J$77-$K$77*R77-$L$77*S77))),"ERROR")</f>
        <v/>
      </c>
      <c r="W77">
        <f>IFERROR(IF(NOT(ISNUMBER(V77)),V77,IF(R77=0,"ERROR",V77/R77)),"ERROR")</f>
        <v/>
      </c>
    </row>
    <row r="78">
      <c r="B78" s="8" t="inlineStr">
        <is>
          <t>Required Net Sales ex VAT</t>
        </is>
      </c>
      <c r="C78" s="25">
        <f>R77</f>
        <v/>
      </c>
      <c r="D78" s="21" t="n">
        <v>16666.66666666667</v>
      </c>
      <c r="E78" s="26">
        <f>IF(ISNUMBER(D78),IF(ISNUMBER(R77),ABS(R77-D78),"N/A"),"N/A")</f>
        <v/>
      </c>
      <c r="F78" s="15">
        <f>IF(ISNUMBER(D78),IF(AND(ISNUMBER(R77),ABS(R77-D78)&lt;=0.01),"PASS","FAIL"),IF(AND(NOT(ISNUMBER(R77)),R77=D78),"PASS","FAIL"))</f>
        <v/>
      </c>
    </row>
    <row r="79">
      <c r="B79" s="8" t="inlineStr">
        <is>
          <t>Required Gross Payment incl VAT</t>
        </is>
      </c>
      <c r="C79" s="25">
        <f>S77</f>
        <v/>
      </c>
      <c r="D79" s="30" t="inlineStr">
        <is>
          <t>UNKNOWN</t>
        </is>
      </c>
      <c r="E79" s="26">
        <f>IF(ISNUMBER(D79),IF(ISNUMBER(S77),ABS(S77-D79),"N/A"),"N/A")</f>
        <v/>
      </c>
      <c r="F79" s="15">
        <f>IF(ISNUMBER(D79),IF(AND(ISNUMBER(S77),ABS(S77-D79)&lt;=0.01),"PASS","FAIL"),IF(AND(NOT(ISNUMBER(S77)),S77=D79),"PASS","FAIL"))</f>
        <v/>
      </c>
    </row>
    <row r="80">
      <c r="B80" s="8" t="inlineStr">
        <is>
          <t>Required Selling Price</t>
        </is>
      </c>
      <c r="C80" s="25">
        <f>T77</f>
        <v/>
      </c>
      <c r="D80" s="30" t="inlineStr">
        <is>
          <t>UNKNOWN</t>
        </is>
      </c>
      <c r="E80" s="26">
        <f>IF(ISNUMBER(D80),IF(ISNUMBER(T77),ABS(T77-D80),"N/A"),"N/A")</f>
        <v/>
      </c>
      <c r="F80" s="15">
        <f>IF(ISNUMBER(D80),IF(AND(ISNUMBER(T77),ABS(T77-D80)&lt;=0.01),"PASS","FAIL"),IF(AND(NOT(ISNUMBER(T77)),T77=D80),"PASS","FAIL"))</f>
        <v/>
      </c>
    </row>
    <row r="81">
      <c r="B81" s="8" t="inlineStr">
        <is>
          <t>Required List Price</t>
        </is>
      </c>
      <c r="C81" s="25">
        <f>U77</f>
        <v/>
      </c>
      <c r="D81" s="30" t="inlineStr">
        <is>
          <t>UNKNOWN</t>
        </is>
      </c>
      <c r="E81" s="26">
        <f>IF(ISNUMBER(D81),IF(ISNUMBER(U77),ABS(U77-D81),"N/A"),"N/A")</f>
        <v/>
      </c>
      <c r="F81" s="15">
        <f>IF(ISNUMBER(D81),IF(AND(ISNUMBER(U77),ABS(U77-D81)&lt;=0.01),"PASS","FAIL"),IF(AND(NOT(ISNUMBER(U77)),U77=D81),"PASS","FAIL"))</f>
        <v/>
      </c>
    </row>
    <row r="82">
      <c r="B82" s="8" t="inlineStr">
        <is>
          <t>Expected Contribution Margin</t>
        </is>
      </c>
      <c r="C82" s="25">
        <f>V77</f>
        <v/>
      </c>
      <c r="D82" s="21" t="n">
        <v>5000</v>
      </c>
      <c r="E82" s="26">
        <f>IF(ISNUMBER(D82),IF(ISNUMBER(V77),ABS(V77-D82),"N/A"),"N/A")</f>
        <v/>
      </c>
      <c r="F82" s="15">
        <f>IF(ISNUMBER(D82),IF(AND(ISNUMBER(V77),ABS(V77-D82)&lt;=0.01),"PASS","FAIL"),IF(AND(NOT(ISNUMBER(V77)),V77=D82),"PASS","FAIL"))</f>
        <v/>
      </c>
    </row>
    <row r="83">
      <c r="B83" s="8" t="inlineStr">
        <is>
          <t>Expected CM Rate</t>
        </is>
      </c>
      <c r="C83" s="28">
        <f>W77</f>
        <v/>
      </c>
      <c r="D83" s="29" t="n">
        <v>0.3</v>
      </c>
      <c r="E83" s="26">
        <f>IF(ISNUMBER(D83),IF(ISNUMBER(W77),ABS(W77-D83),"N/A"),"N/A")</f>
        <v/>
      </c>
      <c r="F83" s="15">
        <f>IF(ISNUMBER(D83),IF(AND(ISNUMBER(W77),ABS(W77-D83)&lt;=0.0001),"PASS","FAIL"),IF(AND(NOT(ISNUMBER(W77)),W77=D83),"PASS","FAIL"))</f>
        <v/>
      </c>
    </row>
    <row r="85" ht="20" customHeight="1">
      <c r="B85" s="2" t="inlineStr">
        <is>
          <t>9. Discount rate = 0</t>
        </is>
      </c>
      <c r="C85" s="7" t="n"/>
      <c r="D85" s="7" t="n"/>
      <c r="E85" s="7" t="n"/>
      <c r="F85" s="7" t="n"/>
    </row>
    <row r="86">
      <c r="B86" s="4" t="inlineStr">
        <is>
          <t>Metric</t>
        </is>
      </c>
      <c r="C86" s="4" t="inlineStr">
        <is>
          <t>Excel Result</t>
        </is>
      </c>
      <c r="D86" s="4" t="inlineStr">
        <is>
          <t>Python Reference</t>
        </is>
      </c>
      <c r="E86" s="4" t="inlineStr">
        <is>
          <t>Difference</t>
        </is>
      </c>
      <c r="F86" s="4" t="inlineStr">
        <is>
          <t>PASS / FAIL</t>
        </is>
      </c>
    </row>
    <row r="87">
      <c r="B87" s="8" t="inlineStr">
        <is>
          <t>Denominator</t>
        </is>
      </c>
      <c r="C87" s="26">
        <f>Q87</f>
        <v/>
      </c>
      <c r="D87" s="35" t="n">
        <v>0.6</v>
      </c>
      <c r="E87" s="26">
        <f>IF(ISNUMBER(D87),IF(ISNUMBER(Q87),ABS(Q87-D87),"N/A"),"N/A")</f>
        <v/>
      </c>
      <c r="F87" s="15">
        <f>IF(ISNUMBER(D87),IF(AND(ISNUMBER(Q87),ABS(Q87-D87)&lt;=0.01),"PASS","FAIL"),IF(AND(NOT(ISNUMBER(Q87)),Q87=D87),"PASS","FAIL"))</f>
        <v/>
      </c>
      <c r="I87" t="n">
        <v>0.4</v>
      </c>
      <c r="J87" t="n">
        <v>10000</v>
      </c>
      <c r="K87" t="n">
        <v>0</v>
      </c>
      <c r="L87" t="n">
        <v>0</v>
      </c>
      <c r="M87" t="n">
        <v>0.1</v>
      </c>
      <c r="N87" t="b">
        <v>0</v>
      </c>
      <c r="O87" t="n">
        <v>0</v>
      </c>
      <c r="P87" t="inlineStr">
        <is>
          <t>none</t>
        </is>
      </c>
      <c r="Q87">
        <f>IFERROR(IF($P$87="invalid","ERROR",IF($P$87="unresolved","UNKNOWN",IF(OR(AND(NOT(ISBLANK($I$87)),OR($I$87&lt;0,$I$87&gt;=1)),AND(NOT(ISBLANK($K$87)),$K$87&lt;0),AND(NOT(ISBLANK($L$87)),$L$87&lt;0),AND(NOT(ISBLANK($J$87)),$J$87&lt;0)),"ERROR",IF(OR(ISBLANK($I$87),ISBLANK($K$87),ISBLANK($L$87)),"UNKNOWN",IF($L$87=0,IF(1-$I$87-$K$87&lt;=0,"ERROR",1-$I$87-$K$87),IF(ISBLANK($M$87),"UNKNOWN",IF(1-$I$87-$K$87-$L$87*(1+$M$87)&lt;=0,"ERROR",1-$I$87-$K$87-$L$87*(1+$M$87)))))))),"ERROR")</f>
        <v/>
      </c>
      <c r="R87">
        <f>IFERROR(IF(ISBLANK($J$87),"UNKNOWN",IF(NOT(ISNUMBER(Q87)),Q87,$J$87/Q87)),"ERROR")</f>
        <v/>
      </c>
      <c r="S87">
        <f>IFERROR(IF(NOT(ISNUMBER(R87)),R87,IF(ISBLANK($M$87),"UNKNOWN",R87*(1+$M$87))),"ERROR")</f>
        <v/>
      </c>
      <c r="T87">
        <f>IFERROR(IF(ISBLANK($N$87),"UNKNOWN",IF($N$87=FALSE,R87,S87)),"ERROR")</f>
        <v/>
      </c>
      <c r="U87">
        <f>IFERROR(IF(NOT(ISNUMBER(T87)),T87,IF(ISBLANK($O$87),"UNKNOWN",IF(OR($O$87&lt;0,$O$87&gt;=1),"ERROR",IF($O$87=0,T87,T87/(1-$O$87))))),"ERROR")</f>
        <v/>
      </c>
      <c r="V87">
        <f>IFERROR(IF(NOT(ISNUMBER(R87)),R87,IF($L$87=0,R87-$J$87-$K$87*R87,IF(NOT(ISNUMBER(S87)),S87,R87-$J$87-$K$87*R87-$L$87*S87))),"ERROR")</f>
        <v/>
      </c>
      <c r="W87">
        <f>IFERROR(IF(NOT(ISNUMBER(V87)),V87,IF(R87=0,"ERROR",V87/R87)),"ERROR")</f>
        <v/>
      </c>
    </row>
    <row r="88">
      <c r="B88" s="8" t="inlineStr">
        <is>
          <t>Required Net Sales ex VAT</t>
        </is>
      </c>
      <c r="C88" s="25">
        <f>R87</f>
        <v/>
      </c>
      <c r="D88" s="21" t="n">
        <v>16666.66666666667</v>
      </c>
      <c r="E88" s="26">
        <f>IF(ISNUMBER(D88),IF(ISNUMBER(R87),ABS(R87-D88),"N/A"),"N/A")</f>
        <v/>
      </c>
      <c r="F88" s="15">
        <f>IF(ISNUMBER(D88),IF(AND(ISNUMBER(R87),ABS(R87-D88)&lt;=0.01),"PASS","FAIL"),IF(AND(NOT(ISNUMBER(R87)),R87=D88),"PASS","FAIL"))</f>
        <v/>
      </c>
    </row>
    <row r="89">
      <c r="B89" s="8" t="inlineStr">
        <is>
          <t>Required Gross Payment incl VAT</t>
        </is>
      </c>
      <c r="C89" s="25">
        <f>S87</f>
        <v/>
      </c>
      <c r="D89" s="21" t="n">
        <v>18333.33333333334</v>
      </c>
      <c r="E89" s="26">
        <f>IF(ISNUMBER(D89),IF(ISNUMBER(S87),ABS(S87-D89),"N/A"),"N/A")</f>
        <v/>
      </c>
      <c r="F89" s="15">
        <f>IF(ISNUMBER(D89),IF(AND(ISNUMBER(S87),ABS(S87-D89)&lt;=0.01),"PASS","FAIL"),IF(AND(NOT(ISNUMBER(S87)),S87=D89),"PASS","FAIL"))</f>
        <v/>
      </c>
    </row>
    <row r="90">
      <c r="B90" s="8" t="inlineStr">
        <is>
          <t>Required Selling Price</t>
        </is>
      </c>
      <c r="C90" s="25">
        <f>T87</f>
        <v/>
      </c>
      <c r="D90" s="21" t="n">
        <v>16666.66666666667</v>
      </c>
      <c r="E90" s="26">
        <f>IF(ISNUMBER(D90),IF(ISNUMBER(T87),ABS(T87-D90),"N/A"),"N/A")</f>
        <v/>
      </c>
      <c r="F90" s="15">
        <f>IF(ISNUMBER(D90),IF(AND(ISNUMBER(T87),ABS(T87-D90)&lt;=0.01),"PASS","FAIL"),IF(AND(NOT(ISNUMBER(T87)),T87=D90),"PASS","FAIL"))</f>
        <v/>
      </c>
    </row>
    <row r="91">
      <c r="B91" s="8" t="inlineStr">
        <is>
          <t>Required List Price</t>
        </is>
      </c>
      <c r="C91" s="25">
        <f>U87</f>
        <v/>
      </c>
      <c r="D91" s="21" t="n">
        <v>16666.66666666667</v>
      </c>
      <c r="E91" s="26">
        <f>IF(ISNUMBER(D91),IF(ISNUMBER(U87),ABS(U87-D91),"N/A"),"N/A")</f>
        <v/>
      </c>
      <c r="F91" s="15">
        <f>IF(ISNUMBER(D91),IF(AND(ISNUMBER(U87),ABS(U87-D91)&lt;=0.01),"PASS","FAIL"),IF(AND(NOT(ISNUMBER(U87)),U87=D91),"PASS","FAIL"))</f>
        <v/>
      </c>
    </row>
    <row r="92">
      <c r="B92" s="8" t="inlineStr">
        <is>
          <t>Expected Contribution Margin</t>
        </is>
      </c>
      <c r="C92" s="25">
        <f>V87</f>
        <v/>
      </c>
      <c r="D92" s="21" t="n">
        <v>6666.666666666668</v>
      </c>
      <c r="E92" s="26">
        <f>IF(ISNUMBER(D92),IF(ISNUMBER(V87),ABS(V87-D92),"N/A"),"N/A")</f>
        <v/>
      </c>
      <c r="F92" s="15">
        <f>IF(ISNUMBER(D92),IF(AND(ISNUMBER(V87),ABS(V87-D92)&lt;=0.01),"PASS","FAIL"),IF(AND(NOT(ISNUMBER(V87)),V87=D92),"PASS","FAIL"))</f>
        <v/>
      </c>
    </row>
    <row r="93">
      <c r="B93" s="8" t="inlineStr">
        <is>
          <t>Expected CM Rate</t>
        </is>
      </c>
      <c r="C93" s="28">
        <f>W87</f>
        <v/>
      </c>
      <c r="D93" s="29" t="n">
        <v>0.4</v>
      </c>
      <c r="E93" s="26">
        <f>IF(ISNUMBER(D93),IF(ISNUMBER(W87),ABS(W87-D93),"N/A"),"N/A")</f>
        <v/>
      </c>
      <c r="F93" s="15">
        <f>IF(ISNUMBER(D93),IF(AND(ISNUMBER(W87),ABS(W87-D93)&lt;=0.0001),"PASS","FAIL"),IF(AND(NOT(ISNUMBER(W87)),W87=D93),"PASS","FAIL"))</f>
        <v/>
      </c>
    </row>
    <row r="95" ht="20" customHeight="1">
      <c r="B95" s="2" t="inlineStr">
        <is>
          <t>10. Discount rate normal value (TC6, on top of TC4)</t>
        </is>
      </c>
      <c r="C95" s="7" t="n"/>
      <c r="D95" s="7" t="n"/>
      <c r="E95" s="7" t="n"/>
      <c r="F95" s="7" t="n"/>
    </row>
    <row r="96">
      <c r="B96" s="4" t="inlineStr">
        <is>
          <t>Metric</t>
        </is>
      </c>
      <c r="C96" s="4" t="inlineStr">
        <is>
          <t>Excel Result</t>
        </is>
      </c>
      <c r="D96" s="4" t="inlineStr">
        <is>
          <t>Python Reference</t>
        </is>
      </c>
      <c r="E96" s="4" t="inlineStr">
        <is>
          <t>Difference</t>
        </is>
      </c>
      <c r="F96" s="4" t="inlineStr">
        <is>
          <t>PASS / FAIL</t>
        </is>
      </c>
    </row>
    <row r="97">
      <c r="B97" s="8" t="inlineStr">
        <is>
          <t>Denominator</t>
        </is>
      </c>
      <c r="C97" s="26">
        <f>Q97</f>
        <v/>
      </c>
      <c r="D97" s="35" t="n">
        <v>0.5669999999999999</v>
      </c>
      <c r="E97" s="26">
        <f>IF(ISNUMBER(D97),IF(ISNUMBER(Q97),ABS(Q97-D97),"N/A"),"N/A")</f>
        <v/>
      </c>
      <c r="F97" s="15">
        <f>IF(ISNUMBER(D97),IF(AND(ISNUMBER(Q97),ABS(Q97-D97)&lt;=0.01),"PASS","FAIL"),IF(AND(NOT(ISNUMBER(Q97)),Q97=D97),"PASS","FAIL"))</f>
        <v/>
      </c>
      <c r="I97" t="n">
        <v>0.3</v>
      </c>
      <c r="J97" t="n">
        <v>10000</v>
      </c>
      <c r="K97" t="n">
        <v>0.1</v>
      </c>
      <c r="L97" t="n">
        <v>0.03</v>
      </c>
      <c r="M97" t="n">
        <v>0.1</v>
      </c>
      <c r="N97" t="b">
        <v>1</v>
      </c>
      <c r="O97" t="n">
        <v>0.1</v>
      </c>
      <c r="P97" t="inlineStr">
        <is>
          <t>none</t>
        </is>
      </c>
      <c r="Q97">
        <f>IFERROR(IF($P$97="invalid","ERROR",IF($P$97="unresolved","UNKNOWN",IF(OR(AND(NOT(ISBLANK($I$97)),OR($I$97&lt;0,$I$97&gt;=1)),AND(NOT(ISBLANK($K$97)),$K$97&lt;0),AND(NOT(ISBLANK($L$97)),$L$97&lt;0),AND(NOT(ISBLANK($J$97)),$J$97&lt;0)),"ERROR",IF(OR(ISBLANK($I$97),ISBLANK($K$97),ISBLANK($L$97)),"UNKNOWN",IF($L$97=0,IF(1-$I$97-$K$97&lt;=0,"ERROR",1-$I$97-$K$97),IF(ISBLANK($M$97),"UNKNOWN",IF(1-$I$97-$K$97-$L$97*(1+$M$97)&lt;=0,"ERROR",1-$I$97-$K$97-$L$97*(1+$M$97)))))))),"ERROR")</f>
        <v/>
      </c>
      <c r="R97">
        <f>IFERROR(IF(ISBLANK($J$97),"UNKNOWN",IF(NOT(ISNUMBER(Q97)),Q97,$J$97/Q97)),"ERROR")</f>
        <v/>
      </c>
      <c r="S97">
        <f>IFERROR(IF(NOT(ISNUMBER(R97)),R97,IF(ISBLANK($M$97),"UNKNOWN",R97*(1+$M$97))),"ERROR")</f>
        <v/>
      </c>
      <c r="T97">
        <f>IFERROR(IF(ISBLANK($N$97),"UNKNOWN",IF($N$97=FALSE,R97,S97)),"ERROR")</f>
        <v/>
      </c>
      <c r="U97">
        <f>IFERROR(IF(NOT(ISNUMBER(T97)),T97,IF(ISBLANK($O$97),"UNKNOWN",IF(OR($O$97&lt;0,$O$97&gt;=1),"ERROR",IF($O$97=0,T97,T97/(1-$O$97))))),"ERROR")</f>
        <v/>
      </c>
      <c r="V97">
        <f>IFERROR(IF(NOT(ISNUMBER(R97)),R97,IF($L$97=0,R97-$J$97-$K$97*R97,IF(NOT(ISNUMBER(S97)),S97,R97-$J$97-$K$97*R97-$L$97*S97))),"ERROR")</f>
        <v/>
      </c>
      <c r="W97">
        <f>IFERROR(IF(NOT(ISNUMBER(V97)),V97,IF(R97=0,"ERROR",V97/R97)),"ERROR")</f>
        <v/>
      </c>
    </row>
    <row r="98">
      <c r="B98" s="8" t="inlineStr">
        <is>
          <t>Required Net Sales ex VAT</t>
        </is>
      </c>
      <c r="C98" s="25">
        <f>R97</f>
        <v/>
      </c>
      <c r="D98" s="21" t="n">
        <v>17636.68430335097</v>
      </c>
      <c r="E98" s="26">
        <f>IF(ISNUMBER(D98),IF(ISNUMBER(R97),ABS(R97-D98),"N/A"),"N/A")</f>
        <v/>
      </c>
      <c r="F98" s="15">
        <f>IF(ISNUMBER(D98),IF(AND(ISNUMBER(R97),ABS(R97-D98)&lt;=0.01),"PASS","FAIL"),IF(AND(NOT(ISNUMBER(R97)),R97=D98),"PASS","FAIL"))</f>
        <v/>
      </c>
    </row>
    <row r="99">
      <c r="B99" s="8" t="inlineStr">
        <is>
          <t>Required Gross Payment incl VAT</t>
        </is>
      </c>
      <c r="C99" s="25">
        <f>S97</f>
        <v/>
      </c>
      <c r="D99" s="21" t="n">
        <v>19400.35273368607</v>
      </c>
      <c r="E99" s="26">
        <f>IF(ISNUMBER(D99),IF(ISNUMBER(S97),ABS(S97-D99),"N/A"),"N/A")</f>
        <v/>
      </c>
      <c r="F99" s="15">
        <f>IF(ISNUMBER(D99),IF(AND(ISNUMBER(S97),ABS(S97-D99)&lt;=0.01),"PASS","FAIL"),IF(AND(NOT(ISNUMBER(S97)),S97=D99),"PASS","FAIL"))</f>
        <v/>
      </c>
    </row>
    <row r="100">
      <c r="B100" s="8" t="inlineStr">
        <is>
          <t>Required Selling Price</t>
        </is>
      </c>
      <c r="C100" s="25">
        <f>T97</f>
        <v/>
      </c>
      <c r="D100" s="21" t="n">
        <v>19400.35273368607</v>
      </c>
      <c r="E100" s="26">
        <f>IF(ISNUMBER(D100),IF(ISNUMBER(T97),ABS(T97-D100),"N/A"),"N/A")</f>
        <v/>
      </c>
      <c r="F100" s="15">
        <f>IF(ISNUMBER(D100),IF(AND(ISNUMBER(T97),ABS(T97-D100)&lt;=0.01),"PASS","FAIL"),IF(AND(NOT(ISNUMBER(T97)),T97=D100),"PASS","FAIL"))</f>
        <v/>
      </c>
    </row>
    <row r="101">
      <c r="B101" s="8" t="inlineStr">
        <is>
          <t>Required List Price</t>
        </is>
      </c>
      <c r="C101" s="25">
        <f>U97</f>
        <v/>
      </c>
      <c r="D101" s="21" t="n">
        <v>21555.94748187341</v>
      </c>
      <c r="E101" s="26">
        <f>IF(ISNUMBER(D101),IF(ISNUMBER(U97),ABS(U97-D101),"N/A"),"N/A")</f>
        <v/>
      </c>
      <c r="F101" s="15">
        <f>IF(ISNUMBER(D101),IF(AND(ISNUMBER(U97),ABS(U97-D101)&lt;=0.01),"PASS","FAIL"),IF(AND(NOT(ISNUMBER(U97)),U97=D101),"PASS","FAIL"))</f>
        <v/>
      </c>
    </row>
    <row r="102">
      <c r="B102" s="8" t="inlineStr">
        <is>
          <t>Expected Contribution Margin</t>
        </is>
      </c>
      <c r="C102" s="25">
        <f>V97</f>
        <v/>
      </c>
      <c r="D102" s="21" t="n">
        <v>5291.005291005292</v>
      </c>
      <c r="E102" s="26">
        <f>IF(ISNUMBER(D102),IF(ISNUMBER(V97),ABS(V97-D102),"N/A"),"N/A")</f>
        <v/>
      </c>
      <c r="F102" s="15">
        <f>IF(ISNUMBER(D102),IF(AND(ISNUMBER(V97),ABS(V97-D102)&lt;=0.01),"PASS","FAIL"),IF(AND(NOT(ISNUMBER(V97)),V97=D102),"PASS","FAIL"))</f>
        <v/>
      </c>
    </row>
    <row r="103">
      <c r="B103" s="8" t="inlineStr">
        <is>
          <t>Expected CM Rate</t>
        </is>
      </c>
      <c r="C103" s="28">
        <f>W97</f>
        <v/>
      </c>
      <c r="D103" s="29" t="n">
        <v>0.3</v>
      </c>
      <c r="E103" s="26">
        <f>IF(ISNUMBER(D103),IF(ISNUMBER(W97),ABS(W97-D103),"N/A"),"N/A")</f>
        <v/>
      </c>
      <c r="F103" s="15">
        <f>IF(ISNUMBER(D103),IF(AND(ISNUMBER(W97),ABS(W97-D103)&lt;=0.0001),"PASS","FAIL"),IF(AND(NOT(ISNUMBER(W97)),W97=D103),"PASS","FAIL"))</f>
        <v/>
      </c>
    </row>
    <row r="105" ht="20" customHeight="1">
      <c r="B105" s="2" t="inlineStr">
        <is>
          <t>11. Denominator &lt;= 0 (TC7)</t>
        </is>
      </c>
      <c r="C105" s="7" t="n"/>
      <c r="D105" s="7" t="n"/>
      <c r="E105" s="7" t="n"/>
      <c r="F105" s="7" t="n"/>
    </row>
    <row r="106">
      <c r="B106" s="4" t="inlineStr">
        <is>
          <t>Metric</t>
        </is>
      </c>
      <c r="C106" s="4" t="inlineStr">
        <is>
          <t>Excel Result</t>
        </is>
      </c>
      <c r="D106" s="4" t="inlineStr">
        <is>
          <t>Python Reference</t>
        </is>
      </c>
      <c r="E106" s="4" t="inlineStr">
        <is>
          <t>Difference</t>
        </is>
      </c>
      <c r="F106" s="4" t="inlineStr">
        <is>
          <t>PASS / FAIL</t>
        </is>
      </c>
    </row>
    <row r="107">
      <c r="B107" s="8" t="inlineStr">
        <is>
          <t>Denominator</t>
        </is>
      </c>
      <c r="C107" s="26">
        <f>Q107</f>
        <v/>
      </c>
      <c r="D107" s="30" t="inlineStr">
        <is>
          <t>ERROR</t>
        </is>
      </c>
      <c r="E107" s="26">
        <f>IF(ISNUMBER(D107),IF(ISNUMBER(Q107),ABS(Q107-D107),"N/A"),"N/A")</f>
        <v/>
      </c>
      <c r="F107" s="15">
        <f>IF(ISNUMBER(D107),IF(AND(ISNUMBER(Q107),ABS(Q107-D107)&lt;=0.01),"PASS","FAIL"),IF(AND(NOT(ISNUMBER(Q107)),Q107=D107),"PASS","FAIL"))</f>
        <v/>
      </c>
      <c r="I107" t="n">
        <v>0.5</v>
      </c>
      <c r="J107" t="n">
        <v>10000</v>
      </c>
      <c r="K107" t="n">
        <v>0.3</v>
      </c>
      <c r="L107" t="n">
        <v>0.3</v>
      </c>
      <c r="M107" t="n">
        <v>0.1</v>
      </c>
      <c r="N107" t="b">
        <v>0</v>
      </c>
      <c r="P107" t="inlineStr">
        <is>
          <t>none</t>
        </is>
      </c>
      <c r="Q107">
        <f>IFERROR(IF($P$107="invalid","ERROR",IF($P$107="unresolved","UNKNOWN",IF(OR(AND(NOT(ISBLANK($I$107)),OR($I$107&lt;0,$I$107&gt;=1)),AND(NOT(ISBLANK($K$107)),$K$107&lt;0),AND(NOT(ISBLANK($L$107)),$L$107&lt;0),AND(NOT(ISBLANK($J$107)),$J$107&lt;0)),"ERROR",IF(OR(ISBLANK($I$107),ISBLANK($K$107),ISBLANK($L$107)),"UNKNOWN",IF($L$107=0,IF(1-$I$107-$K$107&lt;=0,"ERROR",1-$I$107-$K$107),IF(ISBLANK($M$107),"UNKNOWN",IF(1-$I$107-$K$107-$L$107*(1+$M$107)&lt;=0,"ERROR",1-$I$107-$K$107-$L$107*(1+$M$107)))))))),"ERROR")</f>
        <v/>
      </c>
      <c r="R107">
        <f>IFERROR(IF(ISBLANK($J$107),"UNKNOWN",IF(NOT(ISNUMBER(Q107)),Q107,$J$107/Q107)),"ERROR")</f>
        <v/>
      </c>
      <c r="S107">
        <f>IFERROR(IF(NOT(ISNUMBER(R107)),R107,IF(ISBLANK($M$107),"UNKNOWN",R107*(1+$M$107))),"ERROR")</f>
        <v/>
      </c>
      <c r="T107">
        <f>IFERROR(IF(ISBLANK($N$107),"UNKNOWN",IF($N$107=FALSE,R107,S107)),"ERROR")</f>
        <v/>
      </c>
      <c r="U107">
        <f>IFERROR(IF(NOT(ISNUMBER(T107)),T107,IF(ISBLANK($O$107),"UNKNOWN",IF(OR($O$107&lt;0,$O$107&gt;=1),"ERROR",IF($O$107=0,T107,T107/(1-$O$107))))),"ERROR")</f>
        <v/>
      </c>
      <c r="V107">
        <f>IFERROR(IF(NOT(ISNUMBER(R107)),R107,IF($L$107=0,R107-$J$107-$K$107*R107,IF(NOT(ISNUMBER(S107)),S107,R107-$J$107-$K$107*R107-$L$107*S107))),"ERROR")</f>
        <v/>
      </c>
      <c r="W107">
        <f>IFERROR(IF(NOT(ISNUMBER(V107)),V107,IF(R107=0,"ERROR",V107/R107)),"ERROR")</f>
        <v/>
      </c>
    </row>
    <row r="108">
      <c r="B108" s="8" t="inlineStr">
        <is>
          <t>Required Net Sales ex VAT</t>
        </is>
      </c>
      <c r="C108" s="25">
        <f>R107</f>
        <v/>
      </c>
      <c r="D108" s="30" t="inlineStr">
        <is>
          <t>ERROR</t>
        </is>
      </c>
      <c r="E108" s="26">
        <f>IF(ISNUMBER(D108),IF(ISNUMBER(R107),ABS(R107-D108),"N/A"),"N/A")</f>
        <v/>
      </c>
      <c r="F108" s="15">
        <f>IF(ISNUMBER(D108),IF(AND(ISNUMBER(R107),ABS(R107-D108)&lt;=0.01),"PASS","FAIL"),IF(AND(NOT(ISNUMBER(R107)),R107=D108),"PASS","FAIL"))</f>
        <v/>
      </c>
    </row>
    <row r="109">
      <c r="B109" s="8" t="inlineStr">
        <is>
          <t>Required Gross Payment incl VAT</t>
        </is>
      </c>
      <c r="C109" s="25">
        <f>S107</f>
        <v/>
      </c>
      <c r="D109" s="30" t="inlineStr">
        <is>
          <t>ERROR</t>
        </is>
      </c>
      <c r="E109" s="26">
        <f>IF(ISNUMBER(D109),IF(ISNUMBER(S107),ABS(S107-D109),"N/A"),"N/A")</f>
        <v/>
      </c>
      <c r="F109" s="15">
        <f>IF(ISNUMBER(D109),IF(AND(ISNUMBER(S107),ABS(S107-D109)&lt;=0.01),"PASS","FAIL"),IF(AND(NOT(ISNUMBER(S107)),S107=D109),"PASS","FAIL"))</f>
        <v/>
      </c>
    </row>
    <row r="110">
      <c r="B110" s="8" t="inlineStr">
        <is>
          <t>Required Selling Price</t>
        </is>
      </c>
      <c r="C110" s="25">
        <f>T107</f>
        <v/>
      </c>
      <c r="D110" s="30" t="inlineStr">
        <is>
          <t>ERROR</t>
        </is>
      </c>
      <c r="E110" s="26">
        <f>IF(ISNUMBER(D110),IF(ISNUMBER(T107),ABS(T107-D110),"N/A"),"N/A")</f>
        <v/>
      </c>
      <c r="F110" s="15">
        <f>IF(ISNUMBER(D110),IF(AND(ISNUMBER(T107),ABS(T107-D110)&lt;=0.01),"PASS","FAIL"),IF(AND(NOT(ISNUMBER(T107)),T107=D110),"PASS","FAIL"))</f>
        <v/>
      </c>
    </row>
    <row r="111">
      <c r="B111" s="8" t="inlineStr">
        <is>
          <t>Required List Price</t>
        </is>
      </c>
      <c r="C111" s="25">
        <f>U107</f>
        <v/>
      </c>
      <c r="D111" s="30" t="inlineStr">
        <is>
          <t>ERROR</t>
        </is>
      </c>
      <c r="E111" s="26">
        <f>IF(ISNUMBER(D111),IF(ISNUMBER(U107),ABS(U107-D111),"N/A"),"N/A")</f>
        <v/>
      </c>
      <c r="F111" s="15">
        <f>IF(ISNUMBER(D111),IF(AND(ISNUMBER(U107),ABS(U107-D111)&lt;=0.01),"PASS","FAIL"),IF(AND(NOT(ISNUMBER(U107)),U107=D111),"PASS","FAIL"))</f>
        <v/>
      </c>
    </row>
    <row r="112">
      <c r="B112" s="8" t="inlineStr">
        <is>
          <t>Expected Contribution Margin</t>
        </is>
      </c>
      <c r="C112" s="25">
        <f>V107</f>
        <v/>
      </c>
      <c r="D112" s="30" t="inlineStr">
        <is>
          <t>ERROR</t>
        </is>
      </c>
      <c r="E112" s="26">
        <f>IF(ISNUMBER(D112),IF(ISNUMBER(V107),ABS(V107-D112),"N/A"),"N/A")</f>
        <v/>
      </c>
      <c r="F112" s="15">
        <f>IF(ISNUMBER(D112),IF(AND(ISNUMBER(V107),ABS(V107-D112)&lt;=0.01),"PASS","FAIL"),IF(AND(NOT(ISNUMBER(V107)),V107=D112),"PASS","FAIL"))</f>
        <v/>
      </c>
    </row>
    <row r="113">
      <c r="B113" s="8" t="inlineStr">
        <is>
          <t>Expected CM Rate</t>
        </is>
      </c>
      <c r="C113" s="28">
        <f>W107</f>
        <v/>
      </c>
      <c r="D113" s="30" t="inlineStr">
        <is>
          <t>ERROR</t>
        </is>
      </c>
      <c r="E113" s="26">
        <f>IF(ISNUMBER(D113),IF(ISNUMBER(W107),ABS(W107-D113),"N/A"),"N/A")</f>
        <v/>
      </c>
      <c r="F113" s="15">
        <f>IF(ISNUMBER(D113),IF(AND(ISNUMBER(W107),ABS(W107-D113)&lt;=0.0001),"PASS","FAIL"),IF(AND(NOT(ISNUMBER(W107)),W107=D113),"PASS","FAIL"))</f>
        <v/>
      </c>
    </row>
    <row r="115" ht="20" customHeight="1">
      <c r="B115" s="2" t="inlineStr">
        <is>
          <t>12. Explicit zero rate (TC9)</t>
        </is>
      </c>
      <c r="C115" s="7" t="n"/>
      <c r="D115" s="7" t="n"/>
      <c r="E115" s="7" t="n"/>
      <c r="F115" s="7" t="n"/>
    </row>
    <row r="116">
      <c r="B116" s="4" t="inlineStr">
        <is>
          <t>Metric</t>
        </is>
      </c>
      <c r="C116" s="4" t="inlineStr">
        <is>
          <t>Excel Result</t>
        </is>
      </c>
      <c r="D116" s="4" t="inlineStr">
        <is>
          <t>Python Reference</t>
        </is>
      </c>
      <c r="E116" s="4" t="inlineStr">
        <is>
          <t>Difference</t>
        </is>
      </c>
      <c r="F116" s="4" t="inlineStr">
        <is>
          <t>PASS / FAIL</t>
        </is>
      </c>
    </row>
    <row r="117">
      <c r="B117" s="8" t="inlineStr">
        <is>
          <t>Denominator</t>
        </is>
      </c>
      <c r="C117" s="26">
        <f>Q117</f>
        <v/>
      </c>
      <c r="D117" s="35" t="n">
        <v>0.6449999999999999</v>
      </c>
      <c r="E117" s="26">
        <f>IF(ISNUMBER(D117),IF(ISNUMBER(Q117),ABS(Q117-D117),"N/A"),"N/A")</f>
        <v/>
      </c>
      <c r="F117" s="15">
        <f>IF(ISNUMBER(D117),IF(AND(ISNUMBER(Q117),ABS(Q117-D117)&lt;=0.01),"PASS","FAIL"),IF(AND(NOT(ISNUMBER(Q117)),Q117=D117),"PASS","FAIL"))</f>
        <v/>
      </c>
      <c r="I117" t="n">
        <v>0.3</v>
      </c>
      <c r="J117" t="n">
        <v>10000</v>
      </c>
      <c r="K117" t="n">
        <v>0</v>
      </c>
      <c r="L117" t="n">
        <v>0.05</v>
      </c>
      <c r="M117" t="n">
        <v>0.1</v>
      </c>
      <c r="N117" t="b">
        <v>0</v>
      </c>
      <c r="P117" t="inlineStr">
        <is>
          <t>none</t>
        </is>
      </c>
      <c r="Q117">
        <f>IFERROR(IF($P$117="invalid","ERROR",IF($P$117="unresolved","UNKNOWN",IF(OR(AND(NOT(ISBLANK($I$117)),OR($I$117&lt;0,$I$117&gt;=1)),AND(NOT(ISBLANK($K$117)),$K$117&lt;0),AND(NOT(ISBLANK($L$117)),$L$117&lt;0),AND(NOT(ISBLANK($J$117)),$J$117&lt;0)),"ERROR",IF(OR(ISBLANK($I$117),ISBLANK($K$117),ISBLANK($L$117)),"UNKNOWN",IF($L$117=0,IF(1-$I$117-$K$117&lt;=0,"ERROR",1-$I$117-$K$117),IF(ISBLANK($M$117),"UNKNOWN",IF(1-$I$117-$K$117-$L$117*(1+$M$117)&lt;=0,"ERROR",1-$I$117-$K$117-$L$117*(1+$M$117)))))))),"ERROR")</f>
        <v/>
      </c>
      <c r="R117">
        <f>IFERROR(IF(ISBLANK($J$117),"UNKNOWN",IF(NOT(ISNUMBER(Q117)),Q117,$J$117/Q117)),"ERROR")</f>
        <v/>
      </c>
      <c r="S117">
        <f>IFERROR(IF(NOT(ISNUMBER(R117)),R117,IF(ISBLANK($M$117),"UNKNOWN",R117*(1+$M$117))),"ERROR")</f>
        <v/>
      </c>
      <c r="T117">
        <f>IFERROR(IF(ISBLANK($N$117),"UNKNOWN",IF($N$117=FALSE,R117,S117)),"ERROR")</f>
        <v/>
      </c>
      <c r="U117">
        <f>IFERROR(IF(NOT(ISNUMBER(T117)),T117,IF(ISBLANK($O$117),"UNKNOWN",IF(OR($O$117&lt;0,$O$117&gt;=1),"ERROR",IF($O$117=0,T117,T117/(1-$O$117))))),"ERROR")</f>
        <v/>
      </c>
      <c r="V117">
        <f>IFERROR(IF(NOT(ISNUMBER(R117)),R117,IF($L$117=0,R117-$J$117-$K$117*R117,IF(NOT(ISNUMBER(S117)),S117,R117-$J$117-$K$117*R117-$L$117*S117))),"ERROR")</f>
        <v/>
      </c>
      <c r="W117">
        <f>IFERROR(IF(NOT(ISNUMBER(V117)),V117,IF(R117=0,"ERROR",V117/R117)),"ERROR")</f>
        <v/>
      </c>
    </row>
    <row r="118">
      <c r="B118" s="8" t="inlineStr">
        <is>
          <t>Required Net Sales ex VAT</t>
        </is>
      </c>
      <c r="C118" s="25">
        <f>R117</f>
        <v/>
      </c>
      <c r="D118" s="21" t="n">
        <v>15503.87596899225</v>
      </c>
      <c r="E118" s="26">
        <f>IF(ISNUMBER(D118),IF(ISNUMBER(R117),ABS(R117-D118),"N/A"),"N/A")</f>
        <v/>
      </c>
      <c r="F118" s="15">
        <f>IF(ISNUMBER(D118),IF(AND(ISNUMBER(R117),ABS(R117-D118)&lt;=0.01),"PASS","FAIL"),IF(AND(NOT(ISNUMBER(R117)),R117=D118),"PASS","FAIL"))</f>
        <v/>
      </c>
    </row>
    <row r="119">
      <c r="B119" s="8" t="inlineStr">
        <is>
          <t>Required Gross Payment incl VAT</t>
        </is>
      </c>
      <c r="C119" s="25">
        <f>S117</f>
        <v/>
      </c>
      <c r="D119" s="21" t="n">
        <v>17054.26356589148</v>
      </c>
      <c r="E119" s="26">
        <f>IF(ISNUMBER(D119),IF(ISNUMBER(S117),ABS(S117-D119),"N/A"),"N/A")</f>
        <v/>
      </c>
      <c r="F119" s="15">
        <f>IF(ISNUMBER(D119),IF(AND(ISNUMBER(S117),ABS(S117-D119)&lt;=0.01),"PASS","FAIL"),IF(AND(NOT(ISNUMBER(S117)),S117=D119),"PASS","FAIL"))</f>
        <v/>
      </c>
    </row>
    <row r="120">
      <c r="B120" s="8" t="inlineStr">
        <is>
          <t>Required Selling Price</t>
        </is>
      </c>
      <c r="C120" s="25">
        <f>T117</f>
        <v/>
      </c>
      <c r="D120" s="21" t="n">
        <v>15503.87596899225</v>
      </c>
      <c r="E120" s="26">
        <f>IF(ISNUMBER(D120),IF(ISNUMBER(T117),ABS(T117-D120),"N/A"),"N/A")</f>
        <v/>
      </c>
      <c r="F120" s="15">
        <f>IF(ISNUMBER(D120),IF(AND(ISNUMBER(T117),ABS(T117-D120)&lt;=0.01),"PASS","FAIL"),IF(AND(NOT(ISNUMBER(T117)),T117=D120),"PASS","FAIL"))</f>
        <v/>
      </c>
    </row>
    <row r="121">
      <c r="B121" s="8" t="inlineStr">
        <is>
          <t>Required List Price</t>
        </is>
      </c>
      <c r="C121" s="25">
        <f>U117</f>
        <v/>
      </c>
      <c r="D121" s="30" t="inlineStr">
        <is>
          <t>UNKNOWN</t>
        </is>
      </c>
      <c r="E121" s="26">
        <f>IF(ISNUMBER(D121),IF(ISNUMBER(U117),ABS(U117-D121),"N/A"),"N/A")</f>
        <v/>
      </c>
      <c r="F121" s="15">
        <f>IF(ISNUMBER(D121),IF(AND(ISNUMBER(U117),ABS(U117-D121)&lt;=0.01),"PASS","FAIL"),IF(AND(NOT(ISNUMBER(U117)),U117=D121),"PASS","FAIL"))</f>
        <v/>
      </c>
    </row>
    <row r="122">
      <c r="B122" s="8" t="inlineStr">
        <is>
          <t>Expected Contribution Margin</t>
        </is>
      </c>
      <c r="C122" s="25">
        <f>V117</f>
        <v/>
      </c>
      <c r="D122" s="21" t="n">
        <v>4651.162790697675</v>
      </c>
      <c r="E122" s="26">
        <f>IF(ISNUMBER(D122),IF(ISNUMBER(V117),ABS(V117-D122),"N/A"),"N/A")</f>
        <v/>
      </c>
      <c r="F122" s="15">
        <f>IF(ISNUMBER(D122),IF(AND(ISNUMBER(V117),ABS(V117-D122)&lt;=0.01),"PASS","FAIL"),IF(AND(NOT(ISNUMBER(V117)),V117=D122),"PASS","FAIL"))</f>
        <v/>
      </c>
    </row>
    <row r="123">
      <c r="B123" s="8" t="inlineStr">
        <is>
          <t>Expected CM Rate</t>
        </is>
      </c>
      <c r="C123" s="28">
        <f>W117</f>
        <v/>
      </c>
      <c r="D123" s="29" t="n">
        <v>0.3</v>
      </c>
      <c r="E123" s="26">
        <f>IF(ISNUMBER(D123),IF(ISNUMBER(W117),ABS(W117-D123),"N/A"),"N/A")</f>
        <v/>
      </c>
      <c r="F123" s="15">
        <f>IF(ISNUMBER(D123),IF(AND(ISNUMBER(W117),ABS(W117-D123)&lt;=0.0001),"PASS","FAIL"),IF(AND(NOT(ISNUMBER(W117)),W117=D123),"PASS","FAIL"))</f>
        <v/>
      </c>
    </row>
    <row r="125" ht="20" customHeight="1">
      <c r="B125" s="2" t="inlineStr">
        <is>
          <t>13. UNKNOWN cost (TC8)</t>
        </is>
      </c>
      <c r="C125" s="7" t="n"/>
      <c r="D125" s="7" t="n"/>
      <c r="E125" s="7" t="n"/>
      <c r="F125" s="7" t="n"/>
    </row>
    <row r="126">
      <c r="B126" s="4" t="inlineStr">
        <is>
          <t>Metric</t>
        </is>
      </c>
      <c r="C126" s="4" t="inlineStr">
        <is>
          <t>Excel Result</t>
        </is>
      </c>
      <c r="D126" s="4" t="inlineStr">
        <is>
          <t>Python Reference</t>
        </is>
      </c>
      <c r="E126" s="4" t="inlineStr">
        <is>
          <t>Difference</t>
        </is>
      </c>
      <c r="F126" s="4" t="inlineStr">
        <is>
          <t>PASS / FAIL</t>
        </is>
      </c>
    </row>
    <row r="127">
      <c r="B127" s="8" t="inlineStr">
        <is>
          <t>Denominator</t>
        </is>
      </c>
      <c r="C127" s="26">
        <f>Q127</f>
        <v/>
      </c>
      <c r="D127" s="35" t="n">
        <v>0.6</v>
      </c>
      <c r="E127" s="26">
        <f>IF(ISNUMBER(D127),IF(ISNUMBER(Q127),ABS(Q127-D127),"N/A"),"N/A")</f>
        <v/>
      </c>
      <c r="F127" s="15">
        <f>IF(ISNUMBER(D127),IF(AND(ISNUMBER(Q127),ABS(Q127-D127)&lt;=0.01),"PASS","FAIL"),IF(AND(NOT(ISNUMBER(Q127)),Q127=D127),"PASS","FAIL"))</f>
        <v/>
      </c>
      <c r="I127" t="n">
        <v>0.4</v>
      </c>
      <c r="K127" t="n">
        <v>0</v>
      </c>
      <c r="L127" t="n">
        <v>0</v>
      </c>
      <c r="M127" t="n">
        <v>0.1</v>
      </c>
      <c r="N127" t="b">
        <v>0</v>
      </c>
      <c r="P127" t="inlineStr">
        <is>
          <t>none</t>
        </is>
      </c>
      <c r="Q127">
        <f>IFERROR(IF($P$127="invalid","ERROR",IF($P$127="unresolved","UNKNOWN",IF(OR(AND(NOT(ISBLANK($I$127)),OR($I$127&lt;0,$I$127&gt;=1)),AND(NOT(ISBLANK($K$127)),$K$127&lt;0),AND(NOT(ISBLANK($L$127)),$L$127&lt;0),AND(NOT(ISBLANK($J$127)),$J$127&lt;0)),"ERROR",IF(OR(ISBLANK($I$127),ISBLANK($K$127),ISBLANK($L$127)),"UNKNOWN",IF($L$127=0,IF(1-$I$127-$K$127&lt;=0,"ERROR",1-$I$127-$K$127),IF(ISBLANK($M$127),"UNKNOWN",IF(1-$I$127-$K$127-$L$127*(1+$M$127)&lt;=0,"ERROR",1-$I$127-$K$127-$L$127*(1+$M$127)))))))),"ERROR")</f>
        <v/>
      </c>
      <c r="R127">
        <f>IFERROR(IF(ISBLANK($J$127),"UNKNOWN",IF(NOT(ISNUMBER(Q127)),Q127,$J$127/Q127)),"ERROR")</f>
        <v/>
      </c>
      <c r="S127">
        <f>IFERROR(IF(NOT(ISNUMBER(R127)),R127,IF(ISBLANK($M$127),"UNKNOWN",R127*(1+$M$127))),"ERROR")</f>
        <v/>
      </c>
      <c r="T127">
        <f>IFERROR(IF(ISBLANK($N$127),"UNKNOWN",IF($N$127=FALSE,R127,S127)),"ERROR")</f>
        <v/>
      </c>
      <c r="U127">
        <f>IFERROR(IF(NOT(ISNUMBER(T127)),T127,IF(ISBLANK($O$127),"UNKNOWN",IF(OR($O$127&lt;0,$O$127&gt;=1),"ERROR",IF($O$127=0,T127,T127/(1-$O$127))))),"ERROR")</f>
        <v/>
      </c>
      <c r="V127">
        <f>IFERROR(IF(NOT(ISNUMBER(R127)),R127,IF($L$127=0,R127-$J$127-$K$127*R127,IF(NOT(ISNUMBER(S127)),S127,R127-$J$127-$K$127*R127-$L$127*S127))),"ERROR")</f>
        <v/>
      </c>
      <c r="W127">
        <f>IFERROR(IF(NOT(ISNUMBER(V127)),V127,IF(R127=0,"ERROR",V127/R127)),"ERROR")</f>
        <v/>
      </c>
    </row>
    <row r="128">
      <c r="B128" s="8" t="inlineStr">
        <is>
          <t>Required Net Sales ex VAT</t>
        </is>
      </c>
      <c r="C128" s="25">
        <f>R127</f>
        <v/>
      </c>
      <c r="D128" s="30" t="inlineStr">
        <is>
          <t>UNKNOWN</t>
        </is>
      </c>
      <c r="E128" s="26">
        <f>IF(ISNUMBER(D128),IF(ISNUMBER(R127),ABS(R127-D128),"N/A"),"N/A")</f>
        <v/>
      </c>
      <c r="F128" s="15">
        <f>IF(ISNUMBER(D128),IF(AND(ISNUMBER(R127),ABS(R127-D128)&lt;=0.01),"PASS","FAIL"),IF(AND(NOT(ISNUMBER(R127)),R127=D128),"PASS","FAIL"))</f>
        <v/>
      </c>
    </row>
    <row r="129">
      <c r="B129" s="8" t="inlineStr">
        <is>
          <t>Required Gross Payment incl VAT</t>
        </is>
      </c>
      <c r="C129" s="25">
        <f>S127</f>
        <v/>
      </c>
      <c r="D129" s="30" t="inlineStr">
        <is>
          <t>UNKNOWN</t>
        </is>
      </c>
      <c r="E129" s="26">
        <f>IF(ISNUMBER(D129),IF(ISNUMBER(S127),ABS(S127-D129),"N/A"),"N/A")</f>
        <v/>
      </c>
      <c r="F129" s="15">
        <f>IF(ISNUMBER(D129),IF(AND(ISNUMBER(S127),ABS(S127-D129)&lt;=0.01),"PASS","FAIL"),IF(AND(NOT(ISNUMBER(S127)),S127=D129),"PASS","FAIL"))</f>
        <v/>
      </c>
    </row>
    <row r="130">
      <c r="B130" s="8" t="inlineStr">
        <is>
          <t>Required Selling Price</t>
        </is>
      </c>
      <c r="C130" s="25">
        <f>T127</f>
        <v/>
      </c>
      <c r="D130" s="30" t="inlineStr">
        <is>
          <t>UNKNOWN</t>
        </is>
      </c>
      <c r="E130" s="26">
        <f>IF(ISNUMBER(D130),IF(ISNUMBER(T127),ABS(T127-D130),"N/A"),"N/A")</f>
        <v/>
      </c>
      <c r="F130" s="15">
        <f>IF(ISNUMBER(D130),IF(AND(ISNUMBER(T127),ABS(T127-D130)&lt;=0.01),"PASS","FAIL"),IF(AND(NOT(ISNUMBER(T127)),T127=D130),"PASS","FAIL"))</f>
        <v/>
      </c>
    </row>
    <row r="131">
      <c r="B131" s="8" t="inlineStr">
        <is>
          <t>Required List Price</t>
        </is>
      </c>
      <c r="C131" s="25">
        <f>U127</f>
        <v/>
      </c>
      <c r="D131" s="30" t="inlineStr">
        <is>
          <t>UNKNOWN</t>
        </is>
      </c>
      <c r="E131" s="26">
        <f>IF(ISNUMBER(D131),IF(ISNUMBER(U127),ABS(U127-D131),"N/A"),"N/A")</f>
        <v/>
      </c>
      <c r="F131" s="15">
        <f>IF(ISNUMBER(D131),IF(AND(ISNUMBER(U127),ABS(U127-D131)&lt;=0.01),"PASS","FAIL"),IF(AND(NOT(ISNUMBER(U127)),U127=D131),"PASS","FAIL"))</f>
        <v/>
      </c>
    </row>
    <row r="132">
      <c r="B132" s="8" t="inlineStr">
        <is>
          <t>Expected Contribution Margin</t>
        </is>
      </c>
      <c r="C132" s="25">
        <f>V127</f>
        <v/>
      </c>
      <c r="D132" s="30" t="inlineStr">
        <is>
          <t>UNKNOWN</t>
        </is>
      </c>
      <c r="E132" s="26">
        <f>IF(ISNUMBER(D132),IF(ISNUMBER(V127),ABS(V127-D132),"N/A"),"N/A")</f>
        <v/>
      </c>
      <c r="F132" s="15">
        <f>IF(ISNUMBER(D132),IF(AND(ISNUMBER(V127),ABS(V127-D132)&lt;=0.01),"PASS","FAIL"),IF(AND(NOT(ISNUMBER(V127)),V127=D132),"PASS","FAIL"))</f>
        <v/>
      </c>
    </row>
    <row r="133">
      <c r="B133" s="8" t="inlineStr">
        <is>
          <t>Expected CM Rate</t>
        </is>
      </c>
      <c r="C133" s="28">
        <f>W127</f>
        <v/>
      </c>
      <c r="D133" s="30" t="inlineStr">
        <is>
          <t>UNKNOWN</t>
        </is>
      </c>
      <c r="E133" s="26">
        <f>IF(ISNUMBER(D133),IF(ISNUMBER(W127),ABS(W127-D133),"N/A"),"N/A")</f>
        <v/>
      </c>
      <c r="F133" s="15">
        <f>IF(ISNUMBER(D133),IF(AND(ISNUMBER(W127),ABS(W127-D133)&lt;=0.0001),"PASS","FAIL"),IF(AND(NOT(ISNUMBER(W127)),W127=D133),"PASS","FAIL"))</f>
        <v/>
      </c>
    </row>
    <row r="135" ht="20" customHeight="1">
      <c r="B135" s="2" t="inlineStr">
        <is>
          <t>14. Shared cost: fixed_share (unresolved allocation)</t>
        </is>
      </c>
      <c r="C135" s="7" t="n"/>
      <c r="D135" s="7" t="n"/>
      <c r="E135" s="7" t="n"/>
      <c r="F135" s="7" t="n"/>
    </row>
    <row r="136">
      <c r="B136" s="4" t="inlineStr">
        <is>
          <t>Metric</t>
        </is>
      </c>
      <c r="C136" s="4" t="inlineStr">
        <is>
          <t>Excel Result</t>
        </is>
      </c>
      <c r="D136" s="4" t="inlineStr">
        <is>
          <t>Python Reference</t>
        </is>
      </c>
      <c r="E136" s="4" t="inlineStr">
        <is>
          <t>Difference</t>
        </is>
      </c>
      <c r="F136" s="4" t="inlineStr">
        <is>
          <t>PASS / FAIL</t>
        </is>
      </c>
    </row>
    <row r="137">
      <c r="B137" s="8" t="inlineStr">
        <is>
          <t>Denominator</t>
        </is>
      </c>
      <c r="C137" s="26">
        <f>Q137</f>
        <v/>
      </c>
      <c r="D137" s="30" t="inlineStr">
        <is>
          <t>UNKNOWN</t>
        </is>
      </c>
      <c r="E137" s="26">
        <f>IF(ISNUMBER(D137),IF(ISNUMBER(Q137),ABS(Q137-D137),"N/A"),"N/A")</f>
        <v/>
      </c>
      <c r="F137" s="15">
        <f>IF(ISNUMBER(D137),IF(AND(ISNUMBER(Q137),ABS(Q137-D137)&lt;=0.01),"PASS","FAIL"),IF(AND(NOT(ISNUMBER(Q137)),Q137=D137),"PASS","FAIL"))</f>
        <v/>
      </c>
      <c r="I137" t="n">
        <v>0.3</v>
      </c>
      <c r="J137" t="n">
        <v>10000</v>
      </c>
      <c r="K137" t="n">
        <v>0</v>
      </c>
      <c r="L137" t="n">
        <v>0</v>
      </c>
      <c r="M137" t="n">
        <v>0.1</v>
      </c>
      <c r="N137" t="b">
        <v>0</v>
      </c>
      <c r="P137" t="inlineStr">
        <is>
          <t>unresolved</t>
        </is>
      </c>
      <c r="Q137">
        <f>IFERROR(IF($P$137="invalid","ERROR",IF($P$137="unresolved","UNKNOWN",IF(OR(AND(NOT(ISBLANK($I$137)),OR($I$137&lt;0,$I$137&gt;=1)),AND(NOT(ISBLANK($K$137)),$K$137&lt;0),AND(NOT(ISBLANK($L$137)),$L$137&lt;0),AND(NOT(ISBLANK($J$137)),$J$137&lt;0)),"ERROR",IF(OR(ISBLANK($I$137),ISBLANK($K$137),ISBLANK($L$137)),"UNKNOWN",IF($L$137=0,IF(1-$I$137-$K$137&lt;=0,"ERROR",1-$I$137-$K$137),IF(ISBLANK($M$137),"UNKNOWN",IF(1-$I$137-$K$137-$L$137*(1+$M$137)&lt;=0,"ERROR",1-$I$137-$K$137-$L$137*(1+$M$137)))))))),"ERROR")</f>
        <v/>
      </c>
      <c r="R137">
        <f>IFERROR(IF(ISBLANK($J$137),"UNKNOWN",IF(NOT(ISNUMBER(Q137)),Q137,$J$137/Q137)),"ERROR")</f>
        <v/>
      </c>
      <c r="S137">
        <f>IFERROR(IF(NOT(ISNUMBER(R137)),R137,IF(ISBLANK($M$137),"UNKNOWN",R137*(1+$M$137))),"ERROR")</f>
        <v/>
      </c>
      <c r="T137">
        <f>IFERROR(IF(ISBLANK($N$137),"UNKNOWN",IF($N$137=FALSE,R137,S137)),"ERROR")</f>
        <v/>
      </c>
      <c r="U137">
        <f>IFERROR(IF(NOT(ISNUMBER(T137)),T137,IF(ISBLANK($O$137),"UNKNOWN",IF(OR($O$137&lt;0,$O$137&gt;=1),"ERROR",IF($O$137=0,T137,T137/(1-$O$137))))),"ERROR")</f>
        <v/>
      </c>
      <c r="V137">
        <f>IFERROR(IF(NOT(ISNUMBER(R137)),R137,IF($L$137=0,R137-$J$137-$K$137*R137,IF(NOT(ISNUMBER(S137)),S137,R137-$J$137-$K$137*R137-$L$137*S137))),"ERROR")</f>
        <v/>
      </c>
      <c r="W137">
        <f>IFERROR(IF(NOT(ISNUMBER(V137)),V137,IF(R137=0,"ERROR",V137/R137)),"ERROR")</f>
        <v/>
      </c>
    </row>
    <row r="138">
      <c r="B138" s="8" t="inlineStr">
        <is>
          <t>Required Net Sales ex VAT</t>
        </is>
      </c>
      <c r="C138" s="25">
        <f>R137</f>
        <v/>
      </c>
      <c r="D138" s="30" t="inlineStr">
        <is>
          <t>UNKNOWN</t>
        </is>
      </c>
      <c r="E138" s="26">
        <f>IF(ISNUMBER(D138),IF(ISNUMBER(R137),ABS(R137-D138),"N/A"),"N/A")</f>
        <v/>
      </c>
      <c r="F138" s="15">
        <f>IF(ISNUMBER(D138),IF(AND(ISNUMBER(R137),ABS(R137-D138)&lt;=0.01),"PASS","FAIL"),IF(AND(NOT(ISNUMBER(R137)),R137=D138),"PASS","FAIL"))</f>
        <v/>
      </c>
    </row>
    <row r="139">
      <c r="B139" s="8" t="inlineStr">
        <is>
          <t>Required Gross Payment incl VAT</t>
        </is>
      </c>
      <c r="C139" s="25">
        <f>S137</f>
        <v/>
      </c>
      <c r="D139" s="30" t="inlineStr">
        <is>
          <t>UNKNOWN</t>
        </is>
      </c>
      <c r="E139" s="26">
        <f>IF(ISNUMBER(D139),IF(ISNUMBER(S137),ABS(S137-D139),"N/A"),"N/A")</f>
        <v/>
      </c>
      <c r="F139" s="15">
        <f>IF(ISNUMBER(D139),IF(AND(ISNUMBER(S137),ABS(S137-D139)&lt;=0.01),"PASS","FAIL"),IF(AND(NOT(ISNUMBER(S137)),S137=D139),"PASS","FAIL"))</f>
        <v/>
      </c>
    </row>
    <row r="140">
      <c r="B140" s="8" t="inlineStr">
        <is>
          <t>Required Selling Price</t>
        </is>
      </c>
      <c r="C140" s="25">
        <f>T137</f>
        <v/>
      </c>
      <c r="D140" s="30" t="inlineStr">
        <is>
          <t>UNKNOWN</t>
        </is>
      </c>
      <c r="E140" s="26">
        <f>IF(ISNUMBER(D140),IF(ISNUMBER(T137),ABS(T137-D140),"N/A"),"N/A")</f>
        <v/>
      </c>
      <c r="F140" s="15">
        <f>IF(ISNUMBER(D140),IF(AND(ISNUMBER(T137),ABS(T137-D140)&lt;=0.01),"PASS","FAIL"),IF(AND(NOT(ISNUMBER(T137)),T137=D140),"PASS","FAIL"))</f>
        <v/>
      </c>
    </row>
    <row r="141">
      <c r="B141" s="8" t="inlineStr">
        <is>
          <t>Required List Price</t>
        </is>
      </c>
      <c r="C141" s="25">
        <f>U137</f>
        <v/>
      </c>
      <c r="D141" s="30" t="inlineStr">
        <is>
          <t>UNKNOWN</t>
        </is>
      </c>
      <c r="E141" s="26">
        <f>IF(ISNUMBER(D141),IF(ISNUMBER(U137),ABS(U137-D141),"N/A"),"N/A")</f>
        <v/>
      </c>
      <c r="F141" s="15">
        <f>IF(ISNUMBER(D141),IF(AND(ISNUMBER(U137),ABS(U137-D141)&lt;=0.01),"PASS","FAIL"),IF(AND(NOT(ISNUMBER(U137)),U137=D141),"PASS","FAIL"))</f>
        <v/>
      </c>
    </row>
    <row r="142">
      <c r="B142" s="8" t="inlineStr">
        <is>
          <t>Expected Contribution Margin</t>
        </is>
      </c>
      <c r="C142" s="25">
        <f>V137</f>
        <v/>
      </c>
      <c r="D142" s="30" t="inlineStr">
        <is>
          <t>UNKNOWN</t>
        </is>
      </c>
      <c r="E142" s="26">
        <f>IF(ISNUMBER(D142),IF(ISNUMBER(V137),ABS(V137-D142),"N/A"),"N/A")</f>
        <v/>
      </c>
      <c r="F142" s="15">
        <f>IF(ISNUMBER(D142),IF(AND(ISNUMBER(V137),ABS(V137-D142)&lt;=0.01),"PASS","FAIL"),IF(AND(NOT(ISNUMBER(V137)),V137=D142),"PASS","FAIL"))</f>
        <v/>
      </c>
    </row>
    <row r="143">
      <c r="B143" s="8" t="inlineStr">
        <is>
          <t>Expected CM Rate</t>
        </is>
      </c>
      <c r="C143" s="28">
        <f>W137</f>
        <v/>
      </c>
      <c r="D143" s="30" t="inlineStr">
        <is>
          <t>UNKNOWN</t>
        </is>
      </c>
      <c r="E143" s="26">
        <f>IF(ISNUMBER(D143),IF(ISNUMBER(W137),ABS(W137-D143),"N/A"),"N/A")</f>
        <v/>
      </c>
      <c r="F143" s="15">
        <f>IF(ISNUMBER(D143),IF(AND(ISNUMBER(W137),ABS(W137-D143)&lt;=0.0001),"PASS","FAIL"),IF(AND(NOT(ISNUMBER(W137)),W137=D143),"PASS","FAIL"))</f>
        <v/>
      </c>
    </row>
    <row r="145" ht="20" customHeight="1">
      <c r="B145" s="2" t="inlineStr">
        <is>
          <t>15. Shared cost: shared + direct (invalid configuration)</t>
        </is>
      </c>
      <c r="C145" s="7" t="n"/>
      <c r="D145" s="7" t="n"/>
      <c r="E145" s="7" t="n"/>
      <c r="F145" s="7" t="n"/>
    </row>
    <row r="146">
      <c r="B146" s="4" t="inlineStr">
        <is>
          <t>Metric</t>
        </is>
      </c>
      <c r="C146" s="4" t="inlineStr">
        <is>
          <t>Excel Result</t>
        </is>
      </c>
      <c r="D146" s="4" t="inlineStr">
        <is>
          <t>Python Reference</t>
        </is>
      </c>
      <c r="E146" s="4" t="inlineStr">
        <is>
          <t>Difference</t>
        </is>
      </c>
      <c r="F146" s="4" t="inlineStr">
        <is>
          <t>PASS / FAIL</t>
        </is>
      </c>
    </row>
    <row r="147">
      <c r="B147" s="8" t="inlineStr">
        <is>
          <t>Denominator</t>
        </is>
      </c>
      <c r="C147" s="26">
        <f>Q147</f>
        <v/>
      </c>
      <c r="D147" s="30" t="inlineStr">
        <is>
          <t>ERROR</t>
        </is>
      </c>
      <c r="E147" s="26">
        <f>IF(ISNUMBER(D147),IF(ISNUMBER(Q147),ABS(Q147-D147),"N/A"),"N/A")</f>
        <v/>
      </c>
      <c r="F147" s="15">
        <f>IF(ISNUMBER(D147),IF(AND(ISNUMBER(Q147),ABS(Q147-D147)&lt;=0.01),"PASS","FAIL"),IF(AND(NOT(ISNUMBER(Q147)),Q147=D147),"PASS","FAIL"))</f>
        <v/>
      </c>
      <c r="I147" t="n">
        <v>0.4</v>
      </c>
      <c r="J147" t="n">
        <v>10000</v>
      </c>
      <c r="K147" t="n">
        <v>0</v>
      </c>
      <c r="L147" t="n">
        <v>0</v>
      </c>
      <c r="M147" t="n">
        <v>0.1</v>
      </c>
      <c r="N147" t="b">
        <v>0</v>
      </c>
      <c r="P147" t="inlineStr">
        <is>
          <t>invalid</t>
        </is>
      </c>
      <c r="Q147">
        <f>IFERROR(IF($P$147="invalid","ERROR",IF($P$147="unresolved","UNKNOWN",IF(OR(AND(NOT(ISBLANK($I$147)),OR($I$147&lt;0,$I$147&gt;=1)),AND(NOT(ISBLANK($K$147)),$K$147&lt;0),AND(NOT(ISBLANK($L$147)),$L$147&lt;0),AND(NOT(ISBLANK($J$147)),$J$147&lt;0)),"ERROR",IF(OR(ISBLANK($I$147),ISBLANK($K$147),ISBLANK($L$147)),"UNKNOWN",IF($L$147=0,IF(1-$I$147-$K$147&lt;=0,"ERROR",1-$I$147-$K$147),IF(ISBLANK($M$147),"UNKNOWN",IF(1-$I$147-$K$147-$L$147*(1+$M$147)&lt;=0,"ERROR",1-$I$147-$K$147-$L$147*(1+$M$147)))))))),"ERROR")</f>
        <v/>
      </c>
      <c r="R147">
        <f>IFERROR(IF(ISBLANK($J$147),"UNKNOWN",IF(NOT(ISNUMBER(Q147)),Q147,$J$147/Q147)),"ERROR")</f>
        <v/>
      </c>
      <c r="S147">
        <f>IFERROR(IF(NOT(ISNUMBER(R147)),R147,IF(ISBLANK($M$147),"UNKNOWN",R147*(1+$M$147))),"ERROR")</f>
        <v/>
      </c>
      <c r="T147">
        <f>IFERROR(IF(ISBLANK($N$147),"UNKNOWN",IF($N$147=FALSE,R147,S147)),"ERROR")</f>
        <v/>
      </c>
      <c r="U147">
        <f>IFERROR(IF(NOT(ISNUMBER(T147)),T147,IF(ISBLANK($O$147),"UNKNOWN",IF(OR($O$147&lt;0,$O$147&gt;=1),"ERROR",IF($O$147=0,T147,T147/(1-$O$147))))),"ERROR")</f>
        <v/>
      </c>
      <c r="V147">
        <f>IFERROR(IF(NOT(ISNUMBER(R147)),R147,IF($L$147=0,R147-$J$147-$K$147*R147,IF(NOT(ISNUMBER(S147)),S147,R147-$J$147-$K$147*R147-$L$147*S147))),"ERROR")</f>
        <v/>
      </c>
      <c r="W147">
        <f>IFERROR(IF(NOT(ISNUMBER(V147)),V147,IF(R147=0,"ERROR",V147/R147)),"ERROR")</f>
        <v/>
      </c>
    </row>
    <row r="148">
      <c r="B148" s="8" t="inlineStr">
        <is>
          <t>Required Net Sales ex VAT</t>
        </is>
      </c>
      <c r="C148" s="25">
        <f>R147</f>
        <v/>
      </c>
      <c r="D148" s="30" t="inlineStr">
        <is>
          <t>ERROR</t>
        </is>
      </c>
      <c r="E148" s="26">
        <f>IF(ISNUMBER(D148),IF(ISNUMBER(R147),ABS(R147-D148),"N/A"),"N/A")</f>
        <v/>
      </c>
      <c r="F148" s="15">
        <f>IF(ISNUMBER(D148),IF(AND(ISNUMBER(R147),ABS(R147-D148)&lt;=0.01),"PASS","FAIL"),IF(AND(NOT(ISNUMBER(R147)),R147=D148),"PASS","FAIL"))</f>
        <v/>
      </c>
    </row>
    <row r="149">
      <c r="B149" s="8" t="inlineStr">
        <is>
          <t>Required Gross Payment incl VAT</t>
        </is>
      </c>
      <c r="C149" s="25">
        <f>S147</f>
        <v/>
      </c>
      <c r="D149" s="30" t="inlineStr">
        <is>
          <t>ERROR</t>
        </is>
      </c>
      <c r="E149" s="26">
        <f>IF(ISNUMBER(D149),IF(ISNUMBER(S147),ABS(S147-D149),"N/A"),"N/A")</f>
        <v/>
      </c>
      <c r="F149" s="15">
        <f>IF(ISNUMBER(D149),IF(AND(ISNUMBER(S147),ABS(S147-D149)&lt;=0.01),"PASS","FAIL"),IF(AND(NOT(ISNUMBER(S147)),S147=D149),"PASS","FAIL"))</f>
        <v/>
      </c>
    </row>
    <row r="150">
      <c r="B150" s="8" t="inlineStr">
        <is>
          <t>Required Selling Price</t>
        </is>
      </c>
      <c r="C150" s="25">
        <f>T147</f>
        <v/>
      </c>
      <c r="D150" s="30" t="inlineStr">
        <is>
          <t>ERROR</t>
        </is>
      </c>
      <c r="E150" s="26">
        <f>IF(ISNUMBER(D150),IF(ISNUMBER(T147),ABS(T147-D150),"N/A"),"N/A")</f>
        <v/>
      </c>
      <c r="F150" s="15">
        <f>IF(ISNUMBER(D150),IF(AND(ISNUMBER(T147),ABS(T147-D150)&lt;=0.01),"PASS","FAIL"),IF(AND(NOT(ISNUMBER(T147)),T147=D150),"PASS","FAIL"))</f>
        <v/>
      </c>
    </row>
    <row r="151">
      <c r="B151" s="8" t="inlineStr">
        <is>
          <t>Required List Price</t>
        </is>
      </c>
      <c r="C151" s="25">
        <f>U147</f>
        <v/>
      </c>
      <c r="D151" s="30" t="inlineStr">
        <is>
          <t>ERROR</t>
        </is>
      </c>
      <c r="E151" s="26">
        <f>IF(ISNUMBER(D151),IF(ISNUMBER(U147),ABS(U147-D151),"N/A"),"N/A")</f>
        <v/>
      </c>
      <c r="F151" s="15">
        <f>IF(ISNUMBER(D151),IF(AND(ISNUMBER(U147),ABS(U147-D151)&lt;=0.01),"PASS","FAIL"),IF(AND(NOT(ISNUMBER(U147)),U147=D151),"PASS","FAIL"))</f>
        <v/>
      </c>
    </row>
    <row r="152">
      <c r="B152" s="8" t="inlineStr">
        <is>
          <t>Expected Contribution Margin</t>
        </is>
      </c>
      <c r="C152" s="25">
        <f>V147</f>
        <v/>
      </c>
      <c r="D152" s="30" t="inlineStr">
        <is>
          <t>ERROR</t>
        </is>
      </c>
      <c r="E152" s="26">
        <f>IF(ISNUMBER(D152),IF(ISNUMBER(V147),ABS(V147-D152),"N/A"),"N/A")</f>
        <v/>
      </c>
      <c r="F152" s="15">
        <f>IF(ISNUMBER(D152),IF(AND(ISNUMBER(V147),ABS(V147-D152)&lt;=0.01),"PASS","FAIL"),IF(AND(NOT(ISNUMBER(V147)),V147=D152),"PASS","FAIL"))</f>
        <v/>
      </c>
    </row>
    <row r="153">
      <c r="B153" s="8" t="inlineStr">
        <is>
          <t>Expected CM Rate</t>
        </is>
      </c>
      <c r="C153" s="28">
        <f>W147</f>
        <v/>
      </c>
      <c r="D153" s="30" t="inlineStr">
        <is>
          <t>ERROR</t>
        </is>
      </c>
      <c r="E153" s="26">
        <f>IF(ISNUMBER(D153),IF(ISNUMBER(W147),ABS(W147-D153),"N/A"),"N/A")</f>
        <v/>
      </c>
      <c r="F153" s="15">
        <f>IF(ISNUMBER(D153),IF(AND(ISNUMBER(W147),ABS(W147-D153)&lt;=0.0001),"PASS","FAIL"),IF(AND(NOT(ISNUMBER(W147)),W147=D153),"PASS","FAIL"))</f>
        <v/>
      </c>
    </row>
    <row r="155" ht="20" customHeight="1">
      <c r="B155" s="2" t="inlineStr">
        <is>
          <t>Overall (all 15 scenarios — #14/#15 included, all live Excel evaluation)</t>
        </is>
      </c>
      <c r="C155" s="7" t="n"/>
    </row>
    <row r="156">
      <c r="B156" s="8" t="inlineStr">
        <is>
          <t>All metrics PASS?</t>
        </is>
      </c>
      <c r="C156" s="15">
        <f>IF(COUNTIF(F7:F153,"FAIL")=0,"ALL PASS","SOME FAILED")</f>
        <v/>
      </c>
    </row>
  </sheetData>
  <mergeCells count="18">
    <mergeCell ref="B3:G3"/>
    <mergeCell ref="B2:G2"/>
    <mergeCell ref="B65:F65"/>
    <mergeCell ref="B75:F75"/>
    <mergeCell ref="B105:F105"/>
    <mergeCell ref="B55:F55"/>
    <mergeCell ref="B95:F95"/>
    <mergeCell ref="B15:F15"/>
    <mergeCell ref="B125:F125"/>
    <mergeCell ref="B25:F25"/>
    <mergeCell ref="B5:F5"/>
    <mergeCell ref="B155:C155"/>
    <mergeCell ref="B45:F45"/>
    <mergeCell ref="B145:F145"/>
    <mergeCell ref="B85:F85"/>
    <mergeCell ref="B115:F115"/>
    <mergeCell ref="B135:F13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27">
    <cfRule type="expression" priority="169" dxfId="0">
      <formula>F127="FAIL"</formula>
    </cfRule>
    <cfRule type="expression" priority="170" dxfId="1">
      <formula>F127="PASS"</formula>
    </cfRule>
  </conditionalFormatting>
  <conditionalFormatting sqref="F128">
    <cfRule type="expression" priority="171" dxfId="0">
      <formula>F128="FAIL"</formula>
    </cfRule>
    <cfRule type="expression" priority="172" dxfId="1">
      <formula>F128="PASS"</formula>
    </cfRule>
  </conditionalFormatting>
  <conditionalFormatting sqref="F129">
    <cfRule type="expression" priority="173" dxfId="0">
      <formula>F129="FAIL"</formula>
    </cfRule>
    <cfRule type="expression" priority="174" dxfId="1">
      <formula>F129="PASS"</formula>
    </cfRule>
  </conditionalFormatting>
  <conditionalFormatting sqref="F130">
    <cfRule type="expression" priority="175" dxfId="0">
      <formula>F130="FAIL"</formula>
    </cfRule>
    <cfRule type="expression" priority="176" dxfId="1">
      <formula>F130="PASS"</formula>
    </cfRule>
  </conditionalFormatting>
  <conditionalFormatting sqref="F131">
    <cfRule type="expression" priority="177" dxfId="0">
      <formula>F131="FAIL"</formula>
    </cfRule>
    <cfRule type="expression" priority="178" dxfId="1">
      <formula>F131="PASS"</formula>
    </cfRule>
  </conditionalFormatting>
  <conditionalFormatting sqref="F132">
    <cfRule type="expression" priority="179" dxfId="0">
      <formula>F132="FAIL"</formula>
    </cfRule>
    <cfRule type="expression" priority="180" dxfId="1">
      <formula>F132="PASS"</formula>
    </cfRule>
  </conditionalFormatting>
  <conditionalFormatting sqref="F133">
    <cfRule type="expression" priority="181" dxfId="0">
      <formula>F133="FAIL"</formula>
    </cfRule>
    <cfRule type="expression" priority="182" dxfId="1">
      <formula>F133="PASS"</formula>
    </cfRule>
  </conditionalFormatting>
  <conditionalFormatting sqref="F137">
    <cfRule type="expression" priority="183" dxfId="0">
      <formula>F137="FAIL"</formula>
    </cfRule>
    <cfRule type="expression" priority="184" dxfId="1">
      <formula>F137="PASS"</formula>
    </cfRule>
  </conditionalFormatting>
  <conditionalFormatting sqref="F138">
    <cfRule type="expression" priority="185" dxfId="0">
      <formula>F138="FAIL"</formula>
    </cfRule>
    <cfRule type="expression" priority="186" dxfId="1">
      <formula>F138="PASS"</formula>
    </cfRule>
  </conditionalFormatting>
  <conditionalFormatting sqref="F139">
    <cfRule type="expression" priority="187" dxfId="0">
      <formula>F139="FAIL"</formula>
    </cfRule>
    <cfRule type="expression" priority="188" dxfId="1">
      <formula>F139="PASS"</formula>
    </cfRule>
  </conditionalFormatting>
  <conditionalFormatting sqref="F140">
    <cfRule type="expression" priority="189" dxfId="0">
      <formula>F140="FAIL"</formula>
    </cfRule>
    <cfRule type="expression" priority="190" dxfId="1">
      <formula>F140="PASS"</formula>
    </cfRule>
  </conditionalFormatting>
  <conditionalFormatting sqref="F141">
    <cfRule type="expression" priority="191" dxfId="0">
      <formula>F141="FAIL"</formula>
    </cfRule>
    <cfRule type="expression" priority="192" dxfId="1">
      <formula>F141="PASS"</formula>
    </cfRule>
  </conditionalFormatting>
  <conditionalFormatting sqref="F142">
    <cfRule type="expression" priority="193" dxfId="0">
      <formula>F142="FAIL"</formula>
    </cfRule>
    <cfRule type="expression" priority="194" dxfId="1">
      <formula>F142="PASS"</formula>
    </cfRule>
  </conditionalFormatting>
  <conditionalFormatting sqref="F143">
    <cfRule type="expression" priority="195" dxfId="0">
      <formula>F143="FAIL"</formula>
    </cfRule>
    <cfRule type="expression" priority="196" dxfId="1">
      <formula>F143="PASS"</formula>
    </cfRule>
  </conditionalFormatting>
  <conditionalFormatting sqref="F147">
    <cfRule type="expression" priority="197" dxfId="0">
      <formula>F147="FAIL"</formula>
    </cfRule>
    <cfRule type="expression" priority="198" dxfId="1">
      <formula>F147="PASS"</formula>
    </cfRule>
  </conditionalFormatting>
  <conditionalFormatting sqref="F148">
    <cfRule type="expression" priority="199" dxfId="0">
      <formula>F148="FAIL"</formula>
    </cfRule>
    <cfRule type="expression" priority="200" dxfId="1">
      <formula>F148="PASS"</formula>
    </cfRule>
  </conditionalFormatting>
  <conditionalFormatting sqref="F149">
    <cfRule type="expression" priority="201" dxfId="0">
      <formula>F149="FAIL"</formula>
    </cfRule>
    <cfRule type="expression" priority="202" dxfId="1">
      <formula>F149="PASS"</formula>
    </cfRule>
  </conditionalFormatting>
  <conditionalFormatting sqref="F150">
    <cfRule type="expression" priority="203" dxfId="0">
      <formula>F150="FAIL"</formula>
    </cfRule>
    <cfRule type="expression" priority="204" dxfId="1">
      <formula>F150="PASS"</formula>
    </cfRule>
  </conditionalFormatting>
  <conditionalFormatting sqref="F151">
    <cfRule type="expression" priority="205" dxfId="0">
      <formula>F151="FAIL"</formula>
    </cfRule>
    <cfRule type="expression" priority="206" dxfId="1">
      <formula>F151="PASS"</formula>
    </cfRule>
  </conditionalFormatting>
  <conditionalFormatting sqref="F152">
    <cfRule type="expression" priority="207" dxfId="0">
      <formula>F152="FAIL"</formula>
    </cfRule>
    <cfRule type="expression" priority="208" dxfId="1">
      <formula>F152="PASS"</formula>
    </cfRule>
  </conditionalFormatting>
  <conditionalFormatting sqref="F153">
    <cfRule type="expression" priority="209" dxfId="0">
      <formula>F153="FAIL"</formula>
    </cfRule>
    <cfRule type="expression" priority="210" dxfId="1">
      <formula>F153="PASS"</formula>
    </cfRule>
  </conditionalFormatting>
  <conditionalFormatting sqref="C156">
    <cfRule type="expression" priority="211" dxfId="0">
      <formula>C156="SOME FAILED"</formula>
    </cfRule>
    <cfRule type="expression" priority="212" dxfId="1">
      <formula>C156="ALL PASS"</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B2:M3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50" customWidth="1" min="4" max="4"/>
    <col hidden="1" width="13" customWidth="1" min="10" max="10"/>
    <col hidden="1" width="13" customWidth="1" min="11" max="11"/>
    <col hidden="1" width="13" customWidth="1" min="12" max="12"/>
    <col hidden="1" width="13" customWidth="1" min="13" max="13"/>
  </cols>
  <sheetData>
    <row r="2" ht="26" customHeight="1">
      <c r="B2" s="1" t="inlineStr">
        <is>
          <t>06. MODE C Simulator — Allowable Direct Cost (Interactive)</t>
        </is>
      </c>
      <c r="C2" s="6" t="n"/>
      <c r="D2" s="6" t="n"/>
    </row>
    <row r="4" ht="20" customHeight="1">
      <c r="B4" s="2" t="inlineStr">
        <is>
          <t>INPUT (노란 셀만 입력, 단일 컴포넌트 기준)</t>
        </is>
      </c>
      <c r="C4" s="7" t="n"/>
    </row>
    <row r="5">
      <c r="B5" s="8" t="inlineStr">
        <is>
          <t>Target Market Price</t>
        </is>
      </c>
      <c r="C5" s="11" t="n">
        <v>110000</v>
      </c>
      <c r="D5" s="8" t="inlineStr">
        <is>
          <t>product.price_components[].target_market_price — effective(할인 반영 후) 거래가격</t>
        </is>
      </c>
    </row>
    <row r="6">
      <c r="B6" s="8" t="inlineStr">
        <is>
          <t>Price Includes VAT</t>
        </is>
      </c>
      <c r="C6" s="9" t="b">
        <v>1</v>
      </c>
      <c r="D6" s="8" t="inlineStr">
        <is>
          <t>TRUE=시장가에 VAT 포함 / FALSE=별도 / 빈칸=모름</t>
        </is>
      </c>
    </row>
    <row r="7">
      <c r="B7" s="8" t="inlineStr">
        <is>
          <t>VAT Rate (v)</t>
        </is>
      </c>
      <c r="C7" s="12" t="n">
        <v>0.1</v>
      </c>
      <c r="D7" s="8" t="inlineStr">
        <is>
          <t>a=0이면 ADC 계산에 불필요. N/G는 각자의 조건에서만 필요 (SPEC.md §6)</t>
        </is>
      </c>
    </row>
    <row r="8">
      <c r="B8" s="8" t="inlineStr">
        <is>
          <t>Target Contribution Margin Rate (t)</t>
        </is>
      </c>
      <c r="C8" s="12" t="n">
        <v>0.3</v>
      </c>
      <c r="D8" s="8" t="inlineStr">
        <is>
          <t>0 이상 1 미만이어야 함 (&gt;=1 또는 &lt;0은 ERROR)</t>
        </is>
      </c>
    </row>
    <row r="9">
      <c r="B9" s="8" t="inlineStr">
        <is>
          <t>Fixed-Amount Variable Cost (F)</t>
        </is>
      </c>
      <c r="C9" s="11" t="n">
        <v>1000</v>
      </c>
      <c r="D9" s="8" t="inlineStr">
        <is>
          <t>variable_selling_delivery 중 금액형 항목 합계 (product_service_direct_cost 제외)</t>
        </is>
      </c>
    </row>
    <row r="10">
      <c r="B10" s="8" t="inlineStr">
        <is>
          <t>Net-Sales Fee Rate (b)</t>
        </is>
      </c>
      <c r="C10" s="12" t="n">
        <v>0.1</v>
      </c>
      <c r="D10" s="8" t="inlineStr">
        <is>
          <t>rate_of_net_sales 합계 — N에 곱함. 없으면 0</t>
        </is>
      </c>
    </row>
    <row r="11">
      <c r="B11" s="8" t="inlineStr">
        <is>
          <t>Gross-Payment Fee Rate (a)</t>
        </is>
      </c>
      <c r="C11" s="12" t="n">
        <v>0.03</v>
      </c>
      <c r="D11" s="8" t="inlineStr">
        <is>
          <t>rate_of_gross_payment 합계 — G에 곱함. 없으면 0</t>
        </is>
      </c>
    </row>
    <row r="12">
      <c r="B12" s="8" t="inlineStr">
        <is>
          <t>Actual Direct Cost</t>
        </is>
      </c>
      <c r="C12" s="11" t="n">
        <v>50000</v>
      </c>
      <c r="D12" s="8" t="inlineStr">
        <is>
          <t>실제 product_service_direct_cost 합계 — ADC 계산에 절대 사용되지 않음(dependency isolation)</t>
        </is>
      </c>
    </row>
    <row r="13">
      <c r="B13" s="8" t="inlineStr">
        <is>
          <t>Variable Cost Allocation Status (Excel simulation control — not a schema field)</t>
        </is>
      </c>
      <c r="C13" s="9" t="inlineStr">
        <is>
          <t>none</t>
        </is>
      </c>
      <c r="D13" s="31" t="inlineStr">
        <is>
          <t>Excel-only. F/b/a(변동비)의 공유비용 배부 상태 시뮬레이션. none=정상 계산 / unresolved=배부 미구현(ADC/gap/CM/CMR까지 전부 UNKNOWN) / invalid=shared+direct 모순(전부 ERROR).</t>
        </is>
      </c>
    </row>
    <row r="14">
      <c r="B14" s="8" t="inlineStr">
        <is>
          <t>Direct Cost Allocation Status (Excel simulation control — not a schema field)</t>
        </is>
      </c>
      <c r="C14" s="9" t="inlineStr">
        <is>
          <t>none</t>
        </is>
      </c>
      <c r="D14" s="31" t="inlineStr">
        <is>
          <t>Excel-only. actual_direct_cost만의 공유비용 배부 상태 시뮬레이션 — F/b/a와 완전히 분리된 컨트롤. none=정상 / unresolved=배부 미구현(actual_direct_cost·gap만 UNKNOWN) / invalid=모순(둘 다 ERROR). ADC·expected_contribution_margin(_rate)은 이 값과 무관하게 절대 변하지 않아야 함(가장 중요한 dependency-isolation 테스트, SPEC.md §9).</t>
        </is>
      </c>
    </row>
    <row r="16" ht="20" customHeight="1">
      <c r="B16" s="2" t="inlineStr">
        <is>
          <t>RESULT (계산값 — 직접 입력 금지)</t>
        </is>
      </c>
      <c r="C16" s="7" t="n"/>
    </row>
    <row r="17">
      <c r="B17" s="8" t="inlineStr">
        <is>
          <t>Market Net Sales ex VAT (N)</t>
        </is>
      </c>
      <c r="C17" s="13">
        <f>IFERROR(IF(ISBLANK($C$5),"UNKNOWN",IF(ISBLANK($C$6),"UNKNOWN",IF($C$6=FALSE,$C$5,IF(ISBLANK($C$7),"UNKNOWN",$C$5/(1+$C$7))))),"ERROR")</f>
        <v/>
      </c>
      <c r="D17" s="8" t="inlineStr">
        <is>
          <t>N — price_includes_vat=FALSE→시장가 그대로 / TRUE→÷(1+v)</t>
        </is>
      </c>
    </row>
    <row r="18">
      <c r="B18" s="8" t="inlineStr">
        <is>
          <t>Market Gross Payment incl VAT (G)</t>
        </is>
      </c>
      <c r="C18" s="13">
        <f>IFERROR(IF(ISBLANK($C$5),"UNKNOWN",IF(ISBLANK($C$6),"UNKNOWN",IF($C$6=TRUE,$C$5,IF(ISBLANK($C$7),"UNKNOWN",$C$5*(1+$C$7))))),"ERROR")</f>
        <v/>
      </c>
      <c r="D18" s="8" t="inlineStr">
        <is>
          <t>G — price_includes_vat=TRUE→시장가 그대로 / FALSE→×(1+v)</t>
        </is>
      </c>
    </row>
    <row r="19">
      <c r="B19" s="8" t="inlineStr">
        <is>
          <t>Allowable Direct Cost (ADC)</t>
        </is>
      </c>
      <c r="C19" s="13">
        <f>IFERROR(IF(OR(C17="ERROR",J24="ERROR",K24="ERROR",L24="ERROR",M24="ERROR"),"ERROR",IF(OR(NOT(ISNUMBER(C17)),NOT(ISNUMBER(J24)),NOT(ISNUMBER(K24)),NOT(ISNUMBER(L24)),NOT(ISNUMBER(M24))),"UNKNOWN",IF(M24&gt;0,IF(C18="ERROR","ERROR",IF(NOT(ISNUMBER(C18)),"UNKNOWN",C17*(1-J24-L24)-M24*C18-K24)),C17*(1-J24-L24)-K24))),"ERROR")</f>
        <v/>
      </c>
      <c r="D19" s="8" t="inlineStr">
        <is>
          <t>ADC = N×(1−t−b) − a×G − F (a=0이면 G 참조 안 함)</t>
        </is>
      </c>
    </row>
    <row r="20">
      <c r="B20" s="8" t="inlineStr">
        <is>
          <t>Actual Direct Cost</t>
        </is>
      </c>
      <c r="C20" s="13">
        <f>IFERROR(IF($C$14="invalid","ERROR",IF($C$14="unresolved","UNKNOWN",IF(ISBLANK($C$12),"UNKNOWN",$C$12))),"ERROR")</f>
        <v/>
      </c>
      <c r="D20" s="8" t="inlineStr">
        <is>
          <t>실제 직접원가 — ADC와 완전히 독립 (Direct Cost Allocation Status만 영향)</t>
        </is>
      </c>
    </row>
    <row r="21">
      <c r="B21" s="8" t="inlineStr">
        <is>
          <t>Direct Cost Gap (ADC − Actual)</t>
        </is>
      </c>
      <c r="C21" s="13">
        <f>IFERROR(IF(OR(C19="ERROR",C20="ERROR"),"ERROR",IF(OR(NOT(ISNUMBER(C19)),NOT(ISNUMBER(C20))),"UNKNOWN",C19-C20)),"ERROR")</f>
        <v/>
      </c>
      <c r="D21" s="8" t="inlineStr">
        <is>
          <t>= ADC − Actual Direct Cost. 양수=여유, 음수=초과</t>
        </is>
      </c>
    </row>
    <row r="22">
      <c r="B22" s="8" t="inlineStr">
        <is>
          <t>Expected Contribution Margin</t>
        </is>
      </c>
      <c r="C22" s="13">
        <f>IFERROR(IF(C19="ERROR","ERROR",IF(NOT(ISNUMBER(C19)),"UNKNOWN",IF(M24&gt;0,C17-C19-K24-L24*C17-M24*C18,C17-C19-K24-L24*C17))),"ERROR")</f>
        <v/>
      </c>
      <c r="D22" s="8" t="inlineStr">
        <is>
          <t>= N − ADC − F − b×N − a×G (역산식과 독립적인 비용구조 재계산)</t>
        </is>
      </c>
    </row>
    <row r="23">
      <c r="B23" s="8" t="inlineStr">
        <is>
          <t>Expected CM Rate</t>
        </is>
      </c>
      <c r="C23" s="14">
        <f>IFERROR(IF(C22="ERROR","ERROR",IF(NOT(ISNUMBER(C22)),"UNKNOWN",IF(C17=0,"ERROR",C22/C17))),"ERROR")</f>
        <v/>
      </c>
      <c r="D23" s="8" t="inlineStr">
        <is>
          <t>= CM / N. N=0이면 ERROR(미입력이 아니라 계산불가)</t>
        </is>
      </c>
    </row>
    <row r="24">
      <c r="J24">
        <f>IFERROR(IF(ISBLANK($C$8),"UNKNOWN",IF(OR($C$8&lt;0,$C$8&gt;=1),"ERROR",$C$8)),"ERROR")</f>
        <v/>
      </c>
      <c r="K24">
        <f>IFERROR(IF($C$13="invalid","ERROR",IF($C$13="unresolved","UNKNOWN",IF(ISBLANK($C$9),"UNKNOWN",$C$9))),"ERROR")</f>
        <v/>
      </c>
      <c r="L24">
        <f>IFERROR(IF($C$13="invalid","ERROR",IF($C$13="unresolved","UNKNOWN",IF(ISBLANK($C$10),"UNKNOWN",$C$10))),"ERROR")</f>
        <v/>
      </c>
      <c r="M24">
        <f>IFERROR(IF($C$13="invalid","ERROR",IF($C$13="unresolved","UNKNOWN",IF(ISBLANK($C$11),"UNKNOWN",$C$11))),"ERROR")</f>
        <v/>
      </c>
    </row>
    <row r="26">
      <c r="B26" s="8" t="inlineStr">
        <is>
          <t>Negative ADC?</t>
        </is>
      </c>
      <c r="C26" s="36">
        <f>IF(ISNUMBER(C19),IF(C19&lt;0,"YES — NEGATIVE_ALLOWABLE_COST (경고, ERROR 아님)","NO"),"N/A")</f>
        <v/>
      </c>
      <c r="D26" s="34" t="n"/>
    </row>
    <row r="27">
      <c r="B27" s="8" t="inlineStr">
        <is>
          <t>Self-Check: |CMR − t| ≤ 0.0001?</t>
        </is>
      </c>
      <c r="C27" s="15">
        <f>IF(NOT(ISNUMBER(C23)),"N/A",IF(ABS(C23-$C$8)&lt;=0.0001,"PASS","FAIL"))</f>
        <v/>
      </c>
      <c r="D27" s="31" t="inlineStr">
        <is>
          <t>expected_contribution_margin은 t×N이 아니라 비용구조(N-ADC-F-bN-aG)로 독립 재계산됩니다. 그 결과로 얻은 CMR(=CM/N)이 목표 t와 tolerance 내에서 일치하는지 진단하는 별도 셀. MODE C의 공식 출력 metric은 아님 — 산술 오류를 잡기 위한 진단용.</t>
        </is>
      </c>
    </row>
    <row r="28" ht="20" customHeight="1">
      <c r="B28" s="2" t="inlineStr">
        <is>
          <t>STATUS</t>
        </is>
      </c>
      <c r="C28" s="7" t="n"/>
    </row>
    <row r="29">
      <c r="B29" s="8" t="inlineStr">
        <is>
          <t>Overall Status</t>
        </is>
      </c>
      <c r="C29" s="33">
        <f>IF((IF(C17="ERROR",1,0)+IF(C18="ERROR",1,0)+IF(C19="ERROR",1,0)+IF(C20="ERROR",1,0)+IF(C21="ERROR",1,0)+IF(C22="ERROR",1,0)+IF(C23="ERROR",1,0))&gt;0,"ERROR — 목표 불가능 또는 입력값 모순",IF((IF(C17="UNKNOWN",1,0)+IF(C18="UNKNOWN",1,0)+IF(C19="UNKNOWN",1,0)+IF(C20="UNKNOWN",1,0)+IF(C21="UNKNOWN",1,0)+IF(C22="UNKNOWN",1,0)+IF(C23="UNKNOWN",1,0))&gt;0,"INCOMPLETE — 일부 지표 UNKNOWN","OK — 전체 계산 완료"))</f>
        <v/>
      </c>
      <c r="D29" s="34" t="n"/>
    </row>
    <row r="30">
      <c r="B30" s="10" t="inlineStr">
        <is>
          <t>blank = UNKNOWN / 0 = explicit zero</t>
        </is>
      </c>
    </row>
    <row r="32" ht="20" customHeight="1">
      <c r="B32" s="2" t="inlineStr">
        <is>
          <t>DASHBOARD CARD</t>
        </is>
      </c>
      <c r="C32" s="7" t="n"/>
      <c r="D32" s="7" t="n"/>
      <c r="E32" s="7" t="n"/>
      <c r="F32" s="7" t="n"/>
    </row>
    <row r="33">
      <c r="B33" s="17" t="inlineStr">
        <is>
          <t>Market Net Sales (N)</t>
        </is>
      </c>
      <c r="E33" s="17" t="inlineStr">
        <is>
          <t>Allowable Direct Cost</t>
        </is>
      </c>
      <c r="H33" s="17" t="inlineStr">
        <is>
          <t>Actual Direct Cost</t>
        </is>
      </c>
    </row>
    <row r="34" ht="26" customHeight="1">
      <c r="B34" s="18">
        <f>C17</f>
        <v/>
      </c>
      <c r="E34" s="18">
        <f>C19</f>
        <v/>
      </c>
      <c r="H34" s="18">
        <f>C20</f>
        <v/>
      </c>
    </row>
    <row r="36">
      <c r="B36" s="17" t="inlineStr">
        <is>
          <t>Direct Cost Gap</t>
        </is>
      </c>
      <c r="E36" s="17" t="inlineStr">
        <is>
          <t>Expected CM</t>
        </is>
      </c>
      <c r="H36" s="17" t="inlineStr">
        <is>
          <t>Expected CM Rate</t>
        </is>
      </c>
    </row>
    <row r="37" ht="26" customHeight="1">
      <c r="B37" s="18">
        <f>C21</f>
        <v/>
      </c>
      <c r="E37" s="18">
        <f>C22</f>
        <v/>
      </c>
      <c r="H37" s="19">
        <f>C23</f>
        <v/>
      </c>
    </row>
  </sheetData>
  <mergeCells count="19">
    <mergeCell ref="B16:C16"/>
    <mergeCell ref="E33:F33"/>
    <mergeCell ref="C26:D26"/>
    <mergeCell ref="H34:I34"/>
    <mergeCell ref="C29:D29"/>
    <mergeCell ref="H36:I36"/>
    <mergeCell ref="E34:F34"/>
    <mergeCell ref="B34:C34"/>
    <mergeCell ref="B37:C37"/>
    <mergeCell ref="B28:C28"/>
    <mergeCell ref="E36:F36"/>
    <mergeCell ref="H37:I37"/>
    <mergeCell ref="B33:C33"/>
    <mergeCell ref="H33:I33"/>
    <mergeCell ref="B36:C36"/>
    <mergeCell ref="E37:F37"/>
    <mergeCell ref="B32:F32"/>
    <mergeCell ref="B4:C4"/>
    <mergeCell ref="B2:D2"/>
  </mergeCells>
  <conditionalFormatting sqref="C17">
    <cfRule type="expression" priority="1" dxfId="0">
      <formula>C17="ERROR"</formula>
    </cfRule>
    <cfRule type="expression" priority="2" dxfId="2">
      <formula>C17="UNKNOWN"</formula>
    </cfRule>
    <cfRule type="expression" priority="3" dxfId="1">
      <formula>ISNUMBER(C17)</formula>
    </cfRule>
  </conditionalFormatting>
  <conditionalFormatting sqref="C18">
    <cfRule type="expression" priority="4" dxfId="0">
      <formula>C18="ERROR"</formula>
    </cfRule>
    <cfRule type="expression" priority="5" dxfId="2">
      <formula>C18="UNKNOWN"</formula>
    </cfRule>
    <cfRule type="expression" priority="6" dxfId="1">
      <formula>ISNUMBER(C18)</formula>
    </cfRule>
  </conditionalFormatting>
  <conditionalFormatting sqref="C19">
    <cfRule type="expression" priority="7" dxfId="0">
      <formula>C19="ERROR"</formula>
    </cfRule>
    <cfRule type="expression" priority="8" dxfId="2">
      <formula>C19="UNKNOWN"</formula>
    </cfRule>
    <cfRule type="expression" priority="9" dxfId="1">
      <formula>ISNUMBER(C19)</formula>
    </cfRule>
  </conditionalFormatting>
  <conditionalFormatting sqref="C20">
    <cfRule type="expression" priority="10" dxfId="0">
      <formula>C20="ERROR"</formula>
    </cfRule>
    <cfRule type="expression" priority="11" dxfId="2">
      <formula>C20="UNKNOWN"</formula>
    </cfRule>
    <cfRule type="expression" priority="12" dxfId="1">
      <formula>ISNUMBER(C20)</formula>
    </cfRule>
  </conditionalFormatting>
  <conditionalFormatting sqref="C21">
    <cfRule type="expression" priority="13" dxfId="0">
      <formula>C21="ERROR"</formula>
    </cfRule>
    <cfRule type="expression" priority="14" dxfId="2">
      <formula>C21="UNKNOWN"</formula>
    </cfRule>
    <cfRule type="expression" priority="15" dxfId="1">
      <formula>ISNUMBER(C21)</formula>
    </cfRule>
  </conditionalFormatting>
  <conditionalFormatting sqref="C22">
    <cfRule type="expression" priority="16" dxfId="0">
      <formula>C22="ERROR"</formula>
    </cfRule>
    <cfRule type="expression" priority="17" dxfId="2">
      <formula>C22="UNKNOWN"</formula>
    </cfRule>
    <cfRule type="expression" priority="18" dxfId="1">
      <formula>ISNUMBER(C22)</formula>
    </cfRule>
  </conditionalFormatting>
  <conditionalFormatting sqref="C23">
    <cfRule type="expression" priority="19" dxfId="0">
      <formula>C23="ERROR"</formula>
    </cfRule>
    <cfRule type="expression" priority="20" dxfId="2">
      <formula>C23="UNKNOWN"</formula>
    </cfRule>
    <cfRule type="expression" priority="21" dxfId="1">
      <formula>ISNUMBER(C23)</formula>
    </cfRule>
  </conditionalFormatting>
  <conditionalFormatting sqref="C26">
    <cfRule type="expression" priority="22" dxfId="2">
      <formula>LEFT(C26,3)="YES"</formula>
    </cfRule>
  </conditionalFormatting>
  <conditionalFormatting sqref="C27">
    <cfRule type="expression" priority="23" dxfId="0">
      <formula>C27="FAIL"</formula>
    </cfRule>
    <cfRule type="expression" priority="24" dxfId="1">
      <formula>C27="PASS"</formula>
    </cfRule>
  </conditionalFormatting>
  <conditionalFormatting sqref="B34">
    <cfRule type="expression" priority="25" dxfId="0">
      <formula>NOT(ISNUMBER(B34))</formula>
    </cfRule>
    <cfRule type="expression" priority="26" dxfId="1">
      <formula>ISNUMBER(B34)</formula>
    </cfRule>
  </conditionalFormatting>
  <conditionalFormatting sqref="E34">
    <cfRule type="expression" priority="27" dxfId="0">
      <formula>NOT(ISNUMBER(E34))</formula>
    </cfRule>
    <cfRule type="expression" priority="28" dxfId="1">
      <formula>ISNUMBER(E34)</formula>
    </cfRule>
  </conditionalFormatting>
  <conditionalFormatting sqref="H34">
    <cfRule type="expression" priority="29" dxfId="0">
      <formula>NOT(ISNUMBER(H34))</formula>
    </cfRule>
    <cfRule type="expression" priority="30" dxfId="1">
      <formula>ISNUMBER(H34)</formula>
    </cfRule>
  </conditionalFormatting>
  <conditionalFormatting sqref="B37">
    <cfRule type="expression" priority="31" dxfId="0">
      <formula>NOT(ISNUMBER(B37))</formula>
    </cfRule>
    <cfRule type="expression" priority="32" dxfId="1">
      <formula>ISNUMBER(B37)</formula>
    </cfRule>
  </conditionalFormatting>
  <conditionalFormatting sqref="E37">
    <cfRule type="expression" priority="33" dxfId="0">
      <formula>NOT(ISNUMBER(E37))</formula>
    </cfRule>
    <cfRule type="expression" priority="34" dxfId="1">
      <formula>ISNUMBER(E37)</formula>
    </cfRule>
  </conditionalFormatting>
  <conditionalFormatting sqref="H37">
    <cfRule type="expression" priority="35" dxfId="0">
      <formula>NOT(ISNUMBER(H37))</formula>
    </cfRule>
    <cfRule type="expression" priority="36" dxfId="1">
      <formula>ISNUMBER(H37)</formula>
    </cfRule>
  </conditionalFormatting>
  <dataValidations count="3">
    <dataValidation sqref="C6" showDropDown="0" showInputMessage="0" showErrorMessage="0" allowBlank="1" type="list">
      <formula1>"TRUE,FALSE"</formula1>
    </dataValidation>
    <dataValidation sqref="C13" showDropDown="0" showInputMessage="0" showErrorMessage="0" allowBlank="0" type="list">
      <formula1>"none,unresolved,invalid"</formula1>
    </dataValidation>
    <dataValidation sqref="C14" showDropDown="0" showInputMessage="0" showErrorMessage="0" allowBlank="0" type="list">
      <formula1>"none,unresolved,invalid"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AC20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s>
  <sheetData>
    <row r="2" ht="26" customHeight="1">
      <c r="B2" s="1" t="inlineStr">
        <is>
          <t>07. Python Engine vs Excel Formula — MODE C Parity Test</t>
        </is>
      </c>
      <c r="C2" s="6" t="n"/>
      <c r="D2" s="6" t="n"/>
      <c r="E2" s="6" t="n"/>
      <c r="F2" s="6" t="n"/>
      <c r="G2" s="6" t="n"/>
    </row>
    <row r="3" ht="56" customHeight="1">
      <c r="B3" s="24" t="inlineStr">
        <is>
          <t>각 케이스는 docs/features/mode_c_allowable_cost/CASE.md의 TC1-20에 대응하며, Excel에 동일 입력값을 리터럴로 심어 06_MODE_C_SIMULATOR와 같은 수식(build_mode_c_formulas)으로 독립 재계산하고, Python 참조값(core/engine/modes/mode_c.py 실행 결과, 빌드 시점에 고정)과 비교합니다. 허용오차 0.01(금액) / 0.0001(비율). TC14/TC15/TC18은 Variable Cost Allocation Status로, TC20은 Direct Cost Allocation Status로 공유비용 배부 미구현/모순 상태를 시뮬레이션합니다 — TC19/TC20은 특히 Direct Cost Allocation Status를 바꿔도 allowable_direct_cost/expected_contribution_margin(_rate)이 전혀 영향받지 않는지를 실시간으로 검증하는, 가장 중요한 dependency-isolation 케이스입니다. 20개 전부 live Excel evaluation.</t>
        </is>
      </c>
    </row>
    <row r="5" ht="20" customHeight="1">
      <c r="B5" s="2" t="inlineStr">
        <is>
          <t>TC1. Simple, no fee at all</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Market Net Sales ex VAT (N)</t>
        </is>
      </c>
      <c r="C7" s="25">
        <f>S7</f>
        <v/>
      </c>
      <c r="D7" s="21" t="n">
        <v>100000</v>
      </c>
      <c r="E7" s="26">
        <f>IF(ISNUMBER(D7),IF(ISNUMBER(S7),ABS(S7-D7),"N/A"),"N/A")</f>
        <v/>
      </c>
      <c r="F7" s="15">
        <f>IFERROR(IF(ISNUMBER(D7),IF(ISNUMBER(S7),IF(ABS(S7-D7)&lt;=0.01,"PASS","FAIL"),"FAIL"),IF(NOT(ISNUMBER(S7)),IF(S7=D7,"PASS","FAIL"),"FAIL")),"FAIL")</f>
        <v/>
      </c>
      <c r="I7" t="n">
        <v>100000</v>
      </c>
      <c r="J7" t="b">
        <v>0</v>
      </c>
      <c r="L7" t="n">
        <v>0.3</v>
      </c>
      <c r="M7" t="n">
        <v>0</v>
      </c>
      <c r="N7" t="n">
        <v>0</v>
      </c>
      <c r="O7" t="n">
        <v>0</v>
      </c>
      <c r="P7" t="n">
        <v>0</v>
      </c>
      <c r="Q7" t="inlineStr">
        <is>
          <t>none</t>
        </is>
      </c>
      <c r="R7" t="inlineStr">
        <is>
          <t>none</t>
        </is>
      </c>
      <c r="S7">
        <f>IFERROR(IF(ISBLANK($I$7),"UNKNOWN",IF(ISBLANK($J$7),"UNKNOWN",IF($J$7=FALSE,$I$7,IF(ISBLANK($K$7),"UNKNOWN",$I$7/(1+$K$7))))),"ERROR")</f>
        <v/>
      </c>
      <c r="T7">
        <f>IFERROR(IF(ISBLANK($I$7),"UNKNOWN",IF(ISBLANK($J$7),"UNKNOWN",IF($J$7=TRUE,$I$7,IF(ISBLANK($K$7),"UNKNOWN",$I$7*(1+$K$7))))),"ERROR")</f>
        <v/>
      </c>
      <c r="U7">
        <f>IFERROR(IF(OR(S7="ERROR",Z7="ERROR",AA7="ERROR",AB7="ERROR",AC7="ERROR"),"ERROR",IF(OR(NOT(ISNUMBER(S7)),NOT(ISNUMBER(Z7)),NOT(ISNUMBER(AA7)),NOT(ISNUMBER(AB7)),NOT(ISNUMBER(AC7))),"UNKNOWN",IF(AC7&gt;0,IF(T7="ERROR","ERROR",IF(NOT(ISNUMBER(T7)),"UNKNOWN",S7*(1-Z7-AB7)-AC7*T7-AA7)),S7*(1-Z7-AB7)-AA7))),"ERROR")</f>
        <v/>
      </c>
      <c r="V7">
        <f>IFERROR(IF($R$7="invalid","ERROR",IF($R$7="unresolved","UNKNOWN",IF(ISBLANK($P$7),"UNKNOWN",$P$7))),"ERROR")</f>
        <v/>
      </c>
      <c r="W7">
        <f>IFERROR(IF(OR(U7="ERROR",V7="ERROR"),"ERROR",IF(OR(NOT(ISNUMBER(U7)),NOT(ISNUMBER(V7))),"UNKNOWN",U7-V7)),"ERROR")</f>
        <v/>
      </c>
      <c r="X7">
        <f>IFERROR(IF(U7="ERROR","ERROR",IF(NOT(ISNUMBER(U7)),"UNKNOWN",IF(AC7&gt;0,S7-U7-AA7-AB7*S7-AC7*T7,S7-U7-AA7-AB7*S7))),"ERROR")</f>
        <v/>
      </c>
      <c r="Y7">
        <f>IFERROR(IF(X7="ERROR","ERROR",IF(NOT(ISNUMBER(X7)),"UNKNOWN",IF(S7=0,"ERROR",X7/S7))),"ERROR")</f>
        <v/>
      </c>
      <c r="Z7">
        <f>IFERROR(IF(ISBLANK($L$7),"UNKNOWN",IF(OR($L$7&lt;0,$L$7&gt;=1),"ERROR",$L$7)),"ERROR")</f>
        <v/>
      </c>
      <c r="AA7">
        <f>IFERROR(IF($Q$7="invalid","ERROR",IF($Q$7="unresolved","UNKNOWN",IF(ISBLANK($M$7),"UNKNOWN",$M$7))),"ERROR")</f>
        <v/>
      </c>
      <c r="AB7">
        <f>IFERROR(IF($Q$7="invalid","ERROR",IF($Q$7="unresolved","UNKNOWN",IF(ISBLANK($N$7),"UNKNOWN",$N$7))),"ERROR")</f>
        <v/>
      </c>
      <c r="AC7">
        <f>IFERROR(IF($Q$7="invalid","ERROR",IF($Q$7="unresolved","UNKNOWN",IF(ISBLANK($O$7),"UNKNOWN",$O$7))),"ERROR")</f>
        <v/>
      </c>
    </row>
    <row r="8">
      <c r="B8" s="8" t="inlineStr">
        <is>
          <t>Market Gross Payment incl VAT (G)</t>
        </is>
      </c>
      <c r="C8" s="25">
        <f>T7</f>
        <v/>
      </c>
      <c r="D8" s="30" t="inlineStr">
        <is>
          <t>UNKNOWN</t>
        </is>
      </c>
      <c r="E8" s="26">
        <f>IF(ISNUMBER(D8),IF(ISNUMBER(T7),ABS(T7-D8),"N/A"),"N/A")</f>
        <v/>
      </c>
      <c r="F8" s="15">
        <f>IFERROR(IF(ISNUMBER(D8),IF(ISNUMBER(T7),IF(ABS(T7-D8)&lt;=0.01,"PASS","FAIL"),"FAIL"),IF(NOT(ISNUMBER(T7)),IF(T7=D8,"PASS","FAIL"),"FAIL")),"FAIL")</f>
        <v/>
      </c>
    </row>
    <row r="9">
      <c r="B9" s="8" t="inlineStr">
        <is>
          <t>Allowable Direct Cost (ADC)</t>
        </is>
      </c>
      <c r="C9" s="25">
        <f>U7</f>
        <v/>
      </c>
      <c r="D9" s="21" t="n">
        <v>70000</v>
      </c>
      <c r="E9" s="26">
        <f>IF(ISNUMBER(D9),IF(ISNUMBER(U7),ABS(U7-D9),"N/A"),"N/A")</f>
        <v/>
      </c>
      <c r="F9" s="15">
        <f>IFERROR(IF(ISNUMBER(D9),IF(ISNUMBER(U7),IF(ABS(U7-D9)&lt;=0.01,"PASS","FAIL"),"FAIL"),IF(NOT(ISNUMBER(U7)),IF(U7=D9,"PASS","FAIL"),"FAIL")),"FAIL")</f>
        <v/>
      </c>
    </row>
    <row r="10">
      <c r="B10" s="8" t="inlineStr">
        <is>
          <t>Actual Direct Cost</t>
        </is>
      </c>
      <c r="C10" s="25">
        <f>V7</f>
        <v/>
      </c>
      <c r="D10" s="21" t="n">
        <v>0</v>
      </c>
      <c r="E10" s="26">
        <f>IF(ISNUMBER(D10),IF(ISNUMBER(V7),ABS(V7-D10),"N/A"),"N/A")</f>
        <v/>
      </c>
      <c r="F10" s="15">
        <f>IFERROR(IF(ISNUMBER(D10),IF(ISNUMBER(V7),IF(ABS(V7-D10)&lt;=0.01,"PASS","FAIL"),"FAIL"),IF(NOT(ISNUMBER(V7)),IF(V7=D10,"PASS","FAIL"),"FAIL")),"FAIL")</f>
        <v/>
      </c>
    </row>
    <row r="11">
      <c r="B11" s="8" t="inlineStr">
        <is>
          <t>Direct Cost Gap (ADC − Actual)</t>
        </is>
      </c>
      <c r="C11" s="25">
        <f>W7</f>
        <v/>
      </c>
      <c r="D11" s="21" t="n">
        <v>70000</v>
      </c>
      <c r="E11" s="26">
        <f>IF(ISNUMBER(D11),IF(ISNUMBER(W7),ABS(W7-D11),"N/A"),"N/A")</f>
        <v/>
      </c>
      <c r="F11" s="15">
        <f>IFERROR(IF(ISNUMBER(D11),IF(ISNUMBER(W7),IF(ABS(W7-D11)&lt;=0.01,"PASS","FAIL"),"FAIL"),IF(NOT(ISNUMBER(W7)),IF(W7=D11,"PASS","FAIL"),"FAIL")),"FAIL")</f>
        <v/>
      </c>
    </row>
    <row r="12">
      <c r="B12" s="8" t="inlineStr">
        <is>
          <t>Expected Contribution Margin</t>
        </is>
      </c>
      <c r="C12" s="25">
        <f>X7</f>
        <v/>
      </c>
      <c r="D12" s="21" t="n">
        <v>30000</v>
      </c>
      <c r="E12" s="26">
        <f>IF(ISNUMBER(D12),IF(ISNUMBER(X7),ABS(X7-D12),"N/A"),"N/A")</f>
        <v/>
      </c>
      <c r="F12" s="15">
        <f>IFERROR(IF(ISNUMBER(D12),IF(ISNUMBER(X7),IF(ABS(X7-D12)&lt;=0.01,"PASS","FAIL"),"FAIL"),IF(NOT(ISNUMBER(X7)),IF(X7=D12,"PASS","FAIL"),"FAIL")),"FAIL")</f>
        <v/>
      </c>
    </row>
    <row r="13">
      <c r="B13" s="8" t="inlineStr">
        <is>
          <t>Expected CM Rate</t>
        </is>
      </c>
      <c r="C13" s="28">
        <f>Y7</f>
        <v/>
      </c>
      <c r="D13" s="29" t="n">
        <v>0.3</v>
      </c>
      <c r="E13" s="26">
        <f>IF(ISNUMBER(D13),IF(ISNUMBER(Y7),ABS(Y7-D13),"N/A"),"N/A")</f>
        <v/>
      </c>
      <c r="F13" s="15">
        <f>IFERROR(IF(ISNUMBER(D13),IF(ISNUMBER(Y7),IF(ABS(Y7-D13)&lt;=0.0001,"PASS","FAIL"),"FAIL"),IF(NOT(ISNUMBER(Y7)),IF(Y7=D13,"PASS","FAIL"),"FAIL")),"FAIL")</f>
        <v/>
      </c>
    </row>
    <row r="15" ht="20" customHeight="1">
      <c r="B15" s="2" t="inlineStr">
        <is>
          <t>TC2. Fixed-amount variable cost (F&gt;0)</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Market Net Sales ex VAT (N)</t>
        </is>
      </c>
      <c r="C17" s="25">
        <f>S17</f>
        <v/>
      </c>
      <c r="D17" s="21" t="n">
        <v>100000</v>
      </c>
      <c r="E17" s="26">
        <f>IF(ISNUMBER(D17),IF(ISNUMBER(S17),ABS(S17-D17),"N/A"),"N/A")</f>
        <v/>
      </c>
      <c r="F17" s="15">
        <f>IFERROR(IF(ISNUMBER(D17),IF(ISNUMBER(S17),IF(ABS(S17-D17)&lt;=0.01,"PASS","FAIL"),"FAIL"),IF(NOT(ISNUMBER(S17)),IF(S17=D17,"PASS","FAIL"),"FAIL")),"FAIL")</f>
        <v/>
      </c>
      <c r="I17" t="n">
        <v>100000</v>
      </c>
      <c r="J17" t="b">
        <v>0</v>
      </c>
      <c r="L17" t="n">
        <v>0.3</v>
      </c>
      <c r="M17" t="n">
        <v>5000</v>
      </c>
      <c r="N17" t="n">
        <v>0</v>
      </c>
      <c r="O17" t="n">
        <v>0</v>
      </c>
      <c r="P17" t="n">
        <v>0</v>
      </c>
      <c r="Q17" t="inlineStr">
        <is>
          <t>none</t>
        </is>
      </c>
      <c r="R17" t="inlineStr">
        <is>
          <t>none</t>
        </is>
      </c>
      <c r="S17">
        <f>IFERROR(IF(ISBLANK($I$17),"UNKNOWN",IF(ISBLANK($J$17),"UNKNOWN",IF($J$17=FALSE,$I$17,IF(ISBLANK($K$17),"UNKNOWN",$I$17/(1+$K$17))))),"ERROR")</f>
        <v/>
      </c>
      <c r="T17">
        <f>IFERROR(IF(ISBLANK($I$17),"UNKNOWN",IF(ISBLANK($J$17),"UNKNOWN",IF($J$17=TRUE,$I$17,IF(ISBLANK($K$17),"UNKNOWN",$I$17*(1+$K$17))))),"ERROR")</f>
        <v/>
      </c>
      <c r="U17">
        <f>IFERROR(IF(OR(S17="ERROR",Z17="ERROR",AA17="ERROR",AB17="ERROR",AC17="ERROR"),"ERROR",IF(OR(NOT(ISNUMBER(S17)),NOT(ISNUMBER(Z17)),NOT(ISNUMBER(AA17)),NOT(ISNUMBER(AB17)),NOT(ISNUMBER(AC17))),"UNKNOWN",IF(AC17&gt;0,IF(T17="ERROR","ERROR",IF(NOT(ISNUMBER(T17)),"UNKNOWN",S17*(1-Z17-AB17)-AC17*T17-AA17)),S17*(1-Z17-AB17)-AA17))),"ERROR")</f>
        <v/>
      </c>
      <c r="V17">
        <f>IFERROR(IF($R$17="invalid","ERROR",IF($R$17="unresolved","UNKNOWN",IF(ISBLANK($P$17),"UNKNOWN",$P$17))),"ERROR")</f>
        <v/>
      </c>
      <c r="W17">
        <f>IFERROR(IF(OR(U17="ERROR",V17="ERROR"),"ERROR",IF(OR(NOT(ISNUMBER(U17)),NOT(ISNUMBER(V17))),"UNKNOWN",U17-V17)),"ERROR")</f>
        <v/>
      </c>
      <c r="X17">
        <f>IFERROR(IF(U17="ERROR","ERROR",IF(NOT(ISNUMBER(U17)),"UNKNOWN",IF(AC17&gt;0,S17-U17-AA17-AB17*S17-AC17*T17,S17-U17-AA17-AB17*S17))),"ERROR")</f>
        <v/>
      </c>
      <c r="Y17">
        <f>IFERROR(IF(X17="ERROR","ERROR",IF(NOT(ISNUMBER(X17)),"UNKNOWN",IF(S17=0,"ERROR",X17/S17))),"ERROR")</f>
        <v/>
      </c>
      <c r="Z17">
        <f>IFERROR(IF(ISBLANK($L$17),"UNKNOWN",IF(OR($L$17&lt;0,$L$17&gt;=1),"ERROR",$L$17)),"ERROR")</f>
        <v/>
      </c>
      <c r="AA17">
        <f>IFERROR(IF($Q$17="invalid","ERROR",IF($Q$17="unresolved","UNKNOWN",IF(ISBLANK($M$17),"UNKNOWN",$M$17))),"ERROR")</f>
        <v/>
      </c>
      <c r="AB17">
        <f>IFERROR(IF($Q$17="invalid","ERROR",IF($Q$17="unresolved","UNKNOWN",IF(ISBLANK($N$17),"UNKNOWN",$N$17))),"ERROR")</f>
        <v/>
      </c>
      <c r="AC17">
        <f>IFERROR(IF($Q$17="invalid","ERROR",IF($Q$17="unresolved","UNKNOWN",IF(ISBLANK($O$17),"UNKNOWN",$O$17))),"ERROR")</f>
        <v/>
      </c>
    </row>
    <row r="18">
      <c r="B18" s="8" t="inlineStr">
        <is>
          <t>Market Gross Payment incl VAT (G)</t>
        </is>
      </c>
      <c r="C18" s="25">
        <f>T17</f>
        <v/>
      </c>
      <c r="D18" s="30" t="inlineStr">
        <is>
          <t>UNKNOWN</t>
        </is>
      </c>
      <c r="E18" s="26">
        <f>IF(ISNUMBER(D18),IF(ISNUMBER(T17),ABS(T17-D18),"N/A"),"N/A")</f>
        <v/>
      </c>
      <c r="F18" s="15">
        <f>IFERROR(IF(ISNUMBER(D18),IF(ISNUMBER(T17),IF(ABS(T17-D18)&lt;=0.01,"PASS","FAIL"),"FAIL"),IF(NOT(ISNUMBER(T17)),IF(T17=D18,"PASS","FAIL"),"FAIL")),"FAIL")</f>
        <v/>
      </c>
    </row>
    <row r="19">
      <c r="B19" s="8" t="inlineStr">
        <is>
          <t>Allowable Direct Cost (ADC)</t>
        </is>
      </c>
      <c r="C19" s="25">
        <f>U17</f>
        <v/>
      </c>
      <c r="D19" s="21" t="n">
        <v>65000</v>
      </c>
      <c r="E19" s="26">
        <f>IF(ISNUMBER(D19),IF(ISNUMBER(U17),ABS(U17-D19),"N/A"),"N/A")</f>
        <v/>
      </c>
      <c r="F19" s="15">
        <f>IFERROR(IF(ISNUMBER(D19),IF(ISNUMBER(U17),IF(ABS(U17-D19)&lt;=0.01,"PASS","FAIL"),"FAIL"),IF(NOT(ISNUMBER(U17)),IF(U17=D19,"PASS","FAIL"),"FAIL")),"FAIL")</f>
        <v/>
      </c>
    </row>
    <row r="20">
      <c r="B20" s="8" t="inlineStr">
        <is>
          <t>Actual Direct Cost</t>
        </is>
      </c>
      <c r="C20" s="25">
        <f>V17</f>
        <v/>
      </c>
      <c r="D20" s="21" t="n">
        <v>0</v>
      </c>
      <c r="E20" s="26">
        <f>IF(ISNUMBER(D20),IF(ISNUMBER(V17),ABS(V17-D20),"N/A"),"N/A")</f>
        <v/>
      </c>
      <c r="F20" s="15">
        <f>IFERROR(IF(ISNUMBER(D20),IF(ISNUMBER(V17),IF(ABS(V17-D20)&lt;=0.01,"PASS","FAIL"),"FAIL"),IF(NOT(ISNUMBER(V17)),IF(V17=D20,"PASS","FAIL"),"FAIL")),"FAIL")</f>
        <v/>
      </c>
    </row>
    <row r="21">
      <c r="B21" s="8" t="inlineStr">
        <is>
          <t>Direct Cost Gap (ADC − Actual)</t>
        </is>
      </c>
      <c r="C21" s="25">
        <f>W17</f>
        <v/>
      </c>
      <c r="D21" s="21" t="n">
        <v>65000</v>
      </c>
      <c r="E21" s="26">
        <f>IF(ISNUMBER(D21),IF(ISNUMBER(W17),ABS(W17-D21),"N/A"),"N/A")</f>
        <v/>
      </c>
      <c r="F21" s="15">
        <f>IFERROR(IF(ISNUMBER(D21),IF(ISNUMBER(W17),IF(ABS(W17-D21)&lt;=0.01,"PASS","FAIL"),"FAIL"),IF(NOT(ISNUMBER(W17)),IF(W17=D21,"PASS","FAIL"),"FAIL")),"FAIL")</f>
        <v/>
      </c>
    </row>
    <row r="22">
      <c r="B22" s="8" t="inlineStr">
        <is>
          <t>Expected Contribution Margin</t>
        </is>
      </c>
      <c r="C22" s="25">
        <f>X17</f>
        <v/>
      </c>
      <c r="D22" s="21" t="n">
        <v>30000</v>
      </c>
      <c r="E22" s="26">
        <f>IF(ISNUMBER(D22),IF(ISNUMBER(X17),ABS(X17-D22),"N/A"),"N/A")</f>
        <v/>
      </c>
      <c r="F22" s="15">
        <f>IFERROR(IF(ISNUMBER(D22),IF(ISNUMBER(X17),IF(ABS(X17-D22)&lt;=0.01,"PASS","FAIL"),"FAIL"),IF(NOT(ISNUMBER(X17)),IF(X17=D22,"PASS","FAIL"),"FAIL")),"FAIL")</f>
        <v/>
      </c>
    </row>
    <row r="23">
      <c r="B23" s="8" t="inlineStr">
        <is>
          <t>Expected CM Rate</t>
        </is>
      </c>
      <c r="C23" s="28">
        <f>Y17</f>
        <v/>
      </c>
      <c r="D23" s="29" t="n">
        <v>0.3</v>
      </c>
      <c r="E23" s="26">
        <f>IF(ISNUMBER(D23),IF(ISNUMBER(Y17),ABS(Y17-D23),"N/A"),"N/A")</f>
        <v/>
      </c>
      <c r="F23" s="15">
        <f>IFERROR(IF(ISNUMBER(D23),IF(ISNUMBER(Y17),IF(ABS(Y17-D23)&lt;=0.0001,"PASS","FAIL"),"FAIL"),IF(NOT(ISNUMBER(Y17)),IF(Y17=D23,"PASS","FAIL"),"FAIL")),"FAIL")</f>
        <v/>
      </c>
    </row>
    <row r="25" ht="20" customHeight="1">
      <c r="B25" s="2" t="inlineStr">
        <is>
          <t>TC3. Net-sales fee only (b&gt;0)</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Market Net Sales ex VAT (N)</t>
        </is>
      </c>
      <c r="C27" s="25">
        <f>S27</f>
        <v/>
      </c>
      <c r="D27" s="21" t="n">
        <v>100000</v>
      </c>
      <c r="E27" s="26">
        <f>IF(ISNUMBER(D27),IF(ISNUMBER(S27),ABS(S27-D27),"N/A"),"N/A")</f>
        <v/>
      </c>
      <c r="F27" s="15">
        <f>IFERROR(IF(ISNUMBER(D27),IF(ISNUMBER(S27),IF(ABS(S27-D27)&lt;=0.01,"PASS","FAIL"),"FAIL"),IF(NOT(ISNUMBER(S27)),IF(S27=D27,"PASS","FAIL"),"FAIL")),"FAIL")</f>
        <v/>
      </c>
      <c r="I27" t="n">
        <v>100000</v>
      </c>
      <c r="J27" t="b">
        <v>0</v>
      </c>
      <c r="L27" t="n">
        <v>0.3</v>
      </c>
      <c r="M27" t="n">
        <v>0</v>
      </c>
      <c r="N27" t="n">
        <v>0.1</v>
      </c>
      <c r="O27" t="n">
        <v>0</v>
      </c>
      <c r="P27" t="n">
        <v>0</v>
      </c>
      <c r="Q27" t="inlineStr">
        <is>
          <t>none</t>
        </is>
      </c>
      <c r="R27" t="inlineStr">
        <is>
          <t>none</t>
        </is>
      </c>
      <c r="S27">
        <f>IFERROR(IF(ISBLANK($I$27),"UNKNOWN",IF(ISBLANK($J$27),"UNKNOWN",IF($J$27=FALSE,$I$27,IF(ISBLANK($K$27),"UNKNOWN",$I$27/(1+$K$27))))),"ERROR")</f>
        <v/>
      </c>
      <c r="T27">
        <f>IFERROR(IF(ISBLANK($I$27),"UNKNOWN",IF(ISBLANK($J$27),"UNKNOWN",IF($J$27=TRUE,$I$27,IF(ISBLANK($K$27),"UNKNOWN",$I$27*(1+$K$27))))),"ERROR")</f>
        <v/>
      </c>
      <c r="U27">
        <f>IFERROR(IF(OR(S27="ERROR",Z27="ERROR",AA27="ERROR",AB27="ERROR",AC27="ERROR"),"ERROR",IF(OR(NOT(ISNUMBER(S27)),NOT(ISNUMBER(Z27)),NOT(ISNUMBER(AA27)),NOT(ISNUMBER(AB27)),NOT(ISNUMBER(AC27))),"UNKNOWN",IF(AC27&gt;0,IF(T27="ERROR","ERROR",IF(NOT(ISNUMBER(T27)),"UNKNOWN",S27*(1-Z27-AB27)-AC27*T27-AA27)),S27*(1-Z27-AB27)-AA27))),"ERROR")</f>
        <v/>
      </c>
      <c r="V27">
        <f>IFERROR(IF($R$27="invalid","ERROR",IF($R$27="unresolved","UNKNOWN",IF(ISBLANK($P$27),"UNKNOWN",$P$27))),"ERROR")</f>
        <v/>
      </c>
      <c r="W27">
        <f>IFERROR(IF(OR(U27="ERROR",V27="ERROR"),"ERROR",IF(OR(NOT(ISNUMBER(U27)),NOT(ISNUMBER(V27))),"UNKNOWN",U27-V27)),"ERROR")</f>
        <v/>
      </c>
      <c r="X27">
        <f>IFERROR(IF(U27="ERROR","ERROR",IF(NOT(ISNUMBER(U27)),"UNKNOWN",IF(AC27&gt;0,S27-U27-AA27-AB27*S27-AC27*T27,S27-U27-AA27-AB27*S27))),"ERROR")</f>
        <v/>
      </c>
      <c r="Y27">
        <f>IFERROR(IF(X27="ERROR","ERROR",IF(NOT(ISNUMBER(X27)),"UNKNOWN",IF(S27=0,"ERROR",X27/S27))),"ERROR")</f>
        <v/>
      </c>
      <c r="Z27">
        <f>IFERROR(IF(ISBLANK($L$27),"UNKNOWN",IF(OR($L$27&lt;0,$L$27&gt;=1),"ERROR",$L$27)),"ERROR")</f>
        <v/>
      </c>
      <c r="AA27">
        <f>IFERROR(IF($Q$27="invalid","ERROR",IF($Q$27="unresolved","UNKNOWN",IF(ISBLANK($M$27),"UNKNOWN",$M$27))),"ERROR")</f>
        <v/>
      </c>
      <c r="AB27">
        <f>IFERROR(IF($Q$27="invalid","ERROR",IF($Q$27="unresolved","UNKNOWN",IF(ISBLANK($N$27),"UNKNOWN",$N$27))),"ERROR")</f>
        <v/>
      </c>
      <c r="AC27">
        <f>IFERROR(IF($Q$27="invalid","ERROR",IF($Q$27="unresolved","UNKNOWN",IF(ISBLANK($O$27),"UNKNOWN",$O$27))),"ERROR")</f>
        <v/>
      </c>
    </row>
    <row r="28">
      <c r="B28" s="8" t="inlineStr">
        <is>
          <t>Market Gross Payment incl VAT (G)</t>
        </is>
      </c>
      <c r="C28" s="25">
        <f>T27</f>
        <v/>
      </c>
      <c r="D28" s="30" t="inlineStr">
        <is>
          <t>UNKNOWN</t>
        </is>
      </c>
      <c r="E28" s="26">
        <f>IF(ISNUMBER(D28),IF(ISNUMBER(T27),ABS(T27-D28),"N/A"),"N/A")</f>
        <v/>
      </c>
      <c r="F28" s="15">
        <f>IFERROR(IF(ISNUMBER(D28),IF(ISNUMBER(T27),IF(ABS(T27-D28)&lt;=0.01,"PASS","FAIL"),"FAIL"),IF(NOT(ISNUMBER(T27)),IF(T27=D28,"PASS","FAIL"),"FAIL")),"FAIL")</f>
        <v/>
      </c>
    </row>
    <row r="29">
      <c r="B29" s="8" t="inlineStr">
        <is>
          <t>Allowable Direct Cost (ADC)</t>
        </is>
      </c>
      <c r="C29" s="25">
        <f>U27</f>
        <v/>
      </c>
      <c r="D29" s="21" t="n">
        <v>60000</v>
      </c>
      <c r="E29" s="26">
        <f>IF(ISNUMBER(D29),IF(ISNUMBER(U27),ABS(U27-D29),"N/A"),"N/A")</f>
        <v/>
      </c>
      <c r="F29" s="15">
        <f>IFERROR(IF(ISNUMBER(D29),IF(ISNUMBER(U27),IF(ABS(U27-D29)&lt;=0.01,"PASS","FAIL"),"FAIL"),IF(NOT(ISNUMBER(U27)),IF(U27=D29,"PASS","FAIL"),"FAIL")),"FAIL")</f>
        <v/>
      </c>
    </row>
    <row r="30">
      <c r="B30" s="8" t="inlineStr">
        <is>
          <t>Actual Direct Cost</t>
        </is>
      </c>
      <c r="C30" s="25">
        <f>V27</f>
        <v/>
      </c>
      <c r="D30" s="21" t="n">
        <v>0</v>
      </c>
      <c r="E30" s="26">
        <f>IF(ISNUMBER(D30),IF(ISNUMBER(V27),ABS(V27-D30),"N/A"),"N/A")</f>
        <v/>
      </c>
      <c r="F30" s="15">
        <f>IFERROR(IF(ISNUMBER(D30),IF(ISNUMBER(V27),IF(ABS(V27-D30)&lt;=0.01,"PASS","FAIL"),"FAIL"),IF(NOT(ISNUMBER(V27)),IF(V27=D30,"PASS","FAIL"),"FAIL")),"FAIL")</f>
        <v/>
      </c>
    </row>
    <row r="31">
      <c r="B31" s="8" t="inlineStr">
        <is>
          <t>Direct Cost Gap (ADC − Actual)</t>
        </is>
      </c>
      <c r="C31" s="25">
        <f>W27</f>
        <v/>
      </c>
      <c r="D31" s="21" t="n">
        <v>60000</v>
      </c>
      <c r="E31" s="26">
        <f>IF(ISNUMBER(D31),IF(ISNUMBER(W27),ABS(W27-D31),"N/A"),"N/A")</f>
        <v/>
      </c>
      <c r="F31" s="15">
        <f>IFERROR(IF(ISNUMBER(D31),IF(ISNUMBER(W27),IF(ABS(W27-D31)&lt;=0.01,"PASS","FAIL"),"FAIL"),IF(NOT(ISNUMBER(W27)),IF(W27=D31,"PASS","FAIL"),"FAIL")),"FAIL")</f>
        <v/>
      </c>
    </row>
    <row r="32">
      <c r="B32" s="8" t="inlineStr">
        <is>
          <t>Expected Contribution Margin</t>
        </is>
      </c>
      <c r="C32" s="25">
        <f>X27</f>
        <v/>
      </c>
      <c r="D32" s="21" t="n">
        <v>30000</v>
      </c>
      <c r="E32" s="26">
        <f>IF(ISNUMBER(D32),IF(ISNUMBER(X27),ABS(X27-D32),"N/A"),"N/A")</f>
        <v/>
      </c>
      <c r="F32" s="15">
        <f>IFERROR(IF(ISNUMBER(D32),IF(ISNUMBER(X27),IF(ABS(X27-D32)&lt;=0.01,"PASS","FAIL"),"FAIL"),IF(NOT(ISNUMBER(X27)),IF(X27=D32,"PASS","FAIL"),"FAIL")),"FAIL")</f>
        <v/>
      </c>
    </row>
    <row r="33">
      <c r="B33" s="8" t="inlineStr">
        <is>
          <t>Expected CM Rate</t>
        </is>
      </c>
      <c r="C33" s="28">
        <f>Y27</f>
        <v/>
      </c>
      <c r="D33" s="29" t="n">
        <v>0.3</v>
      </c>
      <c r="E33" s="26">
        <f>IF(ISNUMBER(D33),IF(ISNUMBER(Y27),ABS(Y27-D33),"N/A"),"N/A")</f>
        <v/>
      </c>
      <c r="F33" s="15">
        <f>IFERROR(IF(ISNUMBER(D33),IF(ISNUMBER(Y27),IF(ABS(Y27-D33)&lt;=0.0001,"PASS","FAIL"),"FAIL"),IF(NOT(ISNUMBER(Y27)),IF(Y27=D33,"PASS","FAIL"),"FAIL")),"FAIL")</f>
        <v/>
      </c>
    </row>
    <row r="35" ht="20" customHeight="1">
      <c r="B35" s="2" t="inlineStr">
        <is>
          <t>TC4. Gross-payment fee, VAT-exclusive display, v known</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Market Net Sales ex VAT (N)</t>
        </is>
      </c>
      <c r="C37" s="25">
        <f>S37</f>
        <v/>
      </c>
      <c r="D37" s="21" t="n">
        <v>100000</v>
      </c>
      <c r="E37" s="26">
        <f>IF(ISNUMBER(D37),IF(ISNUMBER(S37),ABS(S37-D37),"N/A"),"N/A")</f>
        <v/>
      </c>
      <c r="F37" s="15">
        <f>IFERROR(IF(ISNUMBER(D37),IF(ISNUMBER(S37),IF(ABS(S37-D37)&lt;=0.01,"PASS","FAIL"),"FAIL"),IF(NOT(ISNUMBER(S37)),IF(S37=D37,"PASS","FAIL"),"FAIL")),"FAIL")</f>
        <v/>
      </c>
      <c r="I37" t="n">
        <v>100000</v>
      </c>
      <c r="J37" t="b">
        <v>0</v>
      </c>
      <c r="K37" t="n">
        <v>0.1</v>
      </c>
      <c r="L37" t="n">
        <v>0.3</v>
      </c>
      <c r="M37" t="n">
        <v>0</v>
      </c>
      <c r="N37" t="n">
        <v>0</v>
      </c>
      <c r="O37" t="n">
        <v>0.05</v>
      </c>
      <c r="P37" t="n">
        <v>0</v>
      </c>
      <c r="Q37" t="inlineStr">
        <is>
          <t>none</t>
        </is>
      </c>
      <c r="R37" t="inlineStr">
        <is>
          <t>none</t>
        </is>
      </c>
      <c r="S37">
        <f>IFERROR(IF(ISBLANK($I$37),"UNKNOWN",IF(ISBLANK($J$37),"UNKNOWN",IF($J$37=FALSE,$I$37,IF(ISBLANK($K$37),"UNKNOWN",$I$37/(1+$K$37))))),"ERROR")</f>
        <v/>
      </c>
      <c r="T37">
        <f>IFERROR(IF(ISBLANK($I$37),"UNKNOWN",IF(ISBLANK($J$37),"UNKNOWN",IF($J$37=TRUE,$I$37,IF(ISBLANK($K$37),"UNKNOWN",$I$37*(1+$K$37))))),"ERROR")</f>
        <v/>
      </c>
      <c r="U37">
        <f>IFERROR(IF(OR(S37="ERROR",Z37="ERROR",AA37="ERROR",AB37="ERROR",AC37="ERROR"),"ERROR",IF(OR(NOT(ISNUMBER(S37)),NOT(ISNUMBER(Z37)),NOT(ISNUMBER(AA37)),NOT(ISNUMBER(AB37)),NOT(ISNUMBER(AC37))),"UNKNOWN",IF(AC37&gt;0,IF(T37="ERROR","ERROR",IF(NOT(ISNUMBER(T37)),"UNKNOWN",S37*(1-Z37-AB37)-AC37*T37-AA37)),S37*(1-Z37-AB37)-AA37))),"ERROR")</f>
        <v/>
      </c>
      <c r="V37">
        <f>IFERROR(IF($R$37="invalid","ERROR",IF($R$37="unresolved","UNKNOWN",IF(ISBLANK($P$37),"UNKNOWN",$P$37))),"ERROR")</f>
        <v/>
      </c>
      <c r="W37">
        <f>IFERROR(IF(OR(U37="ERROR",V37="ERROR"),"ERROR",IF(OR(NOT(ISNUMBER(U37)),NOT(ISNUMBER(V37))),"UNKNOWN",U37-V37)),"ERROR")</f>
        <v/>
      </c>
      <c r="X37">
        <f>IFERROR(IF(U37="ERROR","ERROR",IF(NOT(ISNUMBER(U37)),"UNKNOWN",IF(AC37&gt;0,S37-U37-AA37-AB37*S37-AC37*T37,S37-U37-AA37-AB37*S37))),"ERROR")</f>
        <v/>
      </c>
      <c r="Y37">
        <f>IFERROR(IF(X37="ERROR","ERROR",IF(NOT(ISNUMBER(X37)),"UNKNOWN",IF(S37=0,"ERROR",X37/S37))),"ERROR")</f>
        <v/>
      </c>
      <c r="Z37">
        <f>IFERROR(IF(ISBLANK($L$37),"UNKNOWN",IF(OR($L$37&lt;0,$L$37&gt;=1),"ERROR",$L$37)),"ERROR")</f>
        <v/>
      </c>
      <c r="AA37">
        <f>IFERROR(IF($Q$37="invalid","ERROR",IF($Q$37="unresolved","UNKNOWN",IF(ISBLANK($M$37),"UNKNOWN",$M$37))),"ERROR")</f>
        <v/>
      </c>
      <c r="AB37">
        <f>IFERROR(IF($Q$37="invalid","ERROR",IF($Q$37="unresolved","UNKNOWN",IF(ISBLANK($N$37),"UNKNOWN",$N$37))),"ERROR")</f>
        <v/>
      </c>
      <c r="AC37">
        <f>IFERROR(IF($Q$37="invalid","ERROR",IF($Q$37="unresolved","UNKNOWN",IF(ISBLANK($O$37),"UNKNOWN",$O$37))),"ERROR")</f>
        <v/>
      </c>
    </row>
    <row r="38">
      <c r="B38" s="8" t="inlineStr">
        <is>
          <t>Market Gross Payment incl VAT (G)</t>
        </is>
      </c>
      <c r="C38" s="25">
        <f>T37</f>
        <v/>
      </c>
      <c r="D38" s="21" t="n">
        <v>110000</v>
      </c>
      <c r="E38" s="26">
        <f>IF(ISNUMBER(D38),IF(ISNUMBER(T37),ABS(T37-D38),"N/A"),"N/A")</f>
        <v/>
      </c>
      <c r="F38" s="15">
        <f>IFERROR(IF(ISNUMBER(D38),IF(ISNUMBER(T37),IF(ABS(T37-D38)&lt;=0.01,"PASS","FAIL"),"FAIL"),IF(NOT(ISNUMBER(T37)),IF(T37=D38,"PASS","FAIL"),"FAIL")),"FAIL")</f>
        <v/>
      </c>
    </row>
    <row r="39">
      <c r="B39" s="8" t="inlineStr">
        <is>
          <t>Allowable Direct Cost (ADC)</t>
        </is>
      </c>
      <c r="C39" s="25">
        <f>U37</f>
        <v/>
      </c>
      <c r="D39" s="21" t="n">
        <v>64500</v>
      </c>
      <c r="E39" s="26">
        <f>IF(ISNUMBER(D39),IF(ISNUMBER(U37),ABS(U37-D39),"N/A"),"N/A")</f>
        <v/>
      </c>
      <c r="F39" s="15">
        <f>IFERROR(IF(ISNUMBER(D39),IF(ISNUMBER(U37),IF(ABS(U37-D39)&lt;=0.01,"PASS","FAIL"),"FAIL"),IF(NOT(ISNUMBER(U37)),IF(U37=D39,"PASS","FAIL"),"FAIL")),"FAIL")</f>
        <v/>
      </c>
    </row>
    <row r="40">
      <c r="B40" s="8" t="inlineStr">
        <is>
          <t>Actual Direct Cost</t>
        </is>
      </c>
      <c r="C40" s="25">
        <f>V37</f>
        <v/>
      </c>
      <c r="D40" s="21" t="n">
        <v>0</v>
      </c>
      <c r="E40" s="26">
        <f>IF(ISNUMBER(D40),IF(ISNUMBER(V37),ABS(V37-D40),"N/A"),"N/A")</f>
        <v/>
      </c>
      <c r="F40" s="15">
        <f>IFERROR(IF(ISNUMBER(D40),IF(ISNUMBER(V37),IF(ABS(V37-D40)&lt;=0.01,"PASS","FAIL"),"FAIL"),IF(NOT(ISNUMBER(V37)),IF(V37=D40,"PASS","FAIL"),"FAIL")),"FAIL")</f>
        <v/>
      </c>
    </row>
    <row r="41">
      <c r="B41" s="8" t="inlineStr">
        <is>
          <t>Direct Cost Gap (ADC − Actual)</t>
        </is>
      </c>
      <c r="C41" s="25">
        <f>W37</f>
        <v/>
      </c>
      <c r="D41" s="21" t="n">
        <v>64500</v>
      </c>
      <c r="E41" s="26">
        <f>IF(ISNUMBER(D41),IF(ISNUMBER(W37),ABS(W37-D41),"N/A"),"N/A")</f>
        <v/>
      </c>
      <c r="F41" s="15">
        <f>IFERROR(IF(ISNUMBER(D41),IF(ISNUMBER(W37),IF(ABS(W37-D41)&lt;=0.01,"PASS","FAIL"),"FAIL"),IF(NOT(ISNUMBER(W37)),IF(W37=D41,"PASS","FAIL"),"FAIL")),"FAIL")</f>
        <v/>
      </c>
    </row>
    <row r="42">
      <c r="B42" s="8" t="inlineStr">
        <is>
          <t>Expected Contribution Margin</t>
        </is>
      </c>
      <c r="C42" s="25">
        <f>X37</f>
        <v/>
      </c>
      <c r="D42" s="21" t="n">
        <v>30000</v>
      </c>
      <c r="E42" s="26">
        <f>IF(ISNUMBER(D42),IF(ISNUMBER(X37),ABS(X37-D42),"N/A"),"N/A")</f>
        <v/>
      </c>
      <c r="F42" s="15">
        <f>IFERROR(IF(ISNUMBER(D42),IF(ISNUMBER(X37),IF(ABS(X37-D42)&lt;=0.01,"PASS","FAIL"),"FAIL"),IF(NOT(ISNUMBER(X37)),IF(X37=D42,"PASS","FAIL"),"FAIL")),"FAIL")</f>
        <v/>
      </c>
    </row>
    <row r="43">
      <c r="B43" s="8" t="inlineStr">
        <is>
          <t>Expected CM Rate</t>
        </is>
      </c>
      <c r="C43" s="28">
        <f>Y37</f>
        <v/>
      </c>
      <c r="D43" s="29" t="n">
        <v>0.3</v>
      </c>
      <c r="E43" s="26">
        <f>IF(ISNUMBER(D43),IF(ISNUMBER(Y37),ABS(Y37-D43),"N/A"),"N/A")</f>
        <v/>
      </c>
      <c r="F43" s="15">
        <f>IFERROR(IF(ISNUMBER(D43),IF(ISNUMBER(Y37),IF(ABS(Y37-D43)&lt;=0.0001,"PASS","FAIL"),"FAIL"),IF(NOT(ISNUMBER(Y37)),IF(Y37=D43,"PASS","FAIL"),"FAIL")),"FAIL")</f>
        <v/>
      </c>
    </row>
    <row r="45" ht="20" customHeight="1">
      <c r="B45" s="2" t="inlineStr">
        <is>
          <t>TC5. VAT-inclusive display, both fee types</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Market Net Sales ex VAT (N)</t>
        </is>
      </c>
      <c r="C47" s="25">
        <f>S47</f>
        <v/>
      </c>
      <c r="D47" s="21" t="n">
        <v>99999.99999999999</v>
      </c>
      <c r="E47" s="26">
        <f>IF(ISNUMBER(D47),IF(ISNUMBER(S47),ABS(S47-D47),"N/A"),"N/A")</f>
        <v/>
      </c>
      <c r="F47" s="15">
        <f>IFERROR(IF(ISNUMBER(D47),IF(ISNUMBER(S47),IF(ABS(S47-D47)&lt;=0.01,"PASS","FAIL"),"FAIL"),IF(NOT(ISNUMBER(S47)),IF(S47=D47,"PASS","FAIL"),"FAIL")),"FAIL")</f>
        <v/>
      </c>
      <c r="I47" t="n">
        <v>110000</v>
      </c>
      <c r="J47" t="b">
        <v>1</v>
      </c>
      <c r="K47" t="n">
        <v>0.1</v>
      </c>
      <c r="L47" t="n">
        <v>0.3</v>
      </c>
      <c r="M47" t="n">
        <v>1000</v>
      </c>
      <c r="N47" t="n">
        <v>0.1</v>
      </c>
      <c r="O47" t="n">
        <v>0.03</v>
      </c>
      <c r="P47" t="n">
        <v>0</v>
      </c>
      <c r="Q47" t="inlineStr">
        <is>
          <t>none</t>
        </is>
      </c>
      <c r="R47" t="inlineStr">
        <is>
          <t>none</t>
        </is>
      </c>
      <c r="S47">
        <f>IFERROR(IF(ISBLANK($I$47),"UNKNOWN",IF(ISBLANK($J$47),"UNKNOWN",IF($J$47=FALSE,$I$47,IF(ISBLANK($K$47),"UNKNOWN",$I$47/(1+$K$47))))),"ERROR")</f>
        <v/>
      </c>
      <c r="T47">
        <f>IFERROR(IF(ISBLANK($I$47),"UNKNOWN",IF(ISBLANK($J$47),"UNKNOWN",IF($J$47=TRUE,$I$47,IF(ISBLANK($K$47),"UNKNOWN",$I$47*(1+$K$47))))),"ERROR")</f>
        <v/>
      </c>
      <c r="U47">
        <f>IFERROR(IF(OR(S47="ERROR",Z47="ERROR",AA47="ERROR",AB47="ERROR",AC47="ERROR"),"ERROR",IF(OR(NOT(ISNUMBER(S47)),NOT(ISNUMBER(Z47)),NOT(ISNUMBER(AA47)),NOT(ISNUMBER(AB47)),NOT(ISNUMBER(AC47))),"UNKNOWN",IF(AC47&gt;0,IF(T47="ERROR","ERROR",IF(NOT(ISNUMBER(T47)),"UNKNOWN",S47*(1-Z47-AB47)-AC47*T47-AA47)),S47*(1-Z47-AB47)-AA47))),"ERROR")</f>
        <v/>
      </c>
      <c r="V47">
        <f>IFERROR(IF($R$47="invalid","ERROR",IF($R$47="unresolved","UNKNOWN",IF(ISBLANK($P$47),"UNKNOWN",$P$47))),"ERROR")</f>
        <v/>
      </c>
      <c r="W47">
        <f>IFERROR(IF(OR(U47="ERROR",V47="ERROR"),"ERROR",IF(OR(NOT(ISNUMBER(U47)),NOT(ISNUMBER(V47))),"UNKNOWN",U47-V47)),"ERROR")</f>
        <v/>
      </c>
      <c r="X47">
        <f>IFERROR(IF(U47="ERROR","ERROR",IF(NOT(ISNUMBER(U47)),"UNKNOWN",IF(AC47&gt;0,S47-U47-AA47-AB47*S47-AC47*T47,S47-U47-AA47-AB47*S47))),"ERROR")</f>
        <v/>
      </c>
      <c r="Y47">
        <f>IFERROR(IF(X47="ERROR","ERROR",IF(NOT(ISNUMBER(X47)),"UNKNOWN",IF(S47=0,"ERROR",X47/S47))),"ERROR")</f>
        <v/>
      </c>
      <c r="Z47">
        <f>IFERROR(IF(ISBLANK($L$47),"UNKNOWN",IF(OR($L$47&lt;0,$L$47&gt;=1),"ERROR",$L$47)),"ERROR")</f>
        <v/>
      </c>
      <c r="AA47">
        <f>IFERROR(IF($Q$47="invalid","ERROR",IF($Q$47="unresolved","UNKNOWN",IF(ISBLANK($M$47),"UNKNOWN",$M$47))),"ERROR")</f>
        <v/>
      </c>
      <c r="AB47">
        <f>IFERROR(IF($Q$47="invalid","ERROR",IF($Q$47="unresolved","UNKNOWN",IF(ISBLANK($N$47),"UNKNOWN",$N$47))),"ERROR")</f>
        <v/>
      </c>
      <c r="AC47">
        <f>IFERROR(IF($Q$47="invalid","ERROR",IF($Q$47="unresolved","UNKNOWN",IF(ISBLANK($O$47),"UNKNOWN",$O$47))),"ERROR")</f>
        <v/>
      </c>
    </row>
    <row r="48">
      <c r="B48" s="8" t="inlineStr">
        <is>
          <t>Market Gross Payment incl VAT (G)</t>
        </is>
      </c>
      <c r="C48" s="25">
        <f>T47</f>
        <v/>
      </c>
      <c r="D48" s="21" t="n">
        <v>110000</v>
      </c>
      <c r="E48" s="26">
        <f>IF(ISNUMBER(D48),IF(ISNUMBER(T47),ABS(T47-D48),"N/A"),"N/A")</f>
        <v/>
      </c>
      <c r="F48" s="15">
        <f>IFERROR(IF(ISNUMBER(D48),IF(ISNUMBER(T47),IF(ABS(T47-D48)&lt;=0.01,"PASS","FAIL"),"FAIL"),IF(NOT(ISNUMBER(T47)),IF(T47=D48,"PASS","FAIL"),"FAIL")),"FAIL")</f>
        <v/>
      </c>
    </row>
    <row r="49">
      <c r="B49" s="8" t="inlineStr">
        <is>
          <t>Allowable Direct Cost (ADC)</t>
        </is>
      </c>
      <c r="C49" s="25">
        <f>U47</f>
        <v/>
      </c>
      <c r="D49" s="21" t="n">
        <v>55699.99999999999</v>
      </c>
      <c r="E49" s="26">
        <f>IF(ISNUMBER(D49),IF(ISNUMBER(U47),ABS(U47-D49),"N/A"),"N/A")</f>
        <v/>
      </c>
      <c r="F49" s="15">
        <f>IFERROR(IF(ISNUMBER(D49),IF(ISNUMBER(U47),IF(ABS(U47-D49)&lt;=0.01,"PASS","FAIL"),"FAIL"),IF(NOT(ISNUMBER(U47)),IF(U47=D49,"PASS","FAIL"),"FAIL")),"FAIL")</f>
        <v/>
      </c>
    </row>
    <row r="50">
      <c r="B50" s="8" t="inlineStr">
        <is>
          <t>Actual Direct Cost</t>
        </is>
      </c>
      <c r="C50" s="25">
        <f>V47</f>
        <v/>
      </c>
      <c r="D50" s="21" t="n">
        <v>0</v>
      </c>
      <c r="E50" s="26">
        <f>IF(ISNUMBER(D50),IF(ISNUMBER(V47),ABS(V47-D50),"N/A"),"N/A")</f>
        <v/>
      </c>
      <c r="F50" s="15">
        <f>IFERROR(IF(ISNUMBER(D50),IF(ISNUMBER(V47),IF(ABS(V47-D50)&lt;=0.01,"PASS","FAIL"),"FAIL"),IF(NOT(ISNUMBER(V47)),IF(V47=D50,"PASS","FAIL"),"FAIL")),"FAIL")</f>
        <v/>
      </c>
    </row>
    <row r="51">
      <c r="B51" s="8" t="inlineStr">
        <is>
          <t>Direct Cost Gap (ADC − Actual)</t>
        </is>
      </c>
      <c r="C51" s="25">
        <f>W47</f>
        <v/>
      </c>
      <c r="D51" s="21" t="n">
        <v>55699.99999999999</v>
      </c>
      <c r="E51" s="26">
        <f>IF(ISNUMBER(D51),IF(ISNUMBER(W47),ABS(W47-D51),"N/A"),"N/A")</f>
        <v/>
      </c>
      <c r="F51" s="15">
        <f>IFERROR(IF(ISNUMBER(D51),IF(ISNUMBER(W47),IF(ABS(W47-D51)&lt;=0.01,"PASS","FAIL"),"FAIL"),IF(NOT(ISNUMBER(W47)),IF(W47=D51,"PASS","FAIL"),"FAIL")),"FAIL")</f>
        <v/>
      </c>
    </row>
    <row r="52">
      <c r="B52" s="8" t="inlineStr">
        <is>
          <t>Expected Contribution Margin</t>
        </is>
      </c>
      <c r="C52" s="25">
        <f>X47</f>
        <v/>
      </c>
      <c r="D52" s="21" t="n">
        <v>30000</v>
      </c>
      <c r="E52" s="26">
        <f>IF(ISNUMBER(D52),IF(ISNUMBER(X47),ABS(X47-D52),"N/A"),"N/A")</f>
        <v/>
      </c>
      <c r="F52" s="15">
        <f>IFERROR(IF(ISNUMBER(D52),IF(ISNUMBER(X47),IF(ABS(X47-D52)&lt;=0.01,"PASS","FAIL"),"FAIL"),IF(NOT(ISNUMBER(X47)),IF(X47=D52,"PASS","FAIL"),"FAIL")),"FAIL")</f>
        <v/>
      </c>
    </row>
    <row r="53">
      <c r="B53" s="8" t="inlineStr">
        <is>
          <t>Expected CM Rate</t>
        </is>
      </c>
      <c r="C53" s="28">
        <f>Y47</f>
        <v/>
      </c>
      <c r="D53" s="29" t="n">
        <v>0.3</v>
      </c>
      <c r="E53" s="26">
        <f>IF(ISNUMBER(D53),IF(ISNUMBER(Y47),ABS(Y47-D53),"N/A"),"N/A")</f>
        <v/>
      </c>
      <c r="F53" s="15">
        <f>IFERROR(IF(ISNUMBER(D53),IF(ISNUMBER(Y47),IF(ABS(Y47-D53)&lt;=0.0001,"PASS","FAIL"),"FAIL"),IF(NOT(ISNUMBER(Y47)),IF(Y47=D53,"PASS","FAIL"),"FAIL")),"FAIL")</f>
        <v/>
      </c>
    </row>
    <row r="55" ht="20" customHeight="1">
      <c r="B55" s="2" t="inlineStr">
        <is>
          <t>TC6. VAT-exclusive display, same economics as TC5</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Market Net Sales ex VAT (N)</t>
        </is>
      </c>
      <c r="C57" s="25">
        <f>S57</f>
        <v/>
      </c>
      <c r="D57" s="21" t="n">
        <v>100000</v>
      </c>
      <c r="E57" s="26">
        <f>IF(ISNUMBER(D57),IF(ISNUMBER(S57),ABS(S57-D57),"N/A"),"N/A")</f>
        <v/>
      </c>
      <c r="F57" s="15">
        <f>IFERROR(IF(ISNUMBER(D57),IF(ISNUMBER(S57),IF(ABS(S57-D57)&lt;=0.01,"PASS","FAIL"),"FAIL"),IF(NOT(ISNUMBER(S57)),IF(S57=D57,"PASS","FAIL"),"FAIL")),"FAIL")</f>
        <v/>
      </c>
      <c r="I57" t="n">
        <v>100000</v>
      </c>
      <c r="J57" t="b">
        <v>0</v>
      </c>
      <c r="K57" t="n">
        <v>0.1</v>
      </c>
      <c r="L57" t="n">
        <v>0.3</v>
      </c>
      <c r="M57" t="n">
        <v>1000</v>
      </c>
      <c r="N57" t="n">
        <v>0.1</v>
      </c>
      <c r="O57" t="n">
        <v>0.03</v>
      </c>
      <c r="P57" t="n">
        <v>0</v>
      </c>
      <c r="Q57" t="inlineStr">
        <is>
          <t>none</t>
        </is>
      </c>
      <c r="R57" t="inlineStr">
        <is>
          <t>none</t>
        </is>
      </c>
      <c r="S57">
        <f>IFERROR(IF(ISBLANK($I$57),"UNKNOWN",IF(ISBLANK($J$57),"UNKNOWN",IF($J$57=FALSE,$I$57,IF(ISBLANK($K$57),"UNKNOWN",$I$57/(1+$K$57))))),"ERROR")</f>
        <v/>
      </c>
      <c r="T57">
        <f>IFERROR(IF(ISBLANK($I$57),"UNKNOWN",IF(ISBLANK($J$57),"UNKNOWN",IF($J$57=TRUE,$I$57,IF(ISBLANK($K$57),"UNKNOWN",$I$57*(1+$K$57))))),"ERROR")</f>
        <v/>
      </c>
      <c r="U57">
        <f>IFERROR(IF(OR(S57="ERROR",Z57="ERROR",AA57="ERROR",AB57="ERROR",AC57="ERROR"),"ERROR",IF(OR(NOT(ISNUMBER(S57)),NOT(ISNUMBER(Z57)),NOT(ISNUMBER(AA57)),NOT(ISNUMBER(AB57)),NOT(ISNUMBER(AC57))),"UNKNOWN",IF(AC57&gt;0,IF(T57="ERROR","ERROR",IF(NOT(ISNUMBER(T57)),"UNKNOWN",S57*(1-Z57-AB57)-AC57*T57-AA57)),S57*(1-Z57-AB57)-AA57))),"ERROR")</f>
        <v/>
      </c>
      <c r="V57">
        <f>IFERROR(IF($R$57="invalid","ERROR",IF($R$57="unresolved","UNKNOWN",IF(ISBLANK($P$57),"UNKNOWN",$P$57))),"ERROR")</f>
        <v/>
      </c>
      <c r="W57">
        <f>IFERROR(IF(OR(U57="ERROR",V57="ERROR"),"ERROR",IF(OR(NOT(ISNUMBER(U57)),NOT(ISNUMBER(V57))),"UNKNOWN",U57-V57)),"ERROR")</f>
        <v/>
      </c>
      <c r="X57">
        <f>IFERROR(IF(U57="ERROR","ERROR",IF(NOT(ISNUMBER(U57)),"UNKNOWN",IF(AC57&gt;0,S57-U57-AA57-AB57*S57-AC57*T57,S57-U57-AA57-AB57*S57))),"ERROR")</f>
        <v/>
      </c>
      <c r="Y57">
        <f>IFERROR(IF(X57="ERROR","ERROR",IF(NOT(ISNUMBER(X57)),"UNKNOWN",IF(S57=0,"ERROR",X57/S57))),"ERROR")</f>
        <v/>
      </c>
      <c r="Z57">
        <f>IFERROR(IF(ISBLANK($L$57),"UNKNOWN",IF(OR($L$57&lt;0,$L$57&gt;=1),"ERROR",$L$57)),"ERROR")</f>
        <v/>
      </c>
      <c r="AA57">
        <f>IFERROR(IF($Q$57="invalid","ERROR",IF($Q$57="unresolved","UNKNOWN",IF(ISBLANK($M$57),"UNKNOWN",$M$57))),"ERROR")</f>
        <v/>
      </c>
      <c r="AB57">
        <f>IFERROR(IF($Q$57="invalid","ERROR",IF($Q$57="unresolved","UNKNOWN",IF(ISBLANK($N$57),"UNKNOWN",$N$57))),"ERROR")</f>
        <v/>
      </c>
      <c r="AC57">
        <f>IFERROR(IF($Q$57="invalid","ERROR",IF($Q$57="unresolved","UNKNOWN",IF(ISBLANK($O$57),"UNKNOWN",$O$57))),"ERROR")</f>
        <v/>
      </c>
    </row>
    <row r="58">
      <c r="B58" s="8" t="inlineStr">
        <is>
          <t>Market Gross Payment incl VAT (G)</t>
        </is>
      </c>
      <c r="C58" s="25">
        <f>T57</f>
        <v/>
      </c>
      <c r="D58" s="21" t="n">
        <v>110000</v>
      </c>
      <c r="E58" s="26">
        <f>IF(ISNUMBER(D58),IF(ISNUMBER(T57),ABS(T57-D58),"N/A"),"N/A")</f>
        <v/>
      </c>
      <c r="F58" s="15">
        <f>IFERROR(IF(ISNUMBER(D58),IF(ISNUMBER(T57),IF(ABS(T57-D58)&lt;=0.01,"PASS","FAIL"),"FAIL"),IF(NOT(ISNUMBER(T57)),IF(T57=D58,"PASS","FAIL"),"FAIL")),"FAIL")</f>
        <v/>
      </c>
    </row>
    <row r="59">
      <c r="B59" s="8" t="inlineStr">
        <is>
          <t>Allowable Direct Cost (ADC)</t>
        </is>
      </c>
      <c r="C59" s="25">
        <f>U57</f>
        <v/>
      </c>
      <c r="D59" s="21" t="n">
        <v>55700</v>
      </c>
      <c r="E59" s="26">
        <f>IF(ISNUMBER(D59),IF(ISNUMBER(U57),ABS(U57-D59),"N/A"),"N/A")</f>
        <v/>
      </c>
      <c r="F59" s="15">
        <f>IFERROR(IF(ISNUMBER(D59),IF(ISNUMBER(U57),IF(ABS(U57-D59)&lt;=0.01,"PASS","FAIL"),"FAIL"),IF(NOT(ISNUMBER(U57)),IF(U57=D59,"PASS","FAIL"),"FAIL")),"FAIL")</f>
        <v/>
      </c>
    </row>
    <row r="60">
      <c r="B60" s="8" t="inlineStr">
        <is>
          <t>Actual Direct Cost</t>
        </is>
      </c>
      <c r="C60" s="25">
        <f>V57</f>
        <v/>
      </c>
      <c r="D60" s="21" t="n">
        <v>0</v>
      </c>
      <c r="E60" s="26">
        <f>IF(ISNUMBER(D60),IF(ISNUMBER(V57),ABS(V57-D60),"N/A"),"N/A")</f>
        <v/>
      </c>
      <c r="F60" s="15">
        <f>IFERROR(IF(ISNUMBER(D60),IF(ISNUMBER(V57),IF(ABS(V57-D60)&lt;=0.01,"PASS","FAIL"),"FAIL"),IF(NOT(ISNUMBER(V57)),IF(V57=D60,"PASS","FAIL"),"FAIL")),"FAIL")</f>
        <v/>
      </c>
    </row>
    <row r="61">
      <c r="B61" s="8" t="inlineStr">
        <is>
          <t>Direct Cost Gap (ADC − Actual)</t>
        </is>
      </c>
      <c r="C61" s="25">
        <f>W57</f>
        <v/>
      </c>
      <c r="D61" s="21" t="n">
        <v>55700</v>
      </c>
      <c r="E61" s="26">
        <f>IF(ISNUMBER(D61),IF(ISNUMBER(W57),ABS(W57-D61),"N/A"),"N/A")</f>
        <v/>
      </c>
      <c r="F61" s="15">
        <f>IFERROR(IF(ISNUMBER(D61),IF(ISNUMBER(W57),IF(ABS(W57-D61)&lt;=0.01,"PASS","FAIL"),"FAIL"),IF(NOT(ISNUMBER(W57)),IF(W57=D61,"PASS","FAIL"),"FAIL")),"FAIL")</f>
        <v/>
      </c>
    </row>
    <row r="62">
      <c r="B62" s="8" t="inlineStr">
        <is>
          <t>Expected Contribution Margin</t>
        </is>
      </c>
      <c r="C62" s="25">
        <f>X57</f>
        <v/>
      </c>
      <c r="D62" s="21" t="n">
        <v>30000</v>
      </c>
      <c r="E62" s="26">
        <f>IF(ISNUMBER(D62),IF(ISNUMBER(X57),ABS(X57-D62),"N/A"),"N/A")</f>
        <v/>
      </c>
      <c r="F62" s="15">
        <f>IFERROR(IF(ISNUMBER(D62),IF(ISNUMBER(X57),IF(ABS(X57-D62)&lt;=0.01,"PASS","FAIL"),"FAIL"),IF(NOT(ISNUMBER(X57)),IF(X57=D62,"PASS","FAIL"),"FAIL")),"FAIL")</f>
        <v/>
      </c>
    </row>
    <row r="63">
      <c r="B63" s="8" t="inlineStr">
        <is>
          <t>Expected CM Rate</t>
        </is>
      </c>
      <c r="C63" s="28">
        <f>Y57</f>
        <v/>
      </c>
      <c r="D63" s="29" t="n">
        <v>0.3</v>
      </c>
      <c r="E63" s="26">
        <f>IF(ISNUMBER(D63),IF(ISNUMBER(Y57),ABS(Y57-D63),"N/A"),"N/A")</f>
        <v/>
      </c>
      <c r="F63" s="15">
        <f>IFERROR(IF(ISNUMBER(D63),IF(ISNUMBER(Y57),IF(ABS(Y57-D63)&lt;=0.0001,"PASS","FAIL"),"FAIL"),IF(NOT(ISNUMBER(Y57)),IF(Y57=D63,"PASS","FAIL"),"FAIL")),"FAIL")</f>
        <v/>
      </c>
    </row>
    <row r="65" ht="20" customHeight="1">
      <c r="B65" s="2" t="inlineStr">
        <is>
          <t>TC7. VAT-exclusive, v UNKNOWN, a=0 (ADC still OK)</t>
        </is>
      </c>
      <c r="C65" s="7" t="n"/>
      <c r="D65" s="7" t="n"/>
      <c r="E65" s="7" t="n"/>
      <c r="F65" s="7" t="n"/>
    </row>
    <row r="66">
      <c r="B66" s="4" t="inlineStr">
        <is>
          <t>Metric</t>
        </is>
      </c>
      <c r="C66" s="4" t="inlineStr">
        <is>
          <t>Excel Result</t>
        </is>
      </c>
      <c r="D66" s="4" t="inlineStr">
        <is>
          <t>Python Reference</t>
        </is>
      </c>
      <c r="E66" s="4" t="inlineStr">
        <is>
          <t>Difference</t>
        </is>
      </c>
      <c r="F66" s="4" t="inlineStr">
        <is>
          <t>PASS / FAIL</t>
        </is>
      </c>
    </row>
    <row r="67">
      <c r="B67" s="8" t="inlineStr">
        <is>
          <t>Market Net Sales ex VAT (N)</t>
        </is>
      </c>
      <c r="C67" s="25">
        <f>S67</f>
        <v/>
      </c>
      <c r="D67" s="21" t="n">
        <v>100000</v>
      </c>
      <c r="E67" s="26">
        <f>IF(ISNUMBER(D67),IF(ISNUMBER(S67),ABS(S67-D67),"N/A"),"N/A")</f>
        <v/>
      </c>
      <c r="F67" s="15">
        <f>IFERROR(IF(ISNUMBER(D67),IF(ISNUMBER(S67),IF(ABS(S67-D67)&lt;=0.01,"PASS","FAIL"),"FAIL"),IF(NOT(ISNUMBER(S67)),IF(S67=D67,"PASS","FAIL"),"FAIL")),"FAIL")</f>
        <v/>
      </c>
      <c r="I67" t="n">
        <v>100000</v>
      </c>
      <c r="J67" t="b">
        <v>0</v>
      </c>
      <c r="L67" t="n">
        <v>0.3</v>
      </c>
      <c r="M67" t="n">
        <v>1000</v>
      </c>
      <c r="N67" t="n">
        <v>0.1</v>
      </c>
      <c r="O67" t="n">
        <v>0</v>
      </c>
      <c r="P67" t="n">
        <v>0</v>
      </c>
      <c r="Q67" t="inlineStr">
        <is>
          <t>none</t>
        </is>
      </c>
      <c r="R67" t="inlineStr">
        <is>
          <t>none</t>
        </is>
      </c>
      <c r="S67">
        <f>IFERROR(IF(ISBLANK($I$67),"UNKNOWN",IF(ISBLANK($J$67),"UNKNOWN",IF($J$67=FALSE,$I$67,IF(ISBLANK($K$67),"UNKNOWN",$I$67/(1+$K$67))))),"ERROR")</f>
        <v/>
      </c>
      <c r="T67">
        <f>IFERROR(IF(ISBLANK($I$67),"UNKNOWN",IF(ISBLANK($J$67),"UNKNOWN",IF($J$67=TRUE,$I$67,IF(ISBLANK($K$67),"UNKNOWN",$I$67*(1+$K$67))))),"ERROR")</f>
        <v/>
      </c>
      <c r="U67">
        <f>IFERROR(IF(OR(S67="ERROR",Z67="ERROR",AA67="ERROR",AB67="ERROR",AC67="ERROR"),"ERROR",IF(OR(NOT(ISNUMBER(S67)),NOT(ISNUMBER(Z67)),NOT(ISNUMBER(AA67)),NOT(ISNUMBER(AB67)),NOT(ISNUMBER(AC67))),"UNKNOWN",IF(AC67&gt;0,IF(T67="ERROR","ERROR",IF(NOT(ISNUMBER(T67)),"UNKNOWN",S67*(1-Z67-AB67)-AC67*T67-AA67)),S67*(1-Z67-AB67)-AA67))),"ERROR")</f>
        <v/>
      </c>
      <c r="V67">
        <f>IFERROR(IF($R$67="invalid","ERROR",IF($R$67="unresolved","UNKNOWN",IF(ISBLANK($P$67),"UNKNOWN",$P$67))),"ERROR")</f>
        <v/>
      </c>
      <c r="W67">
        <f>IFERROR(IF(OR(U67="ERROR",V67="ERROR"),"ERROR",IF(OR(NOT(ISNUMBER(U67)),NOT(ISNUMBER(V67))),"UNKNOWN",U67-V67)),"ERROR")</f>
        <v/>
      </c>
      <c r="X67">
        <f>IFERROR(IF(U67="ERROR","ERROR",IF(NOT(ISNUMBER(U67)),"UNKNOWN",IF(AC67&gt;0,S67-U67-AA67-AB67*S67-AC67*T67,S67-U67-AA67-AB67*S67))),"ERROR")</f>
        <v/>
      </c>
      <c r="Y67">
        <f>IFERROR(IF(X67="ERROR","ERROR",IF(NOT(ISNUMBER(X67)),"UNKNOWN",IF(S67=0,"ERROR",X67/S67))),"ERROR")</f>
        <v/>
      </c>
      <c r="Z67">
        <f>IFERROR(IF(ISBLANK($L$67),"UNKNOWN",IF(OR($L$67&lt;0,$L$67&gt;=1),"ERROR",$L$67)),"ERROR")</f>
        <v/>
      </c>
      <c r="AA67">
        <f>IFERROR(IF($Q$67="invalid","ERROR",IF($Q$67="unresolved","UNKNOWN",IF(ISBLANK($M$67),"UNKNOWN",$M$67))),"ERROR")</f>
        <v/>
      </c>
      <c r="AB67">
        <f>IFERROR(IF($Q$67="invalid","ERROR",IF($Q$67="unresolved","UNKNOWN",IF(ISBLANK($N$67),"UNKNOWN",$N$67))),"ERROR")</f>
        <v/>
      </c>
      <c r="AC67">
        <f>IFERROR(IF($Q$67="invalid","ERROR",IF($Q$67="unresolved","UNKNOWN",IF(ISBLANK($O$67),"UNKNOWN",$O$67))),"ERROR")</f>
        <v/>
      </c>
    </row>
    <row r="68">
      <c r="B68" s="8" t="inlineStr">
        <is>
          <t>Market Gross Payment incl VAT (G)</t>
        </is>
      </c>
      <c r="C68" s="25">
        <f>T67</f>
        <v/>
      </c>
      <c r="D68" s="30" t="inlineStr">
        <is>
          <t>UNKNOWN</t>
        </is>
      </c>
      <c r="E68" s="26">
        <f>IF(ISNUMBER(D68),IF(ISNUMBER(T67),ABS(T67-D68),"N/A"),"N/A")</f>
        <v/>
      </c>
      <c r="F68" s="15">
        <f>IFERROR(IF(ISNUMBER(D68),IF(ISNUMBER(T67),IF(ABS(T67-D68)&lt;=0.01,"PASS","FAIL"),"FAIL"),IF(NOT(ISNUMBER(T67)),IF(T67=D68,"PASS","FAIL"),"FAIL")),"FAIL")</f>
        <v/>
      </c>
    </row>
    <row r="69">
      <c r="B69" s="8" t="inlineStr">
        <is>
          <t>Allowable Direct Cost (ADC)</t>
        </is>
      </c>
      <c r="C69" s="25">
        <f>U67</f>
        <v/>
      </c>
      <c r="D69" s="21" t="n">
        <v>59000</v>
      </c>
      <c r="E69" s="26">
        <f>IF(ISNUMBER(D69),IF(ISNUMBER(U67),ABS(U67-D69),"N/A"),"N/A")</f>
        <v/>
      </c>
      <c r="F69" s="15">
        <f>IFERROR(IF(ISNUMBER(D69),IF(ISNUMBER(U67),IF(ABS(U67-D69)&lt;=0.01,"PASS","FAIL"),"FAIL"),IF(NOT(ISNUMBER(U67)),IF(U67=D69,"PASS","FAIL"),"FAIL")),"FAIL")</f>
        <v/>
      </c>
    </row>
    <row r="70">
      <c r="B70" s="8" t="inlineStr">
        <is>
          <t>Actual Direct Cost</t>
        </is>
      </c>
      <c r="C70" s="25">
        <f>V67</f>
        <v/>
      </c>
      <c r="D70" s="21" t="n">
        <v>0</v>
      </c>
      <c r="E70" s="26">
        <f>IF(ISNUMBER(D70),IF(ISNUMBER(V67),ABS(V67-D70),"N/A"),"N/A")</f>
        <v/>
      </c>
      <c r="F70" s="15">
        <f>IFERROR(IF(ISNUMBER(D70),IF(ISNUMBER(V67),IF(ABS(V67-D70)&lt;=0.01,"PASS","FAIL"),"FAIL"),IF(NOT(ISNUMBER(V67)),IF(V67=D70,"PASS","FAIL"),"FAIL")),"FAIL")</f>
        <v/>
      </c>
    </row>
    <row r="71">
      <c r="B71" s="8" t="inlineStr">
        <is>
          <t>Direct Cost Gap (ADC − Actual)</t>
        </is>
      </c>
      <c r="C71" s="25">
        <f>W67</f>
        <v/>
      </c>
      <c r="D71" s="21" t="n">
        <v>59000</v>
      </c>
      <c r="E71" s="26">
        <f>IF(ISNUMBER(D71),IF(ISNUMBER(W67),ABS(W67-D71),"N/A"),"N/A")</f>
        <v/>
      </c>
      <c r="F71" s="15">
        <f>IFERROR(IF(ISNUMBER(D71),IF(ISNUMBER(W67),IF(ABS(W67-D71)&lt;=0.01,"PASS","FAIL"),"FAIL"),IF(NOT(ISNUMBER(W67)),IF(W67=D71,"PASS","FAIL"),"FAIL")),"FAIL")</f>
        <v/>
      </c>
    </row>
    <row r="72">
      <c r="B72" s="8" t="inlineStr">
        <is>
          <t>Expected Contribution Margin</t>
        </is>
      </c>
      <c r="C72" s="25">
        <f>X67</f>
        <v/>
      </c>
      <c r="D72" s="21" t="n">
        <v>30000</v>
      </c>
      <c r="E72" s="26">
        <f>IF(ISNUMBER(D72),IF(ISNUMBER(X67),ABS(X67-D72),"N/A"),"N/A")</f>
        <v/>
      </c>
      <c r="F72" s="15">
        <f>IFERROR(IF(ISNUMBER(D72),IF(ISNUMBER(X67),IF(ABS(X67-D72)&lt;=0.01,"PASS","FAIL"),"FAIL"),IF(NOT(ISNUMBER(X67)),IF(X67=D72,"PASS","FAIL"),"FAIL")),"FAIL")</f>
        <v/>
      </c>
    </row>
    <row r="73">
      <c r="B73" s="8" t="inlineStr">
        <is>
          <t>Expected CM Rate</t>
        </is>
      </c>
      <c r="C73" s="28">
        <f>Y67</f>
        <v/>
      </c>
      <c r="D73" s="29" t="n">
        <v>0.3</v>
      </c>
      <c r="E73" s="26">
        <f>IF(ISNUMBER(D73),IF(ISNUMBER(Y67),ABS(Y67-D73),"N/A"),"N/A")</f>
        <v/>
      </c>
      <c r="F73" s="15">
        <f>IFERROR(IF(ISNUMBER(D73),IF(ISNUMBER(Y67),IF(ABS(Y67-D73)&lt;=0.0001,"PASS","FAIL"),"FAIL"),IF(NOT(ISNUMBER(Y67)),IF(Y67=D73,"PASS","FAIL"),"FAIL")),"FAIL")</f>
        <v/>
      </c>
    </row>
    <row r="75" ht="20" customHeight="1">
      <c r="B75" s="2" t="inlineStr">
        <is>
          <t>TC8. VAT-exclusive, v UNKNOWN, a&gt;0 (ADC goes UNKNOWN)</t>
        </is>
      </c>
      <c r="C75" s="7" t="n"/>
      <c r="D75" s="7" t="n"/>
      <c r="E75" s="7" t="n"/>
      <c r="F75" s="7" t="n"/>
    </row>
    <row r="76">
      <c r="B76" s="4" t="inlineStr">
        <is>
          <t>Metric</t>
        </is>
      </c>
      <c r="C76" s="4" t="inlineStr">
        <is>
          <t>Excel Result</t>
        </is>
      </c>
      <c r="D76" s="4" t="inlineStr">
        <is>
          <t>Python Reference</t>
        </is>
      </c>
      <c r="E76" s="4" t="inlineStr">
        <is>
          <t>Difference</t>
        </is>
      </c>
      <c r="F76" s="4" t="inlineStr">
        <is>
          <t>PASS / FAIL</t>
        </is>
      </c>
    </row>
    <row r="77">
      <c r="B77" s="8" t="inlineStr">
        <is>
          <t>Market Net Sales ex VAT (N)</t>
        </is>
      </c>
      <c r="C77" s="25">
        <f>S77</f>
        <v/>
      </c>
      <c r="D77" s="21" t="n">
        <v>100000</v>
      </c>
      <c r="E77" s="26">
        <f>IF(ISNUMBER(D77),IF(ISNUMBER(S77),ABS(S77-D77),"N/A"),"N/A")</f>
        <v/>
      </c>
      <c r="F77" s="15">
        <f>IFERROR(IF(ISNUMBER(D77),IF(ISNUMBER(S77),IF(ABS(S77-D77)&lt;=0.01,"PASS","FAIL"),"FAIL"),IF(NOT(ISNUMBER(S77)),IF(S77=D77,"PASS","FAIL"),"FAIL")),"FAIL")</f>
        <v/>
      </c>
      <c r="I77" t="n">
        <v>100000</v>
      </c>
      <c r="J77" t="b">
        <v>0</v>
      </c>
      <c r="L77" t="n">
        <v>0.3</v>
      </c>
      <c r="M77" t="n">
        <v>0</v>
      </c>
      <c r="N77" t="n">
        <v>0</v>
      </c>
      <c r="O77" t="n">
        <v>0.05</v>
      </c>
      <c r="P77" t="n">
        <v>0</v>
      </c>
      <c r="Q77" t="inlineStr">
        <is>
          <t>none</t>
        </is>
      </c>
      <c r="R77" t="inlineStr">
        <is>
          <t>none</t>
        </is>
      </c>
      <c r="S77">
        <f>IFERROR(IF(ISBLANK($I$77),"UNKNOWN",IF(ISBLANK($J$77),"UNKNOWN",IF($J$77=FALSE,$I$77,IF(ISBLANK($K$77),"UNKNOWN",$I$77/(1+$K$77))))),"ERROR")</f>
        <v/>
      </c>
      <c r="T77">
        <f>IFERROR(IF(ISBLANK($I$77),"UNKNOWN",IF(ISBLANK($J$77),"UNKNOWN",IF($J$77=TRUE,$I$77,IF(ISBLANK($K$77),"UNKNOWN",$I$77*(1+$K$77))))),"ERROR")</f>
        <v/>
      </c>
      <c r="U77">
        <f>IFERROR(IF(OR(S77="ERROR",Z77="ERROR",AA77="ERROR",AB77="ERROR",AC77="ERROR"),"ERROR",IF(OR(NOT(ISNUMBER(S77)),NOT(ISNUMBER(Z77)),NOT(ISNUMBER(AA77)),NOT(ISNUMBER(AB77)),NOT(ISNUMBER(AC77))),"UNKNOWN",IF(AC77&gt;0,IF(T77="ERROR","ERROR",IF(NOT(ISNUMBER(T77)),"UNKNOWN",S77*(1-Z77-AB77)-AC77*T77-AA77)),S77*(1-Z77-AB77)-AA77))),"ERROR")</f>
        <v/>
      </c>
      <c r="V77">
        <f>IFERROR(IF($R$77="invalid","ERROR",IF($R$77="unresolved","UNKNOWN",IF(ISBLANK($P$77),"UNKNOWN",$P$77))),"ERROR")</f>
        <v/>
      </c>
      <c r="W77">
        <f>IFERROR(IF(OR(U77="ERROR",V77="ERROR"),"ERROR",IF(OR(NOT(ISNUMBER(U77)),NOT(ISNUMBER(V77))),"UNKNOWN",U77-V77)),"ERROR")</f>
        <v/>
      </c>
      <c r="X77">
        <f>IFERROR(IF(U77="ERROR","ERROR",IF(NOT(ISNUMBER(U77)),"UNKNOWN",IF(AC77&gt;0,S77-U77-AA77-AB77*S77-AC77*T77,S77-U77-AA77-AB77*S77))),"ERROR")</f>
        <v/>
      </c>
      <c r="Y77">
        <f>IFERROR(IF(X77="ERROR","ERROR",IF(NOT(ISNUMBER(X77)),"UNKNOWN",IF(S77=0,"ERROR",X77/S77))),"ERROR")</f>
        <v/>
      </c>
      <c r="Z77">
        <f>IFERROR(IF(ISBLANK($L$77),"UNKNOWN",IF(OR($L$77&lt;0,$L$77&gt;=1),"ERROR",$L$77)),"ERROR")</f>
        <v/>
      </c>
      <c r="AA77">
        <f>IFERROR(IF($Q$77="invalid","ERROR",IF($Q$77="unresolved","UNKNOWN",IF(ISBLANK($M$77),"UNKNOWN",$M$77))),"ERROR")</f>
        <v/>
      </c>
      <c r="AB77">
        <f>IFERROR(IF($Q$77="invalid","ERROR",IF($Q$77="unresolved","UNKNOWN",IF(ISBLANK($N$77),"UNKNOWN",$N$77))),"ERROR")</f>
        <v/>
      </c>
      <c r="AC77">
        <f>IFERROR(IF($Q$77="invalid","ERROR",IF($Q$77="unresolved","UNKNOWN",IF(ISBLANK($O$77),"UNKNOWN",$O$77))),"ERROR")</f>
        <v/>
      </c>
    </row>
    <row r="78">
      <c r="B78" s="8" t="inlineStr">
        <is>
          <t>Market Gross Payment incl VAT (G)</t>
        </is>
      </c>
      <c r="C78" s="25">
        <f>T77</f>
        <v/>
      </c>
      <c r="D78" s="30" t="inlineStr">
        <is>
          <t>UNKNOWN</t>
        </is>
      </c>
      <c r="E78" s="26">
        <f>IF(ISNUMBER(D78),IF(ISNUMBER(T77),ABS(T77-D78),"N/A"),"N/A")</f>
        <v/>
      </c>
      <c r="F78" s="15">
        <f>IFERROR(IF(ISNUMBER(D78),IF(ISNUMBER(T77),IF(ABS(T77-D78)&lt;=0.01,"PASS","FAIL"),"FAIL"),IF(NOT(ISNUMBER(T77)),IF(T77=D78,"PASS","FAIL"),"FAIL")),"FAIL")</f>
        <v/>
      </c>
    </row>
    <row r="79">
      <c r="B79" s="8" t="inlineStr">
        <is>
          <t>Allowable Direct Cost (ADC)</t>
        </is>
      </c>
      <c r="C79" s="25">
        <f>U77</f>
        <v/>
      </c>
      <c r="D79" s="30" t="inlineStr">
        <is>
          <t>UNKNOWN</t>
        </is>
      </c>
      <c r="E79" s="26">
        <f>IF(ISNUMBER(D79),IF(ISNUMBER(U77),ABS(U77-D79),"N/A"),"N/A")</f>
        <v/>
      </c>
      <c r="F79" s="15">
        <f>IFERROR(IF(ISNUMBER(D79),IF(ISNUMBER(U77),IF(ABS(U77-D79)&lt;=0.01,"PASS","FAIL"),"FAIL"),IF(NOT(ISNUMBER(U77)),IF(U77=D79,"PASS","FAIL"),"FAIL")),"FAIL")</f>
        <v/>
      </c>
    </row>
    <row r="80">
      <c r="B80" s="8" t="inlineStr">
        <is>
          <t>Actual Direct Cost</t>
        </is>
      </c>
      <c r="C80" s="25">
        <f>V77</f>
        <v/>
      </c>
      <c r="D80" s="21" t="n">
        <v>0</v>
      </c>
      <c r="E80" s="26">
        <f>IF(ISNUMBER(D80),IF(ISNUMBER(V77),ABS(V77-D80),"N/A"),"N/A")</f>
        <v/>
      </c>
      <c r="F80" s="15">
        <f>IFERROR(IF(ISNUMBER(D80),IF(ISNUMBER(V77),IF(ABS(V77-D80)&lt;=0.01,"PASS","FAIL"),"FAIL"),IF(NOT(ISNUMBER(V77)),IF(V77=D80,"PASS","FAIL"),"FAIL")),"FAIL")</f>
        <v/>
      </c>
    </row>
    <row r="81">
      <c r="B81" s="8" t="inlineStr">
        <is>
          <t>Direct Cost Gap (ADC − Actual)</t>
        </is>
      </c>
      <c r="C81" s="25">
        <f>W77</f>
        <v/>
      </c>
      <c r="D81" s="30" t="inlineStr">
        <is>
          <t>UNKNOWN</t>
        </is>
      </c>
      <c r="E81" s="26">
        <f>IF(ISNUMBER(D81),IF(ISNUMBER(W77),ABS(W77-D81),"N/A"),"N/A")</f>
        <v/>
      </c>
      <c r="F81" s="15">
        <f>IFERROR(IF(ISNUMBER(D81),IF(ISNUMBER(W77),IF(ABS(W77-D81)&lt;=0.01,"PASS","FAIL"),"FAIL"),IF(NOT(ISNUMBER(W77)),IF(W77=D81,"PASS","FAIL"),"FAIL")),"FAIL")</f>
        <v/>
      </c>
    </row>
    <row r="82">
      <c r="B82" s="8" t="inlineStr">
        <is>
          <t>Expected Contribution Margin</t>
        </is>
      </c>
      <c r="C82" s="25">
        <f>X77</f>
        <v/>
      </c>
      <c r="D82" s="30" t="inlineStr">
        <is>
          <t>UNKNOWN</t>
        </is>
      </c>
      <c r="E82" s="26">
        <f>IF(ISNUMBER(D82),IF(ISNUMBER(X77),ABS(X77-D82),"N/A"),"N/A")</f>
        <v/>
      </c>
      <c r="F82" s="15">
        <f>IFERROR(IF(ISNUMBER(D82),IF(ISNUMBER(X77),IF(ABS(X77-D82)&lt;=0.01,"PASS","FAIL"),"FAIL"),IF(NOT(ISNUMBER(X77)),IF(X77=D82,"PASS","FAIL"),"FAIL")),"FAIL")</f>
        <v/>
      </c>
    </row>
    <row r="83">
      <c r="B83" s="8" t="inlineStr">
        <is>
          <t>Expected CM Rate</t>
        </is>
      </c>
      <c r="C83" s="28">
        <f>Y77</f>
        <v/>
      </c>
      <c r="D83" s="30" t="inlineStr">
        <is>
          <t>UNKNOWN</t>
        </is>
      </c>
      <c r="E83" s="26">
        <f>IF(ISNUMBER(D83),IF(ISNUMBER(Y77),ABS(Y77-D83),"N/A"),"N/A")</f>
        <v/>
      </c>
      <c r="F83" s="15">
        <f>IFERROR(IF(ISNUMBER(D83),IF(ISNUMBER(Y77),IF(ABS(Y77-D83)&lt;=0.0001,"PASS","FAIL"),"FAIL"),IF(NOT(ISNUMBER(Y77)),IF(Y77=D83,"PASS","FAIL"),"FAIL")),"FAIL")</f>
        <v/>
      </c>
    </row>
    <row r="85" ht="20" customHeight="1">
      <c r="B85" s="2" t="inlineStr">
        <is>
          <t>TC9. Target CM rate UNKNOWN</t>
        </is>
      </c>
      <c r="C85" s="7" t="n"/>
      <c r="D85" s="7" t="n"/>
      <c r="E85" s="7" t="n"/>
      <c r="F85" s="7" t="n"/>
    </row>
    <row r="86">
      <c r="B86" s="4" t="inlineStr">
        <is>
          <t>Metric</t>
        </is>
      </c>
      <c r="C86" s="4" t="inlineStr">
        <is>
          <t>Excel Result</t>
        </is>
      </c>
      <c r="D86" s="4" t="inlineStr">
        <is>
          <t>Python Reference</t>
        </is>
      </c>
      <c r="E86" s="4" t="inlineStr">
        <is>
          <t>Difference</t>
        </is>
      </c>
      <c r="F86" s="4" t="inlineStr">
        <is>
          <t>PASS / FAIL</t>
        </is>
      </c>
    </row>
    <row r="87">
      <c r="B87" s="8" t="inlineStr">
        <is>
          <t>Market Net Sales ex VAT (N)</t>
        </is>
      </c>
      <c r="C87" s="25">
        <f>S87</f>
        <v/>
      </c>
      <c r="D87" s="21" t="n">
        <v>100000</v>
      </c>
      <c r="E87" s="26">
        <f>IF(ISNUMBER(D87),IF(ISNUMBER(S87),ABS(S87-D87),"N/A"),"N/A")</f>
        <v/>
      </c>
      <c r="F87" s="15">
        <f>IFERROR(IF(ISNUMBER(D87),IF(ISNUMBER(S87),IF(ABS(S87-D87)&lt;=0.01,"PASS","FAIL"),"FAIL"),IF(NOT(ISNUMBER(S87)),IF(S87=D87,"PASS","FAIL"),"FAIL")),"FAIL")</f>
        <v/>
      </c>
      <c r="I87" t="n">
        <v>100000</v>
      </c>
      <c r="J87" t="b">
        <v>0</v>
      </c>
      <c r="M87" t="n">
        <v>0</v>
      </c>
      <c r="N87" t="n">
        <v>0</v>
      </c>
      <c r="O87" t="n">
        <v>0</v>
      </c>
      <c r="P87" t="n">
        <v>0</v>
      </c>
      <c r="Q87" t="inlineStr">
        <is>
          <t>none</t>
        </is>
      </c>
      <c r="R87" t="inlineStr">
        <is>
          <t>none</t>
        </is>
      </c>
      <c r="S87">
        <f>IFERROR(IF(ISBLANK($I$87),"UNKNOWN",IF(ISBLANK($J$87),"UNKNOWN",IF($J$87=FALSE,$I$87,IF(ISBLANK($K$87),"UNKNOWN",$I$87/(1+$K$87))))),"ERROR")</f>
        <v/>
      </c>
      <c r="T87">
        <f>IFERROR(IF(ISBLANK($I$87),"UNKNOWN",IF(ISBLANK($J$87),"UNKNOWN",IF($J$87=TRUE,$I$87,IF(ISBLANK($K$87),"UNKNOWN",$I$87*(1+$K$87))))),"ERROR")</f>
        <v/>
      </c>
      <c r="U87">
        <f>IFERROR(IF(OR(S87="ERROR",Z87="ERROR",AA87="ERROR",AB87="ERROR",AC87="ERROR"),"ERROR",IF(OR(NOT(ISNUMBER(S87)),NOT(ISNUMBER(Z87)),NOT(ISNUMBER(AA87)),NOT(ISNUMBER(AB87)),NOT(ISNUMBER(AC87))),"UNKNOWN",IF(AC87&gt;0,IF(T87="ERROR","ERROR",IF(NOT(ISNUMBER(T87)),"UNKNOWN",S87*(1-Z87-AB87)-AC87*T87-AA87)),S87*(1-Z87-AB87)-AA87))),"ERROR")</f>
        <v/>
      </c>
      <c r="V87">
        <f>IFERROR(IF($R$87="invalid","ERROR",IF($R$87="unresolved","UNKNOWN",IF(ISBLANK($P$87),"UNKNOWN",$P$87))),"ERROR")</f>
        <v/>
      </c>
      <c r="W87">
        <f>IFERROR(IF(OR(U87="ERROR",V87="ERROR"),"ERROR",IF(OR(NOT(ISNUMBER(U87)),NOT(ISNUMBER(V87))),"UNKNOWN",U87-V87)),"ERROR")</f>
        <v/>
      </c>
      <c r="X87">
        <f>IFERROR(IF(U87="ERROR","ERROR",IF(NOT(ISNUMBER(U87)),"UNKNOWN",IF(AC87&gt;0,S87-U87-AA87-AB87*S87-AC87*T87,S87-U87-AA87-AB87*S87))),"ERROR")</f>
        <v/>
      </c>
      <c r="Y87">
        <f>IFERROR(IF(X87="ERROR","ERROR",IF(NOT(ISNUMBER(X87)),"UNKNOWN",IF(S87=0,"ERROR",X87/S87))),"ERROR")</f>
        <v/>
      </c>
      <c r="Z87">
        <f>IFERROR(IF(ISBLANK($L$87),"UNKNOWN",IF(OR($L$87&lt;0,$L$87&gt;=1),"ERROR",$L$87)),"ERROR")</f>
        <v/>
      </c>
      <c r="AA87">
        <f>IFERROR(IF($Q$87="invalid","ERROR",IF($Q$87="unresolved","UNKNOWN",IF(ISBLANK($M$87),"UNKNOWN",$M$87))),"ERROR")</f>
        <v/>
      </c>
      <c r="AB87">
        <f>IFERROR(IF($Q$87="invalid","ERROR",IF($Q$87="unresolved","UNKNOWN",IF(ISBLANK($N$87),"UNKNOWN",$N$87))),"ERROR")</f>
        <v/>
      </c>
      <c r="AC87">
        <f>IFERROR(IF($Q$87="invalid","ERROR",IF($Q$87="unresolved","UNKNOWN",IF(ISBLANK($O$87),"UNKNOWN",$O$87))),"ERROR")</f>
        <v/>
      </c>
    </row>
    <row r="88">
      <c r="B88" s="8" t="inlineStr">
        <is>
          <t>Market Gross Payment incl VAT (G)</t>
        </is>
      </c>
      <c r="C88" s="25">
        <f>T87</f>
        <v/>
      </c>
      <c r="D88" s="30" t="inlineStr">
        <is>
          <t>UNKNOWN</t>
        </is>
      </c>
      <c r="E88" s="26">
        <f>IF(ISNUMBER(D88),IF(ISNUMBER(T87),ABS(T87-D88),"N/A"),"N/A")</f>
        <v/>
      </c>
      <c r="F88" s="15">
        <f>IFERROR(IF(ISNUMBER(D88),IF(ISNUMBER(T87),IF(ABS(T87-D88)&lt;=0.01,"PASS","FAIL"),"FAIL"),IF(NOT(ISNUMBER(T87)),IF(T87=D88,"PASS","FAIL"),"FAIL")),"FAIL")</f>
        <v/>
      </c>
    </row>
    <row r="89">
      <c r="B89" s="8" t="inlineStr">
        <is>
          <t>Allowable Direct Cost (ADC)</t>
        </is>
      </c>
      <c r="C89" s="25">
        <f>U87</f>
        <v/>
      </c>
      <c r="D89" s="30" t="inlineStr">
        <is>
          <t>UNKNOWN</t>
        </is>
      </c>
      <c r="E89" s="26">
        <f>IF(ISNUMBER(D89),IF(ISNUMBER(U87),ABS(U87-D89),"N/A"),"N/A")</f>
        <v/>
      </c>
      <c r="F89" s="15">
        <f>IFERROR(IF(ISNUMBER(D89),IF(ISNUMBER(U87),IF(ABS(U87-D89)&lt;=0.01,"PASS","FAIL"),"FAIL"),IF(NOT(ISNUMBER(U87)),IF(U87=D89,"PASS","FAIL"),"FAIL")),"FAIL")</f>
        <v/>
      </c>
    </row>
    <row r="90">
      <c r="B90" s="8" t="inlineStr">
        <is>
          <t>Actual Direct Cost</t>
        </is>
      </c>
      <c r="C90" s="25">
        <f>V87</f>
        <v/>
      </c>
      <c r="D90" s="21" t="n">
        <v>0</v>
      </c>
      <c r="E90" s="26">
        <f>IF(ISNUMBER(D90),IF(ISNUMBER(V87),ABS(V87-D90),"N/A"),"N/A")</f>
        <v/>
      </c>
      <c r="F90" s="15">
        <f>IFERROR(IF(ISNUMBER(D90),IF(ISNUMBER(V87),IF(ABS(V87-D90)&lt;=0.01,"PASS","FAIL"),"FAIL"),IF(NOT(ISNUMBER(V87)),IF(V87=D90,"PASS","FAIL"),"FAIL")),"FAIL")</f>
        <v/>
      </c>
    </row>
    <row r="91">
      <c r="B91" s="8" t="inlineStr">
        <is>
          <t>Direct Cost Gap (ADC − Actual)</t>
        </is>
      </c>
      <c r="C91" s="25">
        <f>W87</f>
        <v/>
      </c>
      <c r="D91" s="30" t="inlineStr">
        <is>
          <t>UNKNOWN</t>
        </is>
      </c>
      <c r="E91" s="26">
        <f>IF(ISNUMBER(D91),IF(ISNUMBER(W87),ABS(W87-D91),"N/A"),"N/A")</f>
        <v/>
      </c>
      <c r="F91" s="15">
        <f>IFERROR(IF(ISNUMBER(D91),IF(ISNUMBER(W87),IF(ABS(W87-D91)&lt;=0.01,"PASS","FAIL"),"FAIL"),IF(NOT(ISNUMBER(W87)),IF(W87=D91,"PASS","FAIL"),"FAIL")),"FAIL")</f>
        <v/>
      </c>
    </row>
    <row r="92">
      <c r="B92" s="8" t="inlineStr">
        <is>
          <t>Expected Contribution Margin</t>
        </is>
      </c>
      <c r="C92" s="25">
        <f>X87</f>
        <v/>
      </c>
      <c r="D92" s="30" t="inlineStr">
        <is>
          <t>UNKNOWN</t>
        </is>
      </c>
      <c r="E92" s="26">
        <f>IF(ISNUMBER(D92),IF(ISNUMBER(X87),ABS(X87-D92),"N/A"),"N/A")</f>
        <v/>
      </c>
      <c r="F92" s="15">
        <f>IFERROR(IF(ISNUMBER(D92),IF(ISNUMBER(X87),IF(ABS(X87-D92)&lt;=0.01,"PASS","FAIL"),"FAIL"),IF(NOT(ISNUMBER(X87)),IF(X87=D92,"PASS","FAIL"),"FAIL")),"FAIL")</f>
        <v/>
      </c>
    </row>
    <row r="93">
      <c r="B93" s="8" t="inlineStr">
        <is>
          <t>Expected CM Rate</t>
        </is>
      </c>
      <c r="C93" s="28">
        <f>Y87</f>
        <v/>
      </c>
      <c r="D93" s="30" t="inlineStr">
        <is>
          <t>UNKNOWN</t>
        </is>
      </c>
      <c r="E93" s="26">
        <f>IF(ISNUMBER(D93),IF(ISNUMBER(Y87),ABS(Y87-D93),"N/A"),"N/A")</f>
        <v/>
      </c>
      <c r="F93" s="15">
        <f>IFERROR(IF(ISNUMBER(D93),IF(ISNUMBER(Y87),IF(ABS(Y87-D93)&lt;=0.0001,"PASS","FAIL"),"FAIL"),IF(NOT(ISNUMBER(Y87)),IF(Y87=D93,"PASS","FAIL"),"FAIL")),"FAIL")</f>
        <v/>
      </c>
    </row>
    <row r="95" ht="20" customHeight="1">
      <c r="B95" s="2" t="inlineStr">
        <is>
          <t>TC10. Target CM rate invalid (t&gt;=1)</t>
        </is>
      </c>
      <c r="C95" s="7" t="n"/>
      <c r="D95" s="7" t="n"/>
      <c r="E95" s="7" t="n"/>
      <c r="F95" s="7" t="n"/>
    </row>
    <row r="96">
      <c r="B96" s="4" t="inlineStr">
        <is>
          <t>Metric</t>
        </is>
      </c>
      <c r="C96" s="4" t="inlineStr">
        <is>
          <t>Excel Result</t>
        </is>
      </c>
      <c r="D96" s="4" t="inlineStr">
        <is>
          <t>Python Reference</t>
        </is>
      </c>
      <c r="E96" s="4" t="inlineStr">
        <is>
          <t>Difference</t>
        </is>
      </c>
      <c r="F96" s="4" t="inlineStr">
        <is>
          <t>PASS / FAIL</t>
        </is>
      </c>
    </row>
    <row r="97">
      <c r="B97" s="8" t="inlineStr">
        <is>
          <t>Market Net Sales ex VAT (N)</t>
        </is>
      </c>
      <c r="C97" s="25">
        <f>S97</f>
        <v/>
      </c>
      <c r="D97" s="21" t="n">
        <v>100000</v>
      </c>
      <c r="E97" s="26">
        <f>IF(ISNUMBER(D97),IF(ISNUMBER(S97),ABS(S97-D97),"N/A"),"N/A")</f>
        <v/>
      </c>
      <c r="F97" s="15">
        <f>IFERROR(IF(ISNUMBER(D97),IF(ISNUMBER(S97),IF(ABS(S97-D97)&lt;=0.01,"PASS","FAIL"),"FAIL"),IF(NOT(ISNUMBER(S97)),IF(S97=D97,"PASS","FAIL"),"FAIL")),"FAIL")</f>
        <v/>
      </c>
      <c r="I97" t="n">
        <v>100000</v>
      </c>
      <c r="J97" t="b">
        <v>0</v>
      </c>
      <c r="L97" t="n">
        <v>1</v>
      </c>
      <c r="M97" t="n">
        <v>0</v>
      </c>
      <c r="N97" t="n">
        <v>0</v>
      </c>
      <c r="O97" t="n">
        <v>0</v>
      </c>
      <c r="P97" t="n">
        <v>0</v>
      </c>
      <c r="Q97" t="inlineStr">
        <is>
          <t>none</t>
        </is>
      </c>
      <c r="R97" t="inlineStr">
        <is>
          <t>none</t>
        </is>
      </c>
      <c r="S97">
        <f>IFERROR(IF(ISBLANK($I$97),"UNKNOWN",IF(ISBLANK($J$97),"UNKNOWN",IF($J$97=FALSE,$I$97,IF(ISBLANK($K$97),"UNKNOWN",$I$97/(1+$K$97))))),"ERROR")</f>
        <v/>
      </c>
      <c r="T97">
        <f>IFERROR(IF(ISBLANK($I$97),"UNKNOWN",IF(ISBLANK($J$97),"UNKNOWN",IF($J$97=TRUE,$I$97,IF(ISBLANK($K$97),"UNKNOWN",$I$97*(1+$K$97))))),"ERROR")</f>
        <v/>
      </c>
      <c r="U97">
        <f>IFERROR(IF(OR(S97="ERROR",Z97="ERROR",AA97="ERROR",AB97="ERROR",AC97="ERROR"),"ERROR",IF(OR(NOT(ISNUMBER(S97)),NOT(ISNUMBER(Z97)),NOT(ISNUMBER(AA97)),NOT(ISNUMBER(AB97)),NOT(ISNUMBER(AC97))),"UNKNOWN",IF(AC97&gt;0,IF(T97="ERROR","ERROR",IF(NOT(ISNUMBER(T97)),"UNKNOWN",S97*(1-Z97-AB97)-AC97*T97-AA97)),S97*(1-Z97-AB97)-AA97))),"ERROR")</f>
        <v/>
      </c>
      <c r="V97">
        <f>IFERROR(IF($R$97="invalid","ERROR",IF($R$97="unresolved","UNKNOWN",IF(ISBLANK($P$97),"UNKNOWN",$P$97))),"ERROR")</f>
        <v/>
      </c>
      <c r="W97">
        <f>IFERROR(IF(OR(U97="ERROR",V97="ERROR"),"ERROR",IF(OR(NOT(ISNUMBER(U97)),NOT(ISNUMBER(V97))),"UNKNOWN",U97-V97)),"ERROR")</f>
        <v/>
      </c>
      <c r="X97">
        <f>IFERROR(IF(U97="ERROR","ERROR",IF(NOT(ISNUMBER(U97)),"UNKNOWN",IF(AC97&gt;0,S97-U97-AA97-AB97*S97-AC97*T97,S97-U97-AA97-AB97*S97))),"ERROR")</f>
        <v/>
      </c>
      <c r="Y97">
        <f>IFERROR(IF(X97="ERROR","ERROR",IF(NOT(ISNUMBER(X97)),"UNKNOWN",IF(S97=0,"ERROR",X97/S97))),"ERROR")</f>
        <v/>
      </c>
      <c r="Z97">
        <f>IFERROR(IF(ISBLANK($L$97),"UNKNOWN",IF(OR($L$97&lt;0,$L$97&gt;=1),"ERROR",$L$97)),"ERROR")</f>
        <v/>
      </c>
      <c r="AA97">
        <f>IFERROR(IF($Q$97="invalid","ERROR",IF($Q$97="unresolved","UNKNOWN",IF(ISBLANK($M$97),"UNKNOWN",$M$97))),"ERROR")</f>
        <v/>
      </c>
      <c r="AB97">
        <f>IFERROR(IF($Q$97="invalid","ERROR",IF($Q$97="unresolved","UNKNOWN",IF(ISBLANK($N$97),"UNKNOWN",$N$97))),"ERROR")</f>
        <v/>
      </c>
      <c r="AC97">
        <f>IFERROR(IF($Q$97="invalid","ERROR",IF($Q$97="unresolved","UNKNOWN",IF(ISBLANK($O$97),"UNKNOWN",$O$97))),"ERROR")</f>
        <v/>
      </c>
    </row>
    <row r="98">
      <c r="B98" s="8" t="inlineStr">
        <is>
          <t>Market Gross Payment incl VAT (G)</t>
        </is>
      </c>
      <c r="C98" s="25">
        <f>T97</f>
        <v/>
      </c>
      <c r="D98" s="30" t="inlineStr">
        <is>
          <t>UNKNOWN</t>
        </is>
      </c>
      <c r="E98" s="26">
        <f>IF(ISNUMBER(D98),IF(ISNUMBER(T97),ABS(T97-D98),"N/A"),"N/A")</f>
        <v/>
      </c>
      <c r="F98" s="15">
        <f>IFERROR(IF(ISNUMBER(D98),IF(ISNUMBER(T97),IF(ABS(T97-D98)&lt;=0.01,"PASS","FAIL"),"FAIL"),IF(NOT(ISNUMBER(T97)),IF(T97=D98,"PASS","FAIL"),"FAIL")),"FAIL")</f>
        <v/>
      </c>
    </row>
    <row r="99">
      <c r="B99" s="8" t="inlineStr">
        <is>
          <t>Allowable Direct Cost (ADC)</t>
        </is>
      </c>
      <c r="C99" s="25">
        <f>U97</f>
        <v/>
      </c>
      <c r="D99" s="30" t="inlineStr">
        <is>
          <t>ERROR</t>
        </is>
      </c>
      <c r="E99" s="26">
        <f>IF(ISNUMBER(D99),IF(ISNUMBER(U97),ABS(U97-D99),"N/A"),"N/A")</f>
        <v/>
      </c>
      <c r="F99" s="15">
        <f>IFERROR(IF(ISNUMBER(D99),IF(ISNUMBER(U97),IF(ABS(U97-D99)&lt;=0.01,"PASS","FAIL"),"FAIL"),IF(NOT(ISNUMBER(U97)),IF(U97=D99,"PASS","FAIL"),"FAIL")),"FAIL")</f>
        <v/>
      </c>
    </row>
    <row r="100">
      <c r="B100" s="8" t="inlineStr">
        <is>
          <t>Actual Direct Cost</t>
        </is>
      </c>
      <c r="C100" s="25">
        <f>V97</f>
        <v/>
      </c>
      <c r="D100" s="21" t="n">
        <v>0</v>
      </c>
      <c r="E100" s="26">
        <f>IF(ISNUMBER(D100),IF(ISNUMBER(V97),ABS(V97-D100),"N/A"),"N/A")</f>
        <v/>
      </c>
      <c r="F100" s="15">
        <f>IFERROR(IF(ISNUMBER(D100),IF(ISNUMBER(V97),IF(ABS(V97-D100)&lt;=0.01,"PASS","FAIL"),"FAIL"),IF(NOT(ISNUMBER(V97)),IF(V97=D100,"PASS","FAIL"),"FAIL")),"FAIL")</f>
        <v/>
      </c>
    </row>
    <row r="101">
      <c r="B101" s="8" t="inlineStr">
        <is>
          <t>Direct Cost Gap (ADC − Actual)</t>
        </is>
      </c>
      <c r="C101" s="25">
        <f>W97</f>
        <v/>
      </c>
      <c r="D101" s="30" t="inlineStr">
        <is>
          <t>ERROR</t>
        </is>
      </c>
      <c r="E101" s="26">
        <f>IF(ISNUMBER(D101),IF(ISNUMBER(W97),ABS(W97-D101),"N/A"),"N/A")</f>
        <v/>
      </c>
      <c r="F101" s="15">
        <f>IFERROR(IF(ISNUMBER(D101),IF(ISNUMBER(W97),IF(ABS(W97-D101)&lt;=0.01,"PASS","FAIL"),"FAIL"),IF(NOT(ISNUMBER(W97)),IF(W97=D101,"PASS","FAIL"),"FAIL")),"FAIL")</f>
        <v/>
      </c>
    </row>
    <row r="102">
      <c r="B102" s="8" t="inlineStr">
        <is>
          <t>Expected Contribution Margin</t>
        </is>
      </c>
      <c r="C102" s="25">
        <f>X97</f>
        <v/>
      </c>
      <c r="D102" s="30" t="inlineStr">
        <is>
          <t>ERROR</t>
        </is>
      </c>
      <c r="E102" s="26">
        <f>IF(ISNUMBER(D102),IF(ISNUMBER(X97),ABS(X97-D102),"N/A"),"N/A")</f>
        <v/>
      </c>
      <c r="F102" s="15">
        <f>IFERROR(IF(ISNUMBER(D102),IF(ISNUMBER(X97),IF(ABS(X97-D102)&lt;=0.01,"PASS","FAIL"),"FAIL"),IF(NOT(ISNUMBER(X97)),IF(X97=D102,"PASS","FAIL"),"FAIL")),"FAIL")</f>
        <v/>
      </c>
    </row>
    <row r="103">
      <c r="B103" s="8" t="inlineStr">
        <is>
          <t>Expected CM Rate</t>
        </is>
      </c>
      <c r="C103" s="28">
        <f>Y97</f>
        <v/>
      </c>
      <c r="D103" s="30" t="inlineStr">
        <is>
          <t>ERROR</t>
        </is>
      </c>
      <c r="E103" s="26">
        <f>IF(ISNUMBER(D103),IF(ISNUMBER(Y97),ABS(Y97-D103),"N/A"),"N/A")</f>
        <v/>
      </c>
      <c r="F103" s="15">
        <f>IFERROR(IF(ISNUMBER(D103),IF(ISNUMBER(Y97),IF(ABS(Y97-D103)&lt;=0.0001,"PASS","FAIL"),"FAIL"),IF(NOT(ISNUMBER(Y97)),IF(Y97=D103,"PASS","FAIL"),"FAIL")),"FAIL")</f>
        <v/>
      </c>
    </row>
    <row r="105" ht="20" customHeight="1">
      <c r="B105" s="2" t="inlineStr">
        <is>
          <t>TC11. Negative allowable direct cost (valid, warning only)</t>
        </is>
      </c>
      <c r="C105" s="7" t="n"/>
      <c r="D105" s="7" t="n"/>
      <c r="E105" s="7" t="n"/>
      <c r="F105" s="7" t="n"/>
    </row>
    <row r="106">
      <c r="B106" s="4" t="inlineStr">
        <is>
          <t>Metric</t>
        </is>
      </c>
      <c r="C106" s="4" t="inlineStr">
        <is>
          <t>Excel Result</t>
        </is>
      </c>
      <c r="D106" s="4" t="inlineStr">
        <is>
          <t>Python Reference</t>
        </is>
      </c>
      <c r="E106" s="4" t="inlineStr">
        <is>
          <t>Difference</t>
        </is>
      </c>
      <c r="F106" s="4" t="inlineStr">
        <is>
          <t>PASS / FAIL</t>
        </is>
      </c>
    </row>
    <row r="107">
      <c r="B107" s="8" t="inlineStr">
        <is>
          <t>Market Net Sales ex VAT (N)</t>
        </is>
      </c>
      <c r="C107" s="25">
        <f>S107</f>
        <v/>
      </c>
      <c r="D107" s="21" t="n">
        <v>10000</v>
      </c>
      <c r="E107" s="26">
        <f>IF(ISNUMBER(D107),IF(ISNUMBER(S107),ABS(S107-D107),"N/A"),"N/A")</f>
        <v/>
      </c>
      <c r="F107" s="15">
        <f>IFERROR(IF(ISNUMBER(D107),IF(ISNUMBER(S107),IF(ABS(S107-D107)&lt;=0.01,"PASS","FAIL"),"FAIL"),IF(NOT(ISNUMBER(S107)),IF(S107=D107,"PASS","FAIL"),"FAIL")),"FAIL")</f>
        <v/>
      </c>
      <c r="I107" t="n">
        <v>10000</v>
      </c>
      <c r="J107" t="b">
        <v>0</v>
      </c>
      <c r="K107" t="n">
        <v>0.1</v>
      </c>
      <c r="L107" t="n">
        <v>0.5</v>
      </c>
      <c r="M107" t="n">
        <v>0</v>
      </c>
      <c r="N107" t="n">
        <v>0.3</v>
      </c>
      <c r="O107" t="n">
        <v>0.3</v>
      </c>
      <c r="P107" t="n">
        <v>0</v>
      </c>
      <c r="Q107" t="inlineStr">
        <is>
          <t>none</t>
        </is>
      </c>
      <c r="R107" t="inlineStr">
        <is>
          <t>none</t>
        </is>
      </c>
      <c r="S107">
        <f>IFERROR(IF(ISBLANK($I$107),"UNKNOWN",IF(ISBLANK($J$107),"UNKNOWN",IF($J$107=FALSE,$I$107,IF(ISBLANK($K$107),"UNKNOWN",$I$107/(1+$K$107))))),"ERROR")</f>
        <v/>
      </c>
      <c r="T107">
        <f>IFERROR(IF(ISBLANK($I$107),"UNKNOWN",IF(ISBLANK($J$107),"UNKNOWN",IF($J$107=TRUE,$I$107,IF(ISBLANK($K$107),"UNKNOWN",$I$107*(1+$K$107))))),"ERROR")</f>
        <v/>
      </c>
      <c r="U107">
        <f>IFERROR(IF(OR(S107="ERROR",Z107="ERROR",AA107="ERROR",AB107="ERROR",AC107="ERROR"),"ERROR",IF(OR(NOT(ISNUMBER(S107)),NOT(ISNUMBER(Z107)),NOT(ISNUMBER(AA107)),NOT(ISNUMBER(AB107)),NOT(ISNUMBER(AC107))),"UNKNOWN",IF(AC107&gt;0,IF(T107="ERROR","ERROR",IF(NOT(ISNUMBER(T107)),"UNKNOWN",S107*(1-Z107-AB107)-AC107*T107-AA107)),S107*(1-Z107-AB107)-AA107))),"ERROR")</f>
        <v/>
      </c>
      <c r="V107">
        <f>IFERROR(IF($R$107="invalid","ERROR",IF($R$107="unresolved","UNKNOWN",IF(ISBLANK($P$107),"UNKNOWN",$P$107))),"ERROR")</f>
        <v/>
      </c>
      <c r="W107">
        <f>IFERROR(IF(OR(U107="ERROR",V107="ERROR"),"ERROR",IF(OR(NOT(ISNUMBER(U107)),NOT(ISNUMBER(V107))),"UNKNOWN",U107-V107)),"ERROR")</f>
        <v/>
      </c>
      <c r="X107">
        <f>IFERROR(IF(U107="ERROR","ERROR",IF(NOT(ISNUMBER(U107)),"UNKNOWN",IF(AC107&gt;0,S107-U107-AA107-AB107*S107-AC107*T107,S107-U107-AA107-AB107*S107))),"ERROR")</f>
        <v/>
      </c>
      <c r="Y107">
        <f>IFERROR(IF(X107="ERROR","ERROR",IF(NOT(ISNUMBER(X107)),"UNKNOWN",IF(S107=0,"ERROR",X107/S107))),"ERROR")</f>
        <v/>
      </c>
      <c r="Z107">
        <f>IFERROR(IF(ISBLANK($L$107),"UNKNOWN",IF(OR($L$107&lt;0,$L$107&gt;=1),"ERROR",$L$107)),"ERROR")</f>
        <v/>
      </c>
      <c r="AA107">
        <f>IFERROR(IF($Q$107="invalid","ERROR",IF($Q$107="unresolved","UNKNOWN",IF(ISBLANK($M$107),"UNKNOWN",$M$107))),"ERROR")</f>
        <v/>
      </c>
      <c r="AB107">
        <f>IFERROR(IF($Q$107="invalid","ERROR",IF($Q$107="unresolved","UNKNOWN",IF(ISBLANK($N$107),"UNKNOWN",$N$107))),"ERROR")</f>
        <v/>
      </c>
      <c r="AC107">
        <f>IFERROR(IF($Q$107="invalid","ERROR",IF($Q$107="unresolved","UNKNOWN",IF(ISBLANK($O$107),"UNKNOWN",$O$107))),"ERROR")</f>
        <v/>
      </c>
    </row>
    <row r="108">
      <c r="B108" s="8" t="inlineStr">
        <is>
          <t>Market Gross Payment incl VAT (G)</t>
        </is>
      </c>
      <c r="C108" s="25">
        <f>T107</f>
        <v/>
      </c>
      <c r="D108" s="21" t="n">
        <v>11000</v>
      </c>
      <c r="E108" s="26">
        <f>IF(ISNUMBER(D108),IF(ISNUMBER(T107),ABS(T107-D108),"N/A"),"N/A")</f>
        <v/>
      </c>
      <c r="F108" s="15">
        <f>IFERROR(IF(ISNUMBER(D108),IF(ISNUMBER(T107),IF(ABS(T107-D108)&lt;=0.01,"PASS","FAIL"),"FAIL"),IF(NOT(ISNUMBER(T107)),IF(T107=D108,"PASS","FAIL"),"FAIL")),"FAIL")</f>
        <v/>
      </c>
    </row>
    <row r="109">
      <c r="B109" s="8" t="inlineStr">
        <is>
          <t>Allowable Direct Cost (ADC)</t>
        </is>
      </c>
      <c r="C109" s="25">
        <f>U107</f>
        <v/>
      </c>
      <c r="D109" s="21" t="n">
        <v>-1300</v>
      </c>
      <c r="E109" s="26">
        <f>IF(ISNUMBER(D109),IF(ISNUMBER(U107),ABS(U107-D109),"N/A"),"N/A")</f>
        <v/>
      </c>
      <c r="F109" s="15">
        <f>IFERROR(IF(ISNUMBER(D109),IF(ISNUMBER(U107),IF(ABS(U107-D109)&lt;=0.01,"PASS","FAIL"),"FAIL"),IF(NOT(ISNUMBER(U107)),IF(U107=D109,"PASS","FAIL"),"FAIL")),"FAIL")</f>
        <v/>
      </c>
    </row>
    <row r="110">
      <c r="B110" s="8" t="inlineStr">
        <is>
          <t>Actual Direct Cost</t>
        </is>
      </c>
      <c r="C110" s="25">
        <f>V107</f>
        <v/>
      </c>
      <c r="D110" s="21" t="n">
        <v>0</v>
      </c>
      <c r="E110" s="26">
        <f>IF(ISNUMBER(D110),IF(ISNUMBER(V107),ABS(V107-D110),"N/A"),"N/A")</f>
        <v/>
      </c>
      <c r="F110" s="15">
        <f>IFERROR(IF(ISNUMBER(D110),IF(ISNUMBER(V107),IF(ABS(V107-D110)&lt;=0.01,"PASS","FAIL"),"FAIL"),IF(NOT(ISNUMBER(V107)),IF(V107=D110,"PASS","FAIL"),"FAIL")),"FAIL")</f>
        <v/>
      </c>
    </row>
    <row r="111">
      <c r="B111" s="8" t="inlineStr">
        <is>
          <t>Direct Cost Gap (ADC − Actual)</t>
        </is>
      </c>
      <c r="C111" s="25">
        <f>W107</f>
        <v/>
      </c>
      <c r="D111" s="21" t="n">
        <v>-1300</v>
      </c>
      <c r="E111" s="26">
        <f>IF(ISNUMBER(D111),IF(ISNUMBER(W107),ABS(W107-D111),"N/A"),"N/A")</f>
        <v/>
      </c>
      <c r="F111" s="15">
        <f>IFERROR(IF(ISNUMBER(D111),IF(ISNUMBER(W107),IF(ABS(W107-D111)&lt;=0.01,"PASS","FAIL"),"FAIL"),IF(NOT(ISNUMBER(W107)),IF(W107=D111,"PASS","FAIL"),"FAIL")),"FAIL")</f>
        <v/>
      </c>
    </row>
    <row r="112">
      <c r="B112" s="8" t="inlineStr">
        <is>
          <t>Expected Contribution Margin</t>
        </is>
      </c>
      <c r="C112" s="25">
        <f>X107</f>
        <v/>
      </c>
      <c r="D112" s="21" t="n">
        <v>5000</v>
      </c>
      <c r="E112" s="26">
        <f>IF(ISNUMBER(D112),IF(ISNUMBER(X107),ABS(X107-D112),"N/A"),"N/A")</f>
        <v/>
      </c>
      <c r="F112" s="15">
        <f>IFERROR(IF(ISNUMBER(D112),IF(ISNUMBER(X107),IF(ABS(X107-D112)&lt;=0.01,"PASS","FAIL"),"FAIL"),IF(NOT(ISNUMBER(X107)),IF(X107=D112,"PASS","FAIL"),"FAIL")),"FAIL")</f>
        <v/>
      </c>
    </row>
    <row r="113">
      <c r="B113" s="8" t="inlineStr">
        <is>
          <t>Expected CM Rate</t>
        </is>
      </c>
      <c r="C113" s="28">
        <f>Y107</f>
        <v/>
      </c>
      <c r="D113" s="29" t="n">
        <v>0.5</v>
      </c>
      <c r="E113" s="26">
        <f>IF(ISNUMBER(D113),IF(ISNUMBER(Y107),ABS(Y107-D113),"N/A"),"N/A")</f>
        <v/>
      </c>
      <c r="F113" s="15">
        <f>IFERROR(IF(ISNUMBER(D113),IF(ISNUMBER(Y107),IF(ABS(Y107-D113)&lt;=0.0001,"PASS","FAIL"),"FAIL"),IF(NOT(ISNUMBER(Y107)),IF(Y107=D113,"PASS","FAIL"),"FAIL")),"FAIL")</f>
        <v/>
      </c>
    </row>
    <row r="115" ht="20" customHeight="1">
      <c r="B115" s="2" t="inlineStr">
        <is>
          <t>TC12. Actual direct cost below allowable (gap &gt; 0)</t>
        </is>
      </c>
      <c r="C115" s="7" t="n"/>
      <c r="D115" s="7" t="n"/>
      <c r="E115" s="7" t="n"/>
      <c r="F115" s="7" t="n"/>
    </row>
    <row r="116">
      <c r="B116" s="4" t="inlineStr">
        <is>
          <t>Metric</t>
        </is>
      </c>
      <c r="C116" s="4" t="inlineStr">
        <is>
          <t>Excel Result</t>
        </is>
      </c>
      <c r="D116" s="4" t="inlineStr">
        <is>
          <t>Python Reference</t>
        </is>
      </c>
      <c r="E116" s="4" t="inlineStr">
        <is>
          <t>Difference</t>
        </is>
      </c>
      <c r="F116" s="4" t="inlineStr">
        <is>
          <t>PASS / FAIL</t>
        </is>
      </c>
    </row>
    <row r="117">
      <c r="B117" s="8" t="inlineStr">
        <is>
          <t>Market Net Sales ex VAT (N)</t>
        </is>
      </c>
      <c r="C117" s="25">
        <f>S117</f>
        <v/>
      </c>
      <c r="D117" s="21" t="n">
        <v>100000</v>
      </c>
      <c r="E117" s="26">
        <f>IF(ISNUMBER(D117),IF(ISNUMBER(S117),ABS(S117-D117),"N/A"),"N/A")</f>
        <v/>
      </c>
      <c r="F117" s="15">
        <f>IFERROR(IF(ISNUMBER(D117),IF(ISNUMBER(S117),IF(ABS(S117-D117)&lt;=0.01,"PASS","FAIL"),"FAIL"),IF(NOT(ISNUMBER(S117)),IF(S117=D117,"PASS","FAIL"),"FAIL")),"FAIL")</f>
        <v/>
      </c>
      <c r="I117" t="n">
        <v>100000</v>
      </c>
      <c r="J117" t="b">
        <v>0</v>
      </c>
      <c r="L117" t="n">
        <v>0.3</v>
      </c>
      <c r="M117" t="n">
        <v>0</v>
      </c>
      <c r="N117" t="n">
        <v>0</v>
      </c>
      <c r="O117" t="n">
        <v>0</v>
      </c>
      <c r="P117" t="n">
        <v>50000</v>
      </c>
      <c r="Q117" t="inlineStr">
        <is>
          <t>none</t>
        </is>
      </c>
      <c r="R117" t="inlineStr">
        <is>
          <t>none</t>
        </is>
      </c>
      <c r="S117">
        <f>IFERROR(IF(ISBLANK($I$117),"UNKNOWN",IF(ISBLANK($J$117),"UNKNOWN",IF($J$117=FALSE,$I$117,IF(ISBLANK($K$117),"UNKNOWN",$I$117/(1+$K$117))))),"ERROR")</f>
        <v/>
      </c>
      <c r="T117">
        <f>IFERROR(IF(ISBLANK($I$117),"UNKNOWN",IF(ISBLANK($J$117),"UNKNOWN",IF($J$117=TRUE,$I$117,IF(ISBLANK($K$117),"UNKNOWN",$I$117*(1+$K$117))))),"ERROR")</f>
        <v/>
      </c>
      <c r="U117">
        <f>IFERROR(IF(OR(S117="ERROR",Z117="ERROR",AA117="ERROR",AB117="ERROR",AC117="ERROR"),"ERROR",IF(OR(NOT(ISNUMBER(S117)),NOT(ISNUMBER(Z117)),NOT(ISNUMBER(AA117)),NOT(ISNUMBER(AB117)),NOT(ISNUMBER(AC117))),"UNKNOWN",IF(AC117&gt;0,IF(T117="ERROR","ERROR",IF(NOT(ISNUMBER(T117)),"UNKNOWN",S117*(1-Z117-AB117)-AC117*T117-AA117)),S117*(1-Z117-AB117)-AA117))),"ERROR")</f>
        <v/>
      </c>
      <c r="V117">
        <f>IFERROR(IF($R$117="invalid","ERROR",IF($R$117="unresolved","UNKNOWN",IF(ISBLANK($P$117),"UNKNOWN",$P$117))),"ERROR")</f>
        <v/>
      </c>
      <c r="W117">
        <f>IFERROR(IF(OR(U117="ERROR",V117="ERROR"),"ERROR",IF(OR(NOT(ISNUMBER(U117)),NOT(ISNUMBER(V117))),"UNKNOWN",U117-V117)),"ERROR")</f>
        <v/>
      </c>
      <c r="X117">
        <f>IFERROR(IF(U117="ERROR","ERROR",IF(NOT(ISNUMBER(U117)),"UNKNOWN",IF(AC117&gt;0,S117-U117-AA117-AB117*S117-AC117*T117,S117-U117-AA117-AB117*S117))),"ERROR")</f>
        <v/>
      </c>
      <c r="Y117">
        <f>IFERROR(IF(X117="ERROR","ERROR",IF(NOT(ISNUMBER(X117)),"UNKNOWN",IF(S117=0,"ERROR",X117/S117))),"ERROR")</f>
        <v/>
      </c>
      <c r="Z117">
        <f>IFERROR(IF(ISBLANK($L$117),"UNKNOWN",IF(OR($L$117&lt;0,$L$117&gt;=1),"ERROR",$L$117)),"ERROR")</f>
        <v/>
      </c>
      <c r="AA117">
        <f>IFERROR(IF($Q$117="invalid","ERROR",IF($Q$117="unresolved","UNKNOWN",IF(ISBLANK($M$117),"UNKNOWN",$M$117))),"ERROR")</f>
        <v/>
      </c>
      <c r="AB117">
        <f>IFERROR(IF($Q$117="invalid","ERROR",IF($Q$117="unresolved","UNKNOWN",IF(ISBLANK($N$117),"UNKNOWN",$N$117))),"ERROR")</f>
        <v/>
      </c>
      <c r="AC117">
        <f>IFERROR(IF($Q$117="invalid","ERROR",IF($Q$117="unresolved","UNKNOWN",IF(ISBLANK($O$117),"UNKNOWN",$O$117))),"ERROR")</f>
        <v/>
      </c>
    </row>
    <row r="118">
      <c r="B118" s="8" t="inlineStr">
        <is>
          <t>Market Gross Payment incl VAT (G)</t>
        </is>
      </c>
      <c r="C118" s="25">
        <f>T117</f>
        <v/>
      </c>
      <c r="D118" s="30" t="inlineStr">
        <is>
          <t>UNKNOWN</t>
        </is>
      </c>
      <c r="E118" s="26">
        <f>IF(ISNUMBER(D118),IF(ISNUMBER(T117),ABS(T117-D118),"N/A"),"N/A")</f>
        <v/>
      </c>
      <c r="F118" s="15">
        <f>IFERROR(IF(ISNUMBER(D118),IF(ISNUMBER(T117),IF(ABS(T117-D118)&lt;=0.01,"PASS","FAIL"),"FAIL"),IF(NOT(ISNUMBER(T117)),IF(T117=D118,"PASS","FAIL"),"FAIL")),"FAIL")</f>
        <v/>
      </c>
    </row>
    <row r="119">
      <c r="B119" s="8" t="inlineStr">
        <is>
          <t>Allowable Direct Cost (ADC)</t>
        </is>
      </c>
      <c r="C119" s="25">
        <f>U117</f>
        <v/>
      </c>
      <c r="D119" s="21" t="n">
        <v>70000</v>
      </c>
      <c r="E119" s="26">
        <f>IF(ISNUMBER(D119),IF(ISNUMBER(U117),ABS(U117-D119),"N/A"),"N/A")</f>
        <v/>
      </c>
      <c r="F119" s="15">
        <f>IFERROR(IF(ISNUMBER(D119),IF(ISNUMBER(U117),IF(ABS(U117-D119)&lt;=0.01,"PASS","FAIL"),"FAIL"),IF(NOT(ISNUMBER(U117)),IF(U117=D119,"PASS","FAIL"),"FAIL")),"FAIL")</f>
        <v/>
      </c>
    </row>
    <row r="120">
      <c r="B120" s="8" t="inlineStr">
        <is>
          <t>Actual Direct Cost</t>
        </is>
      </c>
      <c r="C120" s="25">
        <f>V117</f>
        <v/>
      </c>
      <c r="D120" s="21" t="n">
        <v>50000</v>
      </c>
      <c r="E120" s="26">
        <f>IF(ISNUMBER(D120),IF(ISNUMBER(V117),ABS(V117-D120),"N/A"),"N/A")</f>
        <v/>
      </c>
      <c r="F120" s="15">
        <f>IFERROR(IF(ISNUMBER(D120),IF(ISNUMBER(V117),IF(ABS(V117-D120)&lt;=0.01,"PASS","FAIL"),"FAIL"),IF(NOT(ISNUMBER(V117)),IF(V117=D120,"PASS","FAIL"),"FAIL")),"FAIL")</f>
        <v/>
      </c>
    </row>
    <row r="121">
      <c r="B121" s="8" t="inlineStr">
        <is>
          <t>Direct Cost Gap (ADC − Actual)</t>
        </is>
      </c>
      <c r="C121" s="25">
        <f>W117</f>
        <v/>
      </c>
      <c r="D121" s="21" t="n">
        <v>20000</v>
      </c>
      <c r="E121" s="26">
        <f>IF(ISNUMBER(D121),IF(ISNUMBER(W117),ABS(W117-D121),"N/A"),"N/A")</f>
        <v/>
      </c>
      <c r="F121" s="15">
        <f>IFERROR(IF(ISNUMBER(D121),IF(ISNUMBER(W117),IF(ABS(W117-D121)&lt;=0.01,"PASS","FAIL"),"FAIL"),IF(NOT(ISNUMBER(W117)),IF(W117=D121,"PASS","FAIL"),"FAIL")),"FAIL")</f>
        <v/>
      </c>
    </row>
    <row r="122">
      <c r="B122" s="8" t="inlineStr">
        <is>
          <t>Expected Contribution Margin</t>
        </is>
      </c>
      <c r="C122" s="25">
        <f>X117</f>
        <v/>
      </c>
      <c r="D122" s="21" t="n">
        <v>30000</v>
      </c>
      <c r="E122" s="26">
        <f>IF(ISNUMBER(D122),IF(ISNUMBER(X117),ABS(X117-D122),"N/A"),"N/A")</f>
        <v/>
      </c>
      <c r="F122" s="15">
        <f>IFERROR(IF(ISNUMBER(D122),IF(ISNUMBER(X117),IF(ABS(X117-D122)&lt;=0.01,"PASS","FAIL"),"FAIL"),IF(NOT(ISNUMBER(X117)),IF(X117=D122,"PASS","FAIL"),"FAIL")),"FAIL")</f>
        <v/>
      </c>
    </row>
    <row r="123">
      <c r="B123" s="8" t="inlineStr">
        <is>
          <t>Expected CM Rate</t>
        </is>
      </c>
      <c r="C123" s="28">
        <f>Y117</f>
        <v/>
      </c>
      <c r="D123" s="29" t="n">
        <v>0.3</v>
      </c>
      <c r="E123" s="26">
        <f>IF(ISNUMBER(D123),IF(ISNUMBER(Y117),ABS(Y117-D123),"N/A"),"N/A")</f>
        <v/>
      </c>
      <c r="F123" s="15">
        <f>IFERROR(IF(ISNUMBER(D123),IF(ISNUMBER(Y117),IF(ABS(Y117-D123)&lt;=0.0001,"PASS","FAIL"),"FAIL"),IF(NOT(ISNUMBER(Y117)),IF(Y117=D123,"PASS","FAIL"),"FAIL")),"FAIL")</f>
        <v/>
      </c>
    </row>
    <row r="125" ht="20" customHeight="1">
      <c r="B125" s="2" t="inlineStr">
        <is>
          <t>TC13. Actual direct cost above allowable (gap &lt; 0)</t>
        </is>
      </c>
      <c r="C125" s="7" t="n"/>
      <c r="D125" s="7" t="n"/>
      <c r="E125" s="7" t="n"/>
      <c r="F125" s="7" t="n"/>
    </row>
    <row r="126">
      <c r="B126" s="4" t="inlineStr">
        <is>
          <t>Metric</t>
        </is>
      </c>
      <c r="C126" s="4" t="inlineStr">
        <is>
          <t>Excel Result</t>
        </is>
      </c>
      <c r="D126" s="4" t="inlineStr">
        <is>
          <t>Python Reference</t>
        </is>
      </c>
      <c r="E126" s="4" t="inlineStr">
        <is>
          <t>Difference</t>
        </is>
      </c>
      <c r="F126" s="4" t="inlineStr">
        <is>
          <t>PASS / FAIL</t>
        </is>
      </c>
    </row>
    <row r="127">
      <c r="B127" s="8" t="inlineStr">
        <is>
          <t>Market Net Sales ex VAT (N)</t>
        </is>
      </c>
      <c r="C127" s="25">
        <f>S127</f>
        <v/>
      </c>
      <c r="D127" s="21" t="n">
        <v>100000</v>
      </c>
      <c r="E127" s="26">
        <f>IF(ISNUMBER(D127),IF(ISNUMBER(S127),ABS(S127-D127),"N/A"),"N/A")</f>
        <v/>
      </c>
      <c r="F127" s="15">
        <f>IFERROR(IF(ISNUMBER(D127),IF(ISNUMBER(S127),IF(ABS(S127-D127)&lt;=0.01,"PASS","FAIL"),"FAIL"),IF(NOT(ISNUMBER(S127)),IF(S127=D127,"PASS","FAIL"),"FAIL")),"FAIL")</f>
        <v/>
      </c>
      <c r="I127" t="n">
        <v>100000</v>
      </c>
      <c r="J127" t="b">
        <v>0</v>
      </c>
      <c r="L127" t="n">
        <v>0.3</v>
      </c>
      <c r="M127" t="n">
        <v>0</v>
      </c>
      <c r="N127" t="n">
        <v>0</v>
      </c>
      <c r="O127" t="n">
        <v>0</v>
      </c>
      <c r="P127" t="n">
        <v>90000</v>
      </c>
      <c r="Q127" t="inlineStr">
        <is>
          <t>none</t>
        </is>
      </c>
      <c r="R127" t="inlineStr">
        <is>
          <t>none</t>
        </is>
      </c>
      <c r="S127">
        <f>IFERROR(IF(ISBLANK($I$127),"UNKNOWN",IF(ISBLANK($J$127),"UNKNOWN",IF($J$127=FALSE,$I$127,IF(ISBLANK($K$127),"UNKNOWN",$I$127/(1+$K$127))))),"ERROR")</f>
        <v/>
      </c>
      <c r="T127">
        <f>IFERROR(IF(ISBLANK($I$127),"UNKNOWN",IF(ISBLANK($J$127),"UNKNOWN",IF($J$127=TRUE,$I$127,IF(ISBLANK($K$127),"UNKNOWN",$I$127*(1+$K$127))))),"ERROR")</f>
        <v/>
      </c>
      <c r="U127">
        <f>IFERROR(IF(OR(S127="ERROR",Z127="ERROR",AA127="ERROR",AB127="ERROR",AC127="ERROR"),"ERROR",IF(OR(NOT(ISNUMBER(S127)),NOT(ISNUMBER(Z127)),NOT(ISNUMBER(AA127)),NOT(ISNUMBER(AB127)),NOT(ISNUMBER(AC127))),"UNKNOWN",IF(AC127&gt;0,IF(T127="ERROR","ERROR",IF(NOT(ISNUMBER(T127)),"UNKNOWN",S127*(1-Z127-AB127)-AC127*T127-AA127)),S127*(1-Z127-AB127)-AA127))),"ERROR")</f>
        <v/>
      </c>
      <c r="V127">
        <f>IFERROR(IF($R$127="invalid","ERROR",IF($R$127="unresolved","UNKNOWN",IF(ISBLANK($P$127),"UNKNOWN",$P$127))),"ERROR")</f>
        <v/>
      </c>
      <c r="W127">
        <f>IFERROR(IF(OR(U127="ERROR",V127="ERROR"),"ERROR",IF(OR(NOT(ISNUMBER(U127)),NOT(ISNUMBER(V127))),"UNKNOWN",U127-V127)),"ERROR")</f>
        <v/>
      </c>
      <c r="X127">
        <f>IFERROR(IF(U127="ERROR","ERROR",IF(NOT(ISNUMBER(U127)),"UNKNOWN",IF(AC127&gt;0,S127-U127-AA127-AB127*S127-AC127*T127,S127-U127-AA127-AB127*S127))),"ERROR")</f>
        <v/>
      </c>
      <c r="Y127">
        <f>IFERROR(IF(X127="ERROR","ERROR",IF(NOT(ISNUMBER(X127)),"UNKNOWN",IF(S127=0,"ERROR",X127/S127))),"ERROR")</f>
        <v/>
      </c>
      <c r="Z127">
        <f>IFERROR(IF(ISBLANK($L$127),"UNKNOWN",IF(OR($L$127&lt;0,$L$127&gt;=1),"ERROR",$L$127)),"ERROR")</f>
        <v/>
      </c>
      <c r="AA127">
        <f>IFERROR(IF($Q$127="invalid","ERROR",IF($Q$127="unresolved","UNKNOWN",IF(ISBLANK($M$127),"UNKNOWN",$M$127))),"ERROR")</f>
        <v/>
      </c>
      <c r="AB127">
        <f>IFERROR(IF($Q$127="invalid","ERROR",IF($Q$127="unresolved","UNKNOWN",IF(ISBLANK($N$127),"UNKNOWN",$N$127))),"ERROR")</f>
        <v/>
      </c>
      <c r="AC127">
        <f>IFERROR(IF($Q$127="invalid","ERROR",IF($Q$127="unresolved","UNKNOWN",IF(ISBLANK($O$127),"UNKNOWN",$O$127))),"ERROR")</f>
        <v/>
      </c>
    </row>
    <row r="128">
      <c r="B128" s="8" t="inlineStr">
        <is>
          <t>Market Gross Payment incl VAT (G)</t>
        </is>
      </c>
      <c r="C128" s="25">
        <f>T127</f>
        <v/>
      </c>
      <c r="D128" s="30" t="inlineStr">
        <is>
          <t>UNKNOWN</t>
        </is>
      </c>
      <c r="E128" s="26">
        <f>IF(ISNUMBER(D128),IF(ISNUMBER(T127),ABS(T127-D128),"N/A"),"N/A")</f>
        <v/>
      </c>
      <c r="F128" s="15">
        <f>IFERROR(IF(ISNUMBER(D128),IF(ISNUMBER(T127),IF(ABS(T127-D128)&lt;=0.01,"PASS","FAIL"),"FAIL"),IF(NOT(ISNUMBER(T127)),IF(T127=D128,"PASS","FAIL"),"FAIL")),"FAIL")</f>
        <v/>
      </c>
    </row>
    <row r="129">
      <c r="B129" s="8" t="inlineStr">
        <is>
          <t>Allowable Direct Cost (ADC)</t>
        </is>
      </c>
      <c r="C129" s="25">
        <f>U127</f>
        <v/>
      </c>
      <c r="D129" s="21" t="n">
        <v>70000</v>
      </c>
      <c r="E129" s="26">
        <f>IF(ISNUMBER(D129),IF(ISNUMBER(U127),ABS(U127-D129),"N/A"),"N/A")</f>
        <v/>
      </c>
      <c r="F129" s="15">
        <f>IFERROR(IF(ISNUMBER(D129),IF(ISNUMBER(U127),IF(ABS(U127-D129)&lt;=0.01,"PASS","FAIL"),"FAIL"),IF(NOT(ISNUMBER(U127)),IF(U127=D129,"PASS","FAIL"),"FAIL")),"FAIL")</f>
        <v/>
      </c>
    </row>
    <row r="130">
      <c r="B130" s="8" t="inlineStr">
        <is>
          <t>Actual Direct Cost</t>
        </is>
      </c>
      <c r="C130" s="25">
        <f>V127</f>
        <v/>
      </c>
      <c r="D130" s="21" t="n">
        <v>90000</v>
      </c>
      <c r="E130" s="26">
        <f>IF(ISNUMBER(D130),IF(ISNUMBER(V127),ABS(V127-D130),"N/A"),"N/A")</f>
        <v/>
      </c>
      <c r="F130" s="15">
        <f>IFERROR(IF(ISNUMBER(D130),IF(ISNUMBER(V127),IF(ABS(V127-D130)&lt;=0.01,"PASS","FAIL"),"FAIL"),IF(NOT(ISNUMBER(V127)),IF(V127=D130,"PASS","FAIL"),"FAIL")),"FAIL")</f>
        <v/>
      </c>
    </row>
    <row r="131">
      <c r="B131" s="8" t="inlineStr">
        <is>
          <t>Direct Cost Gap (ADC − Actual)</t>
        </is>
      </c>
      <c r="C131" s="25">
        <f>W127</f>
        <v/>
      </c>
      <c r="D131" s="21" t="n">
        <v>-20000</v>
      </c>
      <c r="E131" s="26">
        <f>IF(ISNUMBER(D131),IF(ISNUMBER(W127),ABS(W127-D131),"N/A"),"N/A")</f>
        <v/>
      </c>
      <c r="F131" s="15">
        <f>IFERROR(IF(ISNUMBER(D131),IF(ISNUMBER(W127),IF(ABS(W127-D131)&lt;=0.01,"PASS","FAIL"),"FAIL"),IF(NOT(ISNUMBER(W127)),IF(W127=D131,"PASS","FAIL"),"FAIL")),"FAIL")</f>
        <v/>
      </c>
    </row>
    <row r="132">
      <c r="B132" s="8" t="inlineStr">
        <is>
          <t>Expected Contribution Margin</t>
        </is>
      </c>
      <c r="C132" s="25">
        <f>X127</f>
        <v/>
      </c>
      <c r="D132" s="21" t="n">
        <v>30000</v>
      </c>
      <c r="E132" s="26">
        <f>IF(ISNUMBER(D132),IF(ISNUMBER(X127),ABS(X127-D132),"N/A"),"N/A")</f>
        <v/>
      </c>
      <c r="F132" s="15">
        <f>IFERROR(IF(ISNUMBER(D132),IF(ISNUMBER(X127),IF(ABS(X127-D132)&lt;=0.01,"PASS","FAIL"),"FAIL"),IF(NOT(ISNUMBER(X127)),IF(X127=D132,"PASS","FAIL"),"FAIL")),"FAIL")</f>
        <v/>
      </c>
    </row>
    <row r="133">
      <c r="B133" s="8" t="inlineStr">
        <is>
          <t>Expected CM Rate</t>
        </is>
      </c>
      <c r="C133" s="28">
        <f>Y127</f>
        <v/>
      </c>
      <c r="D133" s="29" t="n">
        <v>0.3</v>
      </c>
      <c r="E133" s="26">
        <f>IF(ISNUMBER(D133),IF(ISNUMBER(Y127),ABS(Y127-D133),"N/A"),"N/A")</f>
        <v/>
      </c>
      <c r="F133" s="15">
        <f>IFERROR(IF(ISNUMBER(D133),IF(ISNUMBER(Y127),IF(ABS(Y127-D133)&lt;=0.0001,"PASS","FAIL"),"FAIL"),IF(NOT(ISNUMBER(Y127)),IF(Y127=D133,"PASS","FAIL"),"FAIL")),"FAIL")</f>
        <v/>
      </c>
    </row>
    <row r="135" ht="20" customHeight="1">
      <c r="B135" s="2" t="inlineStr">
        <is>
          <t>TC14. Unresolved shared cost (F item) -&gt; ADC UNKNOWN</t>
        </is>
      </c>
      <c r="C135" s="7" t="n"/>
      <c r="D135" s="7" t="n"/>
      <c r="E135" s="7" t="n"/>
      <c r="F135" s="7" t="n"/>
    </row>
    <row r="136">
      <c r="B136" s="4" t="inlineStr">
        <is>
          <t>Metric</t>
        </is>
      </c>
      <c r="C136" s="4" t="inlineStr">
        <is>
          <t>Excel Result</t>
        </is>
      </c>
      <c r="D136" s="4" t="inlineStr">
        <is>
          <t>Python Reference</t>
        </is>
      </c>
      <c r="E136" s="4" t="inlineStr">
        <is>
          <t>Difference</t>
        </is>
      </c>
      <c r="F136" s="4" t="inlineStr">
        <is>
          <t>PASS / FAIL</t>
        </is>
      </c>
    </row>
    <row r="137">
      <c r="B137" s="8" t="inlineStr">
        <is>
          <t>Market Net Sales ex VAT (N)</t>
        </is>
      </c>
      <c r="C137" s="25">
        <f>S137</f>
        <v/>
      </c>
      <c r="D137" s="21" t="n">
        <v>100000</v>
      </c>
      <c r="E137" s="26">
        <f>IF(ISNUMBER(D137),IF(ISNUMBER(S137),ABS(S137-D137),"N/A"),"N/A")</f>
        <v/>
      </c>
      <c r="F137" s="15">
        <f>IFERROR(IF(ISNUMBER(D137),IF(ISNUMBER(S137),IF(ABS(S137-D137)&lt;=0.01,"PASS","FAIL"),"FAIL"),IF(NOT(ISNUMBER(S137)),IF(S137=D137,"PASS","FAIL"),"FAIL")),"FAIL")</f>
        <v/>
      </c>
      <c r="I137" t="n">
        <v>100000</v>
      </c>
      <c r="J137" t="b">
        <v>0</v>
      </c>
      <c r="L137" t="n">
        <v>0.3</v>
      </c>
      <c r="M137" t="n">
        <v>0</v>
      </c>
      <c r="N137" t="n">
        <v>0</v>
      </c>
      <c r="O137" t="n">
        <v>0</v>
      </c>
      <c r="P137" t="n">
        <v>0</v>
      </c>
      <c r="Q137" t="inlineStr">
        <is>
          <t>unresolved</t>
        </is>
      </c>
      <c r="R137" t="inlineStr">
        <is>
          <t>none</t>
        </is>
      </c>
      <c r="S137">
        <f>IFERROR(IF(ISBLANK($I$137),"UNKNOWN",IF(ISBLANK($J$137),"UNKNOWN",IF($J$137=FALSE,$I$137,IF(ISBLANK($K$137),"UNKNOWN",$I$137/(1+$K$137))))),"ERROR")</f>
        <v/>
      </c>
      <c r="T137">
        <f>IFERROR(IF(ISBLANK($I$137),"UNKNOWN",IF(ISBLANK($J$137),"UNKNOWN",IF($J$137=TRUE,$I$137,IF(ISBLANK($K$137),"UNKNOWN",$I$137*(1+$K$137))))),"ERROR")</f>
        <v/>
      </c>
      <c r="U137">
        <f>IFERROR(IF(OR(S137="ERROR",Z137="ERROR",AA137="ERROR",AB137="ERROR",AC137="ERROR"),"ERROR",IF(OR(NOT(ISNUMBER(S137)),NOT(ISNUMBER(Z137)),NOT(ISNUMBER(AA137)),NOT(ISNUMBER(AB137)),NOT(ISNUMBER(AC137))),"UNKNOWN",IF(AC137&gt;0,IF(T137="ERROR","ERROR",IF(NOT(ISNUMBER(T137)),"UNKNOWN",S137*(1-Z137-AB137)-AC137*T137-AA137)),S137*(1-Z137-AB137)-AA137))),"ERROR")</f>
        <v/>
      </c>
      <c r="V137">
        <f>IFERROR(IF($R$137="invalid","ERROR",IF($R$137="unresolved","UNKNOWN",IF(ISBLANK($P$137),"UNKNOWN",$P$137))),"ERROR")</f>
        <v/>
      </c>
      <c r="W137">
        <f>IFERROR(IF(OR(U137="ERROR",V137="ERROR"),"ERROR",IF(OR(NOT(ISNUMBER(U137)),NOT(ISNUMBER(V137))),"UNKNOWN",U137-V137)),"ERROR")</f>
        <v/>
      </c>
      <c r="X137">
        <f>IFERROR(IF(U137="ERROR","ERROR",IF(NOT(ISNUMBER(U137)),"UNKNOWN",IF(AC137&gt;0,S137-U137-AA137-AB137*S137-AC137*T137,S137-U137-AA137-AB137*S137))),"ERROR")</f>
        <v/>
      </c>
      <c r="Y137">
        <f>IFERROR(IF(X137="ERROR","ERROR",IF(NOT(ISNUMBER(X137)),"UNKNOWN",IF(S137=0,"ERROR",X137/S137))),"ERROR")</f>
        <v/>
      </c>
      <c r="Z137">
        <f>IFERROR(IF(ISBLANK($L$137),"UNKNOWN",IF(OR($L$137&lt;0,$L$137&gt;=1),"ERROR",$L$137)),"ERROR")</f>
        <v/>
      </c>
      <c r="AA137">
        <f>IFERROR(IF($Q$137="invalid","ERROR",IF($Q$137="unresolved","UNKNOWN",IF(ISBLANK($M$137),"UNKNOWN",$M$137))),"ERROR")</f>
        <v/>
      </c>
      <c r="AB137">
        <f>IFERROR(IF($Q$137="invalid","ERROR",IF($Q$137="unresolved","UNKNOWN",IF(ISBLANK($N$137),"UNKNOWN",$N$137))),"ERROR")</f>
        <v/>
      </c>
      <c r="AC137">
        <f>IFERROR(IF($Q$137="invalid","ERROR",IF($Q$137="unresolved","UNKNOWN",IF(ISBLANK($O$137),"UNKNOWN",$O$137))),"ERROR")</f>
        <v/>
      </c>
    </row>
    <row r="138">
      <c r="B138" s="8" t="inlineStr">
        <is>
          <t>Market Gross Payment incl VAT (G)</t>
        </is>
      </c>
      <c r="C138" s="25">
        <f>T137</f>
        <v/>
      </c>
      <c r="D138" s="30" t="inlineStr">
        <is>
          <t>UNKNOWN</t>
        </is>
      </c>
      <c r="E138" s="26">
        <f>IF(ISNUMBER(D138),IF(ISNUMBER(T137),ABS(T137-D138),"N/A"),"N/A")</f>
        <v/>
      </c>
      <c r="F138" s="15">
        <f>IFERROR(IF(ISNUMBER(D138),IF(ISNUMBER(T137),IF(ABS(T137-D138)&lt;=0.01,"PASS","FAIL"),"FAIL"),IF(NOT(ISNUMBER(T137)),IF(T137=D138,"PASS","FAIL"),"FAIL")),"FAIL")</f>
        <v/>
      </c>
    </row>
    <row r="139">
      <c r="B139" s="8" t="inlineStr">
        <is>
          <t>Allowable Direct Cost (ADC)</t>
        </is>
      </c>
      <c r="C139" s="25">
        <f>U137</f>
        <v/>
      </c>
      <c r="D139" s="30" t="inlineStr">
        <is>
          <t>UNKNOWN</t>
        </is>
      </c>
      <c r="E139" s="26">
        <f>IF(ISNUMBER(D139),IF(ISNUMBER(U137),ABS(U137-D139),"N/A"),"N/A")</f>
        <v/>
      </c>
      <c r="F139" s="15">
        <f>IFERROR(IF(ISNUMBER(D139),IF(ISNUMBER(U137),IF(ABS(U137-D139)&lt;=0.01,"PASS","FAIL"),"FAIL"),IF(NOT(ISNUMBER(U137)),IF(U137=D139,"PASS","FAIL"),"FAIL")),"FAIL")</f>
        <v/>
      </c>
    </row>
    <row r="140">
      <c r="B140" s="8" t="inlineStr">
        <is>
          <t>Actual Direct Cost</t>
        </is>
      </c>
      <c r="C140" s="25">
        <f>V137</f>
        <v/>
      </c>
      <c r="D140" s="21" t="n">
        <v>0</v>
      </c>
      <c r="E140" s="26">
        <f>IF(ISNUMBER(D140),IF(ISNUMBER(V137),ABS(V137-D140),"N/A"),"N/A")</f>
        <v/>
      </c>
      <c r="F140" s="15">
        <f>IFERROR(IF(ISNUMBER(D140),IF(ISNUMBER(V137),IF(ABS(V137-D140)&lt;=0.01,"PASS","FAIL"),"FAIL"),IF(NOT(ISNUMBER(V137)),IF(V137=D140,"PASS","FAIL"),"FAIL")),"FAIL")</f>
        <v/>
      </c>
    </row>
    <row r="141">
      <c r="B141" s="8" t="inlineStr">
        <is>
          <t>Direct Cost Gap (ADC − Actual)</t>
        </is>
      </c>
      <c r="C141" s="25">
        <f>W137</f>
        <v/>
      </c>
      <c r="D141" s="30" t="inlineStr">
        <is>
          <t>UNKNOWN</t>
        </is>
      </c>
      <c r="E141" s="26">
        <f>IF(ISNUMBER(D141),IF(ISNUMBER(W137),ABS(W137-D141),"N/A"),"N/A")</f>
        <v/>
      </c>
      <c r="F141" s="15">
        <f>IFERROR(IF(ISNUMBER(D141),IF(ISNUMBER(W137),IF(ABS(W137-D141)&lt;=0.01,"PASS","FAIL"),"FAIL"),IF(NOT(ISNUMBER(W137)),IF(W137=D141,"PASS","FAIL"),"FAIL")),"FAIL")</f>
        <v/>
      </c>
    </row>
    <row r="142">
      <c r="B142" s="8" t="inlineStr">
        <is>
          <t>Expected Contribution Margin</t>
        </is>
      </c>
      <c r="C142" s="25">
        <f>X137</f>
        <v/>
      </c>
      <c r="D142" s="30" t="inlineStr">
        <is>
          <t>UNKNOWN</t>
        </is>
      </c>
      <c r="E142" s="26">
        <f>IF(ISNUMBER(D142),IF(ISNUMBER(X137),ABS(X137-D142),"N/A"),"N/A")</f>
        <v/>
      </c>
      <c r="F142" s="15">
        <f>IFERROR(IF(ISNUMBER(D142),IF(ISNUMBER(X137),IF(ABS(X137-D142)&lt;=0.01,"PASS","FAIL"),"FAIL"),IF(NOT(ISNUMBER(X137)),IF(X137=D142,"PASS","FAIL"),"FAIL")),"FAIL")</f>
        <v/>
      </c>
    </row>
    <row r="143">
      <c r="B143" s="8" t="inlineStr">
        <is>
          <t>Expected CM Rate</t>
        </is>
      </c>
      <c r="C143" s="28">
        <f>Y137</f>
        <v/>
      </c>
      <c r="D143" s="30" t="inlineStr">
        <is>
          <t>UNKNOWN</t>
        </is>
      </c>
      <c r="E143" s="26">
        <f>IF(ISNUMBER(D143),IF(ISNUMBER(Y137),ABS(Y137-D143),"N/A"),"N/A")</f>
        <v/>
      </c>
      <c r="F143" s="15">
        <f>IFERROR(IF(ISNUMBER(D143),IF(ISNUMBER(Y137),IF(ABS(Y137-D143)&lt;=0.0001,"PASS","FAIL"),"FAIL"),IF(NOT(ISNUMBER(Y137)),IF(Y137=D143,"PASS","FAIL"),"FAIL")),"FAIL")</f>
        <v/>
      </c>
    </row>
    <row r="145" ht="20" customHeight="1">
      <c r="B145" s="2" t="inlineStr">
        <is>
          <t>TC15. Shared + direct invalid configuration -&gt; ADC ERROR</t>
        </is>
      </c>
      <c r="C145" s="7" t="n"/>
      <c r="D145" s="7" t="n"/>
      <c r="E145" s="7" t="n"/>
      <c r="F145" s="7" t="n"/>
    </row>
    <row r="146">
      <c r="B146" s="4" t="inlineStr">
        <is>
          <t>Metric</t>
        </is>
      </c>
      <c r="C146" s="4" t="inlineStr">
        <is>
          <t>Excel Result</t>
        </is>
      </c>
      <c r="D146" s="4" t="inlineStr">
        <is>
          <t>Python Reference</t>
        </is>
      </c>
      <c r="E146" s="4" t="inlineStr">
        <is>
          <t>Difference</t>
        </is>
      </c>
      <c r="F146" s="4" t="inlineStr">
        <is>
          <t>PASS / FAIL</t>
        </is>
      </c>
    </row>
    <row r="147">
      <c r="B147" s="8" t="inlineStr">
        <is>
          <t>Market Net Sales ex VAT (N)</t>
        </is>
      </c>
      <c r="C147" s="25">
        <f>S147</f>
        <v/>
      </c>
      <c r="D147" s="21" t="n">
        <v>100000</v>
      </c>
      <c r="E147" s="26">
        <f>IF(ISNUMBER(D147),IF(ISNUMBER(S147),ABS(S147-D147),"N/A"),"N/A")</f>
        <v/>
      </c>
      <c r="F147" s="15">
        <f>IFERROR(IF(ISNUMBER(D147),IF(ISNUMBER(S147),IF(ABS(S147-D147)&lt;=0.01,"PASS","FAIL"),"FAIL"),IF(NOT(ISNUMBER(S147)),IF(S147=D147,"PASS","FAIL"),"FAIL")),"FAIL")</f>
        <v/>
      </c>
      <c r="I147" t="n">
        <v>100000</v>
      </c>
      <c r="J147" t="b">
        <v>0</v>
      </c>
      <c r="L147" t="n">
        <v>0.3</v>
      </c>
      <c r="M147" t="n">
        <v>0</v>
      </c>
      <c r="N147" t="n">
        <v>0</v>
      </c>
      <c r="O147" t="n">
        <v>0</v>
      </c>
      <c r="P147" t="n">
        <v>0</v>
      </c>
      <c r="Q147" t="inlineStr">
        <is>
          <t>invalid</t>
        </is>
      </c>
      <c r="R147" t="inlineStr">
        <is>
          <t>none</t>
        </is>
      </c>
      <c r="S147">
        <f>IFERROR(IF(ISBLANK($I$147),"UNKNOWN",IF(ISBLANK($J$147),"UNKNOWN",IF($J$147=FALSE,$I$147,IF(ISBLANK($K$147),"UNKNOWN",$I$147/(1+$K$147))))),"ERROR")</f>
        <v/>
      </c>
      <c r="T147">
        <f>IFERROR(IF(ISBLANK($I$147),"UNKNOWN",IF(ISBLANK($J$147),"UNKNOWN",IF($J$147=TRUE,$I$147,IF(ISBLANK($K$147),"UNKNOWN",$I$147*(1+$K$147))))),"ERROR")</f>
        <v/>
      </c>
      <c r="U147">
        <f>IFERROR(IF(OR(S147="ERROR",Z147="ERROR",AA147="ERROR",AB147="ERROR",AC147="ERROR"),"ERROR",IF(OR(NOT(ISNUMBER(S147)),NOT(ISNUMBER(Z147)),NOT(ISNUMBER(AA147)),NOT(ISNUMBER(AB147)),NOT(ISNUMBER(AC147))),"UNKNOWN",IF(AC147&gt;0,IF(T147="ERROR","ERROR",IF(NOT(ISNUMBER(T147)),"UNKNOWN",S147*(1-Z147-AB147)-AC147*T147-AA147)),S147*(1-Z147-AB147)-AA147))),"ERROR")</f>
        <v/>
      </c>
      <c r="V147">
        <f>IFERROR(IF($R$147="invalid","ERROR",IF($R$147="unresolved","UNKNOWN",IF(ISBLANK($P$147),"UNKNOWN",$P$147))),"ERROR")</f>
        <v/>
      </c>
      <c r="W147">
        <f>IFERROR(IF(OR(U147="ERROR",V147="ERROR"),"ERROR",IF(OR(NOT(ISNUMBER(U147)),NOT(ISNUMBER(V147))),"UNKNOWN",U147-V147)),"ERROR")</f>
        <v/>
      </c>
      <c r="X147">
        <f>IFERROR(IF(U147="ERROR","ERROR",IF(NOT(ISNUMBER(U147)),"UNKNOWN",IF(AC147&gt;0,S147-U147-AA147-AB147*S147-AC147*T147,S147-U147-AA147-AB147*S147))),"ERROR")</f>
        <v/>
      </c>
      <c r="Y147">
        <f>IFERROR(IF(X147="ERROR","ERROR",IF(NOT(ISNUMBER(X147)),"UNKNOWN",IF(S147=0,"ERROR",X147/S147))),"ERROR")</f>
        <v/>
      </c>
      <c r="Z147">
        <f>IFERROR(IF(ISBLANK($L$147),"UNKNOWN",IF(OR($L$147&lt;0,$L$147&gt;=1),"ERROR",$L$147)),"ERROR")</f>
        <v/>
      </c>
      <c r="AA147">
        <f>IFERROR(IF($Q$147="invalid","ERROR",IF($Q$147="unresolved","UNKNOWN",IF(ISBLANK($M$147),"UNKNOWN",$M$147))),"ERROR")</f>
        <v/>
      </c>
      <c r="AB147">
        <f>IFERROR(IF($Q$147="invalid","ERROR",IF($Q$147="unresolved","UNKNOWN",IF(ISBLANK($N$147),"UNKNOWN",$N$147))),"ERROR")</f>
        <v/>
      </c>
      <c r="AC147">
        <f>IFERROR(IF($Q$147="invalid","ERROR",IF($Q$147="unresolved","UNKNOWN",IF(ISBLANK($O$147),"UNKNOWN",$O$147))),"ERROR")</f>
        <v/>
      </c>
    </row>
    <row r="148">
      <c r="B148" s="8" t="inlineStr">
        <is>
          <t>Market Gross Payment incl VAT (G)</t>
        </is>
      </c>
      <c r="C148" s="25">
        <f>T147</f>
        <v/>
      </c>
      <c r="D148" s="30" t="inlineStr">
        <is>
          <t>UNKNOWN</t>
        </is>
      </c>
      <c r="E148" s="26">
        <f>IF(ISNUMBER(D148),IF(ISNUMBER(T147),ABS(T147-D148),"N/A"),"N/A")</f>
        <v/>
      </c>
      <c r="F148" s="15">
        <f>IFERROR(IF(ISNUMBER(D148),IF(ISNUMBER(T147),IF(ABS(T147-D148)&lt;=0.01,"PASS","FAIL"),"FAIL"),IF(NOT(ISNUMBER(T147)),IF(T147=D148,"PASS","FAIL"),"FAIL")),"FAIL")</f>
        <v/>
      </c>
    </row>
    <row r="149">
      <c r="B149" s="8" t="inlineStr">
        <is>
          <t>Allowable Direct Cost (ADC)</t>
        </is>
      </c>
      <c r="C149" s="25">
        <f>U147</f>
        <v/>
      </c>
      <c r="D149" s="30" t="inlineStr">
        <is>
          <t>ERROR</t>
        </is>
      </c>
      <c r="E149" s="26">
        <f>IF(ISNUMBER(D149),IF(ISNUMBER(U147),ABS(U147-D149),"N/A"),"N/A")</f>
        <v/>
      </c>
      <c r="F149" s="15">
        <f>IFERROR(IF(ISNUMBER(D149),IF(ISNUMBER(U147),IF(ABS(U147-D149)&lt;=0.01,"PASS","FAIL"),"FAIL"),IF(NOT(ISNUMBER(U147)),IF(U147=D149,"PASS","FAIL"),"FAIL")),"FAIL")</f>
        <v/>
      </c>
    </row>
    <row r="150">
      <c r="B150" s="8" t="inlineStr">
        <is>
          <t>Actual Direct Cost</t>
        </is>
      </c>
      <c r="C150" s="25">
        <f>V147</f>
        <v/>
      </c>
      <c r="D150" s="21" t="n">
        <v>0</v>
      </c>
      <c r="E150" s="26">
        <f>IF(ISNUMBER(D150),IF(ISNUMBER(V147),ABS(V147-D150),"N/A"),"N/A")</f>
        <v/>
      </c>
      <c r="F150" s="15">
        <f>IFERROR(IF(ISNUMBER(D150),IF(ISNUMBER(V147),IF(ABS(V147-D150)&lt;=0.01,"PASS","FAIL"),"FAIL"),IF(NOT(ISNUMBER(V147)),IF(V147=D150,"PASS","FAIL"),"FAIL")),"FAIL")</f>
        <v/>
      </c>
    </row>
    <row r="151">
      <c r="B151" s="8" t="inlineStr">
        <is>
          <t>Direct Cost Gap (ADC − Actual)</t>
        </is>
      </c>
      <c r="C151" s="25">
        <f>W147</f>
        <v/>
      </c>
      <c r="D151" s="30" t="inlineStr">
        <is>
          <t>ERROR</t>
        </is>
      </c>
      <c r="E151" s="26">
        <f>IF(ISNUMBER(D151),IF(ISNUMBER(W147),ABS(W147-D151),"N/A"),"N/A")</f>
        <v/>
      </c>
      <c r="F151" s="15">
        <f>IFERROR(IF(ISNUMBER(D151),IF(ISNUMBER(W147),IF(ABS(W147-D151)&lt;=0.01,"PASS","FAIL"),"FAIL"),IF(NOT(ISNUMBER(W147)),IF(W147=D151,"PASS","FAIL"),"FAIL")),"FAIL")</f>
        <v/>
      </c>
    </row>
    <row r="152">
      <c r="B152" s="8" t="inlineStr">
        <is>
          <t>Expected Contribution Margin</t>
        </is>
      </c>
      <c r="C152" s="25">
        <f>X147</f>
        <v/>
      </c>
      <c r="D152" s="30" t="inlineStr">
        <is>
          <t>ERROR</t>
        </is>
      </c>
      <c r="E152" s="26">
        <f>IF(ISNUMBER(D152),IF(ISNUMBER(X147),ABS(X147-D152),"N/A"),"N/A")</f>
        <v/>
      </c>
      <c r="F152" s="15">
        <f>IFERROR(IF(ISNUMBER(D152),IF(ISNUMBER(X147),IF(ABS(X147-D152)&lt;=0.01,"PASS","FAIL"),"FAIL"),IF(NOT(ISNUMBER(X147)),IF(X147=D152,"PASS","FAIL"),"FAIL")),"FAIL")</f>
        <v/>
      </c>
    </row>
    <row r="153">
      <c r="B153" s="8" t="inlineStr">
        <is>
          <t>Expected CM Rate</t>
        </is>
      </c>
      <c r="C153" s="28">
        <f>Y147</f>
        <v/>
      </c>
      <c r="D153" s="30" t="inlineStr">
        <is>
          <t>ERROR</t>
        </is>
      </c>
      <c r="E153" s="26">
        <f>IF(ISNUMBER(D153),IF(ISNUMBER(Y147),ABS(Y147-D153),"N/A"),"N/A")</f>
        <v/>
      </c>
      <c r="F153" s="15">
        <f>IFERROR(IF(ISNUMBER(D153),IF(ISNUMBER(Y147),IF(ABS(Y147-D153)&lt;=0.0001,"PASS","FAIL"),"FAIL"),IF(NOT(ISNUMBER(Y147)),IF(Y147=D153,"PASS","FAIL"),"FAIL")),"FAIL")</f>
        <v/>
      </c>
    </row>
    <row r="155" ht="20" customHeight="1">
      <c r="B155" s="2" t="inlineStr">
        <is>
          <t>TC16. Explicit zero rate does not block computation</t>
        </is>
      </c>
      <c r="C155" s="7" t="n"/>
      <c r="D155" s="7" t="n"/>
      <c r="E155" s="7" t="n"/>
      <c r="F155" s="7" t="n"/>
    </row>
    <row r="156">
      <c r="B156" s="4" t="inlineStr">
        <is>
          <t>Metric</t>
        </is>
      </c>
      <c r="C156" s="4" t="inlineStr">
        <is>
          <t>Excel Result</t>
        </is>
      </c>
      <c r="D156" s="4" t="inlineStr">
        <is>
          <t>Python Reference</t>
        </is>
      </c>
      <c r="E156" s="4" t="inlineStr">
        <is>
          <t>Difference</t>
        </is>
      </c>
      <c r="F156" s="4" t="inlineStr">
        <is>
          <t>PASS / FAIL</t>
        </is>
      </c>
    </row>
    <row r="157">
      <c r="B157" s="8" t="inlineStr">
        <is>
          <t>Market Net Sales ex VAT (N)</t>
        </is>
      </c>
      <c r="C157" s="25">
        <f>S157</f>
        <v/>
      </c>
      <c r="D157" s="21" t="n">
        <v>100000</v>
      </c>
      <c r="E157" s="26">
        <f>IF(ISNUMBER(D157),IF(ISNUMBER(S157),ABS(S157-D157),"N/A"),"N/A")</f>
        <v/>
      </c>
      <c r="F157" s="15">
        <f>IFERROR(IF(ISNUMBER(D157),IF(ISNUMBER(S157),IF(ABS(S157-D157)&lt;=0.01,"PASS","FAIL"),"FAIL"),IF(NOT(ISNUMBER(S157)),IF(S157=D157,"PASS","FAIL"),"FAIL")),"FAIL")</f>
        <v/>
      </c>
      <c r="I157" t="n">
        <v>100000</v>
      </c>
      <c r="J157" t="b">
        <v>0</v>
      </c>
      <c r="K157" t="n">
        <v>0.1</v>
      </c>
      <c r="L157" t="n">
        <v>0.3</v>
      </c>
      <c r="M157" t="n">
        <v>0</v>
      </c>
      <c r="N157" t="n">
        <v>0</v>
      </c>
      <c r="O157" t="n">
        <v>0.05</v>
      </c>
      <c r="P157" t="n">
        <v>0</v>
      </c>
      <c r="Q157" t="inlineStr">
        <is>
          <t>none</t>
        </is>
      </c>
      <c r="R157" t="inlineStr">
        <is>
          <t>none</t>
        </is>
      </c>
      <c r="S157">
        <f>IFERROR(IF(ISBLANK($I$157),"UNKNOWN",IF(ISBLANK($J$157),"UNKNOWN",IF($J$157=FALSE,$I$157,IF(ISBLANK($K$157),"UNKNOWN",$I$157/(1+$K$157))))),"ERROR")</f>
        <v/>
      </c>
      <c r="T157">
        <f>IFERROR(IF(ISBLANK($I$157),"UNKNOWN",IF(ISBLANK($J$157),"UNKNOWN",IF($J$157=TRUE,$I$157,IF(ISBLANK($K$157),"UNKNOWN",$I$157*(1+$K$157))))),"ERROR")</f>
        <v/>
      </c>
      <c r="U157">
        <f>IFERROR(IF(OR(S157="ERROR",Z157="ERROR",AA157="ERROR",AB157="ERROR",AC157="ERROR"),"ERROR",IF(OR(NOT(ISNUMBER(S157)),NOT(ISNUMBER(Z157)),NOT(ISNUMBER(AA157)),NOT(ISNUMBER(AB157)),NOT(ISNUMBER(AC157))),"UNKNOWN",IF(AC157&gt;0,IF(T157="ERROR","ERROR",IF(NOT(ISNUMBER(T157)),"UNKNOWN",S157*(1-Z157-AB157)-AC157*T157-AA157)),S157*(1-Z157-AB157)-AA157))),"ERROR")</f>
        <v/>
      </c>
      <c r="V157">
        <f>IFERROR(IF($R$157="invalid","ERROR",IF($R$157="unresolved","UNKNOWN",IF(ISBLANK($P$157),"UNKNOWN",$P$157))),"ERROR")</f>
        <v/>
      </c>
      <c r="W157">
        <f>IFERROR(IF(OR(U157="ERROR",V157="ERROR"),"ERROR",IF(OR(NOT(ISNUMBER(U157)),NOT(ISNUMBER(V157))),"UNKNOWN",U157-V157)),"ERROR")</f>
        <v/>
      </c>
      <c r="X157">
        <f>IFERROR(IF(U157="ERROR","ERROR",IF(NOT(ISNUMBER(U157)),"UNKNOWN",IF(AC157&gt;0,S157-U157-AA157-AB157*S157-AC157*T157,S157-U157-AA157-AB157*S157))),"ERROR")</f>
        <v/>
      </c>
      <c r="Y157">
        <f>IFERROR(IF(X157="ERROR","ERROR",IF(NOT(ISNUMBER(X157)),"UNKNOWN",IF(S157=0,"ERROR",X157/S157))),"ERROR")</f>
        <v/>
      </c>
      <c r="Z157">
        <f>IFERROR(IF(ISBLANK($L$157),"UNKNOWN",IF(OR($L$157&lt;0,$L$157&gt;=1),"ERROR",$L$157)),"ERROR")</f>
        <v/>
      </c>
      <c r="AA157">
        <f>IFERROR(IF($Q$157="invalid","ERROR",IF($Q$157="unresolved","UNKNOWN",IF(ISBLANK($M$157),"UNKNOWN",$M$157))),"ERROR")</f>
        <v/>
      </c>
      <c r="AB157">
        <f>IFERROR(IF($Q$157="invalid","ERROR",IF($Q$157="unresolved","UNKNOWN",IF(ISBLANK($N$157),"UNKNOWN",$N$157))),"ERROR")</f>
        <v/>
      </c>
      <c r="AC157">
        <f>IFERROR(IF($Q$157="invalid","ERROR",IF($Q$157="unresolved","UNKNOWN",IF(ISBLANK($O$157),"UNKNOWN",$O$157))),"ERROR")</f>
        <v/>
      </c>
    </row>
    <row r="158">
      <c r="B158" s="8" t="inlineStr">
        <is>
          <t>Market Gross Payment incl VAT (G)</t>
        </is>
      </c>
      <c r="C158" s="25">
        <f>T157</f>
        <v/>
      </c>
      <c r="D158" s="21" t="n">
        <v>110000</v>
      </c>
      <c r="E158" s="26">
        <f>IF(ISNUMBER(D158),IF(ISNUMBER(T157),ABS(T157-D158),"N/A"),"N/A")</f>
        <v/>
      </c>
      <c r="F158" s="15">
        <f>IFERROR(IF(ISNUMBER(D158),IF(ISNUMBER(T157),IF(ABS(T157-D158)&lt;=0.01,"PASS","FAIL"),"FAIL"),IF(NOT(ISNUMBER(T157)),IF(T157=D158,"PASS","FAIL"),"FAIL")),"FAIL")</f>
        <v/>
      </c>
    </row>
    <row r="159">
      <c r="B159" s="8" t="inlineStr">
        <is>
          <t>Allowable Direct Cost (ADC)</t>
        </is>
      </c>
      <c r="C159" s="25">
        <f>U157</f>
        <v/>
      </c>
      <c r="D159" s="21" t="n">
        <v>64500</v>
      </c>
      <c r="E159" s="26">
        <f>IF(ISNUMBER(D159),IF(ISNUMBER(U157),ABS(U157-D159),"N/A"),"N/A")</f>
        <v/>
      </c>
      <c r="F159" s="15">
        <f>IFERROR(IF(ISNUMBER(D159),IF(ISNUMBER(U157),IF(ABS(U157-D159)&lt;=0.01,"PASS","FAIL"),"FAIL"),IF(NOT(ISNUMBER(U157)),IF(U157=D159,"PASS","FAIL"),"FAIL")),"FAIL")</f>
        <v/>
      </c>
    </row>
    <row r="160">
      <c r="B160" s="8" t="inlineStr">
        <is>
          <t>Actual Direct Cost</t>
        </is>
      </c>
      <c r="C160" s="25">
        <f>V157</f>
        <v/>
      </c>
      <c r="D160" s="21" t="n">
        <v>0</v>
      </c>
      <c r="E160" s="26">
        <f>IF(ISNUMBER(D160),IF(ISNUMBER(V157),ABS(V157-D160),"N/A"),"N/A")</f>
        <v/>
      </c>
      <c r="F160" s="15">
        <f>IFERROR(IF(ISNUMBER(D160),IF(ISNUMBER(V157),IF(ABS(V157-D160)&lt;=0.01,"PASS","FAIL"),"FAIL"),IF(NOT(ISNUMBER(V157)),IF(V157=D160,"PASS","FAIL"),"FAIL")),"FAIL")</f>
        <v/>
      </c>
    </row>
    <row r="161">
      <c r="B161" s="8" t="inlineStr">
        <is>
          <t>Direct Cost Gap (ADC − Actual)</t>
        </is>
      </c>
      <c r="C161" s="25">
        <f>W157</f>
        <v/>
      </c>
      <c r="D161" s="21" t="n">
        <v>64500</v>
      </c>
      <c r="E161" s="26">
        <f>IF(ISNUMBER(D161),IF(ISNUMBER(W157),ABS(W157-D161),"N/A"),"N/A")</f>
        <v/>
      </c>
      <c r="F161" s="15">
        <f>IFERROR(IF(ISNUMBER(D161),IF(ISNUMBER(W157),IF(ABS(W157-D161)&lt;=0.01,"PASS","FAIL"),"FAIL"),IF(NOT(ISNUMBER(W157)),IF(W157=D161,"PASS","FAIL"),"FAIL")),"FAIL")</f>
        <v/>
      </c>
    </row>
    <row r="162">
      <c r="B162" s="8" t="inlineStr">
        <is>
          <t>Expected Contribution Margin</t>
        </is>
      </c>
      <c r="C162" s="25">
        <f>X157</f>
        <v/>
      </c>
      <c r="D162" s="21" t="n">
        <v>30000</v>
      </c>
      <c r="E162" s="26">
        <f>IF(ISNUMBER(D162),IF(ISNUMBER(X157),ABS(X157-D162),"N/A"),"N/A")</f>
        <v/>
      </c>
      <c r="F162" s="15">
        <f>IFERROR(IF(ISNUMBER(D162),IF(ISNUMBER(X157),IF(ABS(X157-D162)&lt;=0.01,"PASS","FAIL"),"FAIL"),IF(NOT(ISNUMBER(X157)),IF(X157=D162,"PASS","FAIL"),"FAIL")),"FAIL")</f>
        <v/>
      </c>
    </row>
    <row r="163">
      <c r="B163" s="8" t="inlineStr">
        <is>
          <t>Expected CM Rate</t>
        </is>
      </c>
      <c r="C163" s="28">
        <f>Y157</f>
        <v/>
      </c>
      <c r="D163" s="29" t="n">
        <v>0.3</v>
      </c>
      <c r="E163" s="26">
        <f>IF(ISNUMBER(D163),IF(ISNUMBER(Y157),ABS(Y157-D163),"N/A"),"N/A")</f>
        <v/>
      </c>
      <c r="F163" s="15">
        <f>IFERROR(IF(ISNUMBER(D163),IF(ISNUMBER(Y157),IF(ABS(Y157-D163)&lt;=0.0001,"PASS","FAIL"),"FAIL"),IF(NOT(ISNUMBER(Y157)),IF(Y157=D163,"PASS","FAIL"),"FAIL")),"FAIL")</f>
        <v/>
      </c>
    </row>
    <row r="165" ht="20" customHeight="1">
      <c r="B165" s="2" t="inlineStr">
        <is>
          <t>TC17. No variable-cost items at all (confirmed 0, same as TC1)</t>
        </is>
      </c>
      <c r="C165" s="7" t="n"/>
      <c r="D165" s="7" t="n"/>
      <c r="E165" s="7" t="n"/>
      <c r="F165" s="7" t="n"/>
    </row>
    <row r="166">
      <c r="B166" s="4" t="inlineStr">
        <is>
          <t>Metric</t>
        </is>
      </c>
      <c r="C166" s="4" t="inlineStr">
        <is>
          <t>Excel Result</t>
        </is>
      </c>
      <c r="D166" s="4" t="inlineStr">
        <is>
          <t>Python Reference</t>
        </is>
      </c>
      <c r="E166" s="4" t="inlineStr">
        <is>
          <t>Difference</t>
        </is>
      </c>
      <c r="F166" s="4" t="inlineStr">
        <is>
          <t>PASS / FAIL</t>
        </is>
      </c>
    </row>
    <row r="167">
      <c r="B167" s="8" t="inlineStr">
        <is>
          <t>Market Net Sales ex VAT (N)</t>
        </is>
      </c>
      <c r="C167" s="25">
        <f>S167</f>
        <v/>
      </c>
      <c r="D167" s="21" t="n">
        <v>100000</v>
      </c>
      <c r="E167" s="26">
        <f>IF(ISNUMBER(D167),IF(ISNUMBER(S167),ABS(S167-D167),"N/A"),"N/A")</f>
        <v/>
      </c>
      <c r="F167" s="15">
        <f>IFERROR(IF(ISNUMBER(D167),IF(ISNUMBER(S167),IF(ABS(S167-D167)&lt;=0.01,"PASS","FAIL"),"FAIL"),IF(NOT(ISNUMBER(S167)),IF(S167=D167,"PASS","FAIL"),"FAIL")),"FAIL")</f>
        <v/>
      </c>
      <c r="I167" t="n">
        <v>100000</v>
      </c>
      <c r="J167" t="b">
        <v>0</v>
      </c>
      <c r="L167" t="n">
        <v>0.3</v>
      </c>
      <c r="M167" t="n">
        <v>0</v>
      </c>
      <c r="N167" t="n">
        <v>0</v>
      </c>
      <c r="O167" t="n">
        <v>0</v>
      </c>
      <c r="P167" t="n">
        <v>0</v>
      </c>
      <c r="Q167" t="inlineStr">
        <is>
          <t>none</t>
        </is>
      </c>
      <c r="R167" t="inlineStr">
        <is>
          <t>none</t>
        </is>
      </c>
      <c r="S167">
        <f>IFERROR(IF(ISBLANK($I$167),"UNKNOWN",IF(ISBLANK($J$167),"UNKNOWN",IF($J$167=FALSE,$I$167,IF(ISBLANK($K$167),"UNKNOWN",$I$167/(1+$K$167))))),"ERROR")</f>
        <v/>
      </c>
      <c r="T167">
        <f>IFERROR(IF(ISBLANK($I$167),"UNKNOWN",IF(ISBLANK($J$167),"UNKNOWN",IF($J$167=TRUE,$I$167,IF(ISBLANK($K$167),"UNKNOWN",$I$167*(1+$K$167))))),"ERROR")</f>
        <v/>
      </c>
      <c r="U167">
        <f>IFERROR(IF(OR(S167="ERROR",Z167="ERROR",AA167="ERROR",AB167="ERROR",AC167="ERROR"),"ERROR",IF(OR(NOT(ISNUMBER(S167)),NOT(ISNUMBER(Z167)),NOT(ISNUMBER(AA167)),NOT(ISNUMBER(AB167)),NOT(ISNUMBER(AC167))),"UNKNOWN",IF(AC167&gt;0,IF(T167="ERROR","ERROR",IF(NOT(ISNUMBER(T167)),"UNKNOWN",S167*(1-Z167-AB167)-AC167*T167-AA167)),S167*(1-Z167-AB167)-AA167))),"ERROR")</f>
        <v/>
      </c>
      <c r="V167">
        <f>IFERROR(IF($R$167="invalid","ERROR",IF($R$167="unresolved","UNKNOWN",IF(ISBLANK($P$167),"UNKNOWN",$P$167))),"ERROR")</f>
        <v/>
      </c>
      <c r="W167">
        <f>IFERROR(IF(OR(U167="ERROR",V167="ERROR"),"ERROR",IF(OR(NOT(ISNUMBER(U167)),NOT(ISNUMBER(V167))),"UNKNOWN",U167-V167)),"ERROR")</f>
        <v/>
      </c>
      <c r="X167">
        <f>IFERROR(IF(U167="ERROR","ERROR",IF(NOT(ISNUMBER(U167)),"UNKNOWN",IF(AC167&gt;0,S167-U167-AA167-AB167*S167-AC167*T167,S167-U167-AA167-AB167*S167))),"ERROR")</f>
        <v/>
      </c>
      <c r="Y167">
        <f>IFERROR(IF(X167="ERROR","ERROR",IF(NOT(ISNUMBER(X167)),"UNKNOWN",IF(S167=0,"ERROR",X167/S167))),"ERROR")</f>
        <v/>
      </c>
      <c r="Z167">
        <f>IFERROR(IF(ISBLANK($L$167),"UNKNOWN",IF(OR($L$167&lt;0,$L$167&gt;=1),"ERROR",$L$167)),"ERROR")</f>
        <v/>
      </c>
      <c r="AA167">
        <f>IFERROR(IF($Q$167="invalid","ERROR",IF($Q$167="unresolved","UNKNOWN",IF(ISBLANK($M$167),"UNKNOWN",$M$167))),"ERROR")</f>
        <v/>
      </c>
      <c r="AB167">
        <f>IFERROR(IF($Q$167="invalid","ERROR",IF($Q$167="unresolved","UNKNOWN",IF(ISBLANK($N$167),"UNKNOWN",$N$167))),"ERROR")</f>
        <v/>
      </c>
      <c r="AC167">
        <f>IFERROR(IF($Q$167="invalid","ERROR",IF($Q$167="unresolved","UNKNOWN",IF(ISBLANK($O$167),"UNKNOWN",$O$167))),"ERROR")</f>
        <v/>
      </c>
    </row>
    <row r="168">
      <c r="B168" s="8" t="inlineStr">
        <is>
          <t>Market Gross Payment incl VAT (G)</t>
        </is>
      </c>
      <c r="C168" s="25">
        <f>T167</f>
        <v/>
      </c>
      <c r="D168" s="30" t="inlineStr">
        <is>
          <t>UNKNOWN</t>
        </is>
      </c>
      <c r="E168" s="26">
        <f>IF(ISNUMBER(D168),IF(ISNUMBER(T167),ABS(T167-D168),"N/A"),"N/A")</f>
        <v/>
      </c>
      <c r="F168" s="15">
        <f>IFERROR(IF(ISNUMBER(D168),IF(ISNUMBER(T167),IF(ABS(T167-D168)&lt;=0.01,"PASS","FAIL"),"FAIL"),IF(NOT(ISNUMBER(T167)),IF(T167=D168,"PASS","FAIL"),"FAIL")),"FAIL")</f>
        <v/>
      </c>
    </row>
    <row r="169">
      <c r="B169" s="8" t="inlineStr">
        <is>
          <t>Allowable Direct Cost (ADC)</t>
        </is>
      </c>
      <c r="C169" s="25">
        <f>U167</f>
        <v/>
      </c>
      <c r="D169" s="21" t="n">
        <v>70000</v>
      </c>
      <c r="E169" s="26">
        <f>IF(ISNUMBER(D169),IF(ISNUMBER(U167),ABS(U167-D169),"N/A"),"N/A")</f>
        <v/>
      </c>
      <c r="F169" s="15">
        <f>IFERROR(IF(ISNUMBER(D169),IF(ISNUMBER(U167),IF(ABS(U167-D169)&lt;=0.01,"PASS","FAIL"),"FAIL"),IF(NOT(ISNUMBER(U167)),IF(U167=D169,"PASS","FAIL"),"FAIL")),"FAIL")</f>
        <v/>
      </c>
    </row>
    <row r="170">
      <c r="B170" s="8" t="inlineStr">
        <is>
          <t>Actual Direct Cost</t>
        </is>
      </c>
      <c r="C170" s="25">
        <f>V167</f>
        <v/>
      </c>
      <c r="D170" s="21" t="n">
        <v>0</v>
      </c>
      <c r="E170" s="26">
        <f>IF(ISNUMBER(D170),IF(ISNUMBER(V167),ABS(V167-D170),"N/A"),"N/A")</f>
        <v/>
      </c>
      <c r="F170" s="15">
        <f>IFERROR(IF(ISNUMBER(D170),IF(ISNUMBER(V167),IF(ABS(V167-D170)&lt;=0.01,"PASS","FAIL"),"FAIL"),IF(NOT(ISNUMBER(V167)),IF(V167=D170,"PASS","FAIL"),"FAIL")),"FAIL")</f>
        <v/>
      </c>
    </row>
    <row r="171">
      <c r="B171" s="8" t="inlineStr">
        <is>
          <t>Direct Cost Gap (ADC − Actual)</t>
        </is>
      </c>
      <c r="C171" s="25">
        <f>W167</f>
        <v/>
      </c>
      <c r="D171" s="21" t="n">
        <v>70000</v>
      </c>
      <c r="E171" s="26">
        <f>IF(ISNUMBER(D171),IF(ISNUMBER(W167),ABS(W167-D171),"N/A"),"N/A")</f>
        <v/>
      </c>
      <c r="F171" s="15">
        <f>IFERROR(IF(ISNUMBER(D171),IF(ISNUMBER(W167),IF(ABS(W167-D171)&lt;=0.01,"PASS","FAIL"),"FAIL"),IF(NOT(ISNUMBER(W167)),IF(W167=D171,"PASS","FAIL"),"FAIL")),"FAIL")</f>
        <v/>
      </c>
    </row>
    <row r="172">
      <c r="B172" s="8" t="inlineStr">
        <is>
          <t>Expected Contribution Margin</t>
        </is>
      </c>
      <c r="C172" s="25">
        <f>X167</f>
        <v/>
      </c>
      <c r="D172" s="21" t="n">
        <v>30000</v>
      </c>
      <c r="E172" s="26">
        <f>IF(ISNUMBER(D172),IF(ISNUMBER(X167),ABS(X167-D172),"N/A"),"N/A")</f>
        <v/>
      </c>
      <c r="F172" s="15">
        <f>IFERROR(IF(ISNUMBER(D172),IF(ISNUMBER(X167),IF(ABS(X167-D172)&lt;=0.01,"PASS","FAIL"),"FAIL"),IF(NOT(ISNUMBER(X167)),IF(X167=D172,"PASS","FAIL"),"FAIL")),"FAIL")</f>
        <v/>
      </c>
    </row>
    <row r="173">
      <c r="B173" s="8" t="inlineStr">
        <is>
          <t>Expected CM Rate</t>
        </is>
      </c>
      <c r="C173" s="28">
        <f>Y167</f>
        <v/>
      </c>
      <c r="D173" s="29" t="n">
        <v>0.3</v>
      </c>
      <c r="E173" s="26">
        <f>IF(ISNUMBER(D173),IF(ISNUMBER(Y167),ABS(Y167-D173),"N/A"),"N/A")</f>
        <v/>
      </c>
      <c r="F173" s="15">
        <f>IFERROR(IF(ISNUMBER(D173),IF(ISNUMBER(Y167),IF(ABS(Y167-D173)&lt;=0.0001,"PASS","FAIL"),"FAIL"),IF(NOT(ISNUMBER(Y167)),IF(Y167=D173,"PASS","FAIL"),"FAIL")),"FAIL")</f>
        <v/>
      </c>
    </row>
    <row r="175" ht="20" customHeight="1">
      <c r="B175" s="2" t="inlineStr">
        <is>
          <t>TC18. Variable-cost item exists but value null -&gt; b UNKNOWN</t>
        </is>
      </c>
      <c r="C175" s="7" t="n"/>
      <c r="D175" s="7" t="n"/>
      <c r="E175" s="7" t="n"/>
      <c r="F175" s="7" t="n"/>
    </row>
    <row r="176">
      <c r="B176" s="4" t="inlineStr">
        <is>
          <t>Metric</t>
        </is>
      </c>
      <c r="C176" s="4" t="inlineStr">
        <is>
          <t>Excel Result</t>
        </is>
      </c>
      <c r="D176" s="4" t="inlineStr">
        <is>
          <t>Python Reference</t>
        </is>
      </c>
      <c r="E176" s="4" t="inlineStr">
        <is>
          <t>Difference</t>
        </is>
      </c>
      <c r="F176" s="4" t="inlineStr">
        <is>
          <t>PASS / FAIL</t>
        </is>
      </c>
    </row>
    <row r="177">
      <c r="B177" s="8" t="inlineStr">
        <is>
          <t>Market Net Sales ex VAT (N)</t>
        </is>
      </c>
      <c r="C177" s="25">
        <f>S177</f>
        <v/>
      </c>
      <c r="D177" s="21" t="n">
        <v>100000</v>
      </c>
      <c r="E177" s="26">
        <f>IF(ISNUMBER(D177),IF(ISNUMBER(S177),ABS(S177-D177),"N/A"),"N/A")</f>
        <v/>
      </c>
      <c r="F177" s="15">
        <f>IFERROR(IF(ISNUMBER(D177),IF(ISNUMBER(S177),IF(ABS(S177-D177)&lt;=0.01,"PASS","FAIL"),"FAIL"),IF(NOT(ISNUMBER(S177)),IF(S177=D177,"PASS","FAIL"),"FAIL")),"FAIL")</f>
        <v/>
      </c>
      <c r="I177" t="n">
        <v>100000</v>
      </c>
      <c r="J177" t="b">
        <v>0</v>
      </c>
      <c r="L177" t="n">
        <v>0.3</v>
      </c>
      <c r="M177" t="n">
        <v>0</v>
      </c>
      <c r="O177" t="n">
        <v>0</v>
      </c>
      <c r="P177" t="n">
        <v>0</v>
      </c>
      <c r="Q177" t="inlineStr">
        <is>
          <t>none</t>
        </is>
      </c>
      <c r="R177" t="inlineStr">
        <is>
          <t>none</t>
        </is>
      </c>
      <c r="S177">
        <f>IFERROR(IF(ISBLANK($I$177),"UNKNOWN",IF(ISBLANK($J$177),"UNKNOWN",IF($J$177=FALSE,$I$177,IF(ISBLANK($K$177),"UNKNOWN",$I$177/(1+$K$177))))),"ERROR")</f>
        <v/>
      </c>
      <c r="T177">
        <f>IFERROR(IF(ISBLANK($I$177),"UNKNOWN",IF(ISBLANK($J$177),"UNKNOWN",IF($J$177=TRUE,$I$177,IF(ISBLANK($K$177),"UNKNOWN",$I$177*(1+$K$177))))),"ERROR")</f>
        <v/>
      </c>
      <c r="U177">
        <f>IFERROR(IF(OR(S177="ERROR",Z177="ERROR",AA177="ERROR",AB177="ERROR",AC177="ERROR"),"ERROR",IF(OR(NOT(ISNUMBER(S177)),NOT(ISNUMBER(Z177)),NOT(ISNUMBER(AA177)),NOT(ISNUMBER(AB177)),NOT(ISNUMBER(AC177))),"UNKNOWN",IF(AC177&gt;0,IF(T177="ERROR","ERROR",IF(NOT(ISNUMBER(T177)),"UNKNOWN",S177*(1-Z177-AB177)-AC177*T177-AA177)),S177*(1-Z177-AB177)-AA177))),"ERROR")</f>
        <v/>
      </c>
      <c r="V177">
        <f>IFERROR(IF($R$177="invalid","ERROR",IF($R$177="unresolved","UNKNOWN",IF(ISBLANK($P$177),"UNKNOWN",$P$177))),"ERROR")</f>
        <v/>
      </c>
      <c r="W177">
        <f>IFERROR(IF(OR(U177="ERROR",V177="ERROR"),"ERROR",IF(OR(NOT(ISNUMBER(U177)),NOT(ISNUMBER(V177))),"UNKNOWN",U177-V177)),"ERROR")</f>
        <v/>
      </c>
      <c r="X177">
        <f>IFERROR(IF(U177="ERROR","ERROR",IF(NOT(ISNUMBER(U177)),"UNKNOWN",IF(AC177&gt;0,S177-U177-AA177-AB177*S177-AC177*T177,S177-U177-AA177-AB177*S177))),"ERROR")</f>
        <v/>
      </c>
      <c r="Y177">
        <f>IFERROR(IF(X177="ERROR","ERROR",IF(NOT(ISNUMBER(X177)),"UNKNOWN",IF(S177=0,"ERROR",X177/S177))),"ERROR")</f>
        <v/>
      </c>
      <c r="Z177">
        <f>IFERROR(IF(ISBLANK($L$177),"UNKNOWN",IF(OR($L$177&lt;0,$L$177&gt;=1),"ERROR",$L$177)),"ERROR")</f>
        <v/>
      </c>
      <c r="AA177">
        <f>IFERROR(IF($Q$177="invalid","ERROR",IF($Q$177="unresolved","UNKNOWN",IF(ISBLANK($M$177),"UNKNOWN",$M$177))),"ERROR")</f>
        <v/>
      </c>
      <c r="AB177">
        <f>IFERROR(IF($Q$177="invalid","ERROR",IF($Q$177="unresolved","UNKNOWN",IF(ISBLANK($N$177),"UNKNOWN",$N$177))),"ERROR")</f>
        <v/>
      </c>
      <c r="AC177">
        <f>IFERROR(IF($Q$177="invalid","ERROR",IF($Q$177="unresolved","UNKNOWN",IF(ISBLANK($O$177),"UNKNOWN",$O$177))),"ERROR")</f>
        <v/>
      </c>
    </row>
    <row r="178">
      <c r="B178" s="8" t="inlineStr">
        <is>
          <t>Market Gross Payment incl VAT (G)</t>
        </is>
      </c>
      <c r="C178" s="25">
        <f>T177</f>
        <v/>
      </c>
      <c r="D178" s="30" t="inlineStr">
        <is>
          <t>UNKNOWN</t>
        </is>
      </c>
      <c r="E178" s="26">
        <f>IF(ISNUMBER(D178),IF(ISNUMBER(T177),ABS(T177-D178),"N/A"),"N/A")</f>
        <v/>
      </c>
      <c r="F178" s="15">
        <f>IFERROR(IF(ISNUMBER(D178),IF(ISNUMBER(T177),IF(ABS(T177-D178)&lt;=0.01,"PASS","FAIL"),"FAIL"),IF(NOT(ISNUMBER(T177)),IF(T177=D178,"PASS","FAIL"),"FAIL")),"FAIL")</f>
        <v/>
      </c>
    </row>
    <row r="179">
      <c r="B179" s="8" t="inlineStr">
        <is>
          <t>Allowable Direct Cost (ADC)</t>
        </is>
      </c>
      <c r="C179" s="25">
        <f>U177</f>
        <v/>
      </c>
      <c r="D179" s="30" t="inlineStr">
        <is>
          <t>UNKNOWN</t>
        </is>
      </c>
      <c r="E179" s="26">
        <f>IF(ISNUMBER(D179),IF(ISNUMBER(U177),ABS(U177-D179),"N/A"),"N/A")</f>
        <v/>
      </c>
      <c r="F179" s="15">
        <f>IFERROR(IF(ISNUMBER(D179),IF(ISNUMBER(U177),IF(ABS(U177-D179)&lt;=0.01,"PASS","FAIL"),"FAIL"),IF(NOT(ISNUMBER(U177)),IF(U177=D179,"PASS","FAIL"),"FAIL")),"FAIL")</f>
        <v/>
      </c>
    </row>
    <row r="180">
      <c r="B180" s="8" t="inlineStr">
        <is>
          <t>Actual Direct Cost</t>
        </is>
      </c>
      <c r="C180" s="25">
        <f>V177</f>
        <v/>
      </c>
      <c r="D180" s="21" t="n">
        <v>0</v>
      </c>
      <c r="E180" s="26">
        <f>IF(ISNUMBER(D180),IF(ISNUMBER(V177),ABS(V177-D180),"N/A"),"N/A")</f>
        <v/>
      </c>
      <c r="F180" s="15">
        <f>IFERROR(IF(ISNUMBER(D180),IF(ISNUMBER(V177),IF(ABS(V177-D180)&lt;=0.01,"PASS","FAIL"),"FAIL"),IF(NOT(ISNUMBER(V177)),IF(V177=D180,"PASS","FAIL"),"FAIL")),"FAIL")</f>
        <v/>
      </c>
    </row>
    <row r="181">
      <c r="B181" s="8" t="inlineStr">
        <is>
          <t>Direct Cost Gap (ADC − Actual)</t>
        </is>
      </c>
      <c r="C181" s="25">
        <f>W177</f>
        <v/>
      </c>
      <c r="D181" s="30" t="inlineStr">
        <is>
          <t>UNKNOWN</t>
        </is>
      </c>
      <c r="E181" s="26">
        <f>IF(ISNUMBER(D181),IF(ISNUMBER(W177),ABS(W177-D181),"N/A"),"N/A")</f>
        <v/>
      </c>
      <c r="F181" s="15">
        <f>IFERROR(IF(ISNUMBER(D181),IF(ISNUMBER(W177),IF(ABS(W177-D181)&lt;=0.01,"PASS","FAIL"),"FAIL"),IF(NOT(ISNUMBER(W177)),IF(W177=D181,"PASS","FAIL"),"FAIL")),"FAIL")</f>
        <v/>
      </c>
    </row>
    <row r="182">
      <c r="B182" s="8" t="inlineStr">
        <is>
          <t>Expected Contribution Margin</t>
        </is>
      </c>
      <c r="C182" s="25">
        <f>X177</f>
        <v/>
      </c>
      <c r="D182" s="30" t="inlineStr">
        <is>
          <t>UNKNOWN</t>
        </is>
      </c>
      <c r="E182" s="26">
        <f>IF(ISNUMBER(D182),IF(ISNUMBER(X177),ABS(X177-D182),"N/A"),"N/A")</f>
        <v/>
      </c>
      <c r="F182" s="15">
        <f>IFERROR(IF(ISNUMBER(D182),IF(ISNUMBER(X177),IF(ABS(X177-D182)&lt;=0.01,"PASS","FAIL"),"FAIL"),IF(NOT(ISNUMBER(X177)),IF(X177=D182,"PASS","FAIL"),"FAIL")),"FAIL")</f>
        <v/>
      </c>
    </row>
    <row r="183">
      <c r="B183" s="8" t="inlineStr">
        <is>
          <t>Expected CM Rate</t>
        </is>
      </c>
      <c r="C183" s="28">
        <f>Y177</f>
        <v/>
      </c>
      <c r="D183" s="30" t="inlineStr">
        <is>
          <t>UNKNOWN</t>
        </is>
      </c>
      <c r="E183" s="26">
        <f>IF(ISNUMBER(D183),IF(ISNUMBER(Y177),ABS(Y177-D183),"N/A"),"N/A")</f>
        <v/>
      </c>
      <c r="F183" s="15">
        <f>IFERROR(IF(ISNUMBER(D183),IF(ISNUMBER(Y177),IF(ABS(Y177-D183)&lt;=0.0001,"PASS","FAIL"),"FAIL"),IF(NOT(ISNUMBER(Y177)),IF(Y177=D183,"PASS","FAIL"),"FAIL")),"FAIL")</f>
        <v/>
      </c>
    </row>
    <row r="185" ht="20" customHeight="1">
      <c r="B185" s="2" t="inlineStr">
        <is>
          <t>TC19. actual_direct_cost UNKNOWN, ADC unaffected (dependency isolation, Case A)</t>
        </is>
      </c>
      <c r="C185" s="7" t="n"/>
      <c r="D185" s="7" t="n"/>
      <c r="E185" s="7" t="n"/>
      <c r="F185" s="7" t="n"/>
    </row>
    <row r="186">
      <c r="B186" s="4" t="inlineStr">
        <is>
          <t>Metric</t>
        </is>
      </c>
      <c r="C186" s="4" t="inlineStr">
        <is>
          <t>Excel Result</t>
        </is>
      </c>
      <c r="D186" s="4" t="inlineStr">
        <is>
          <t>Python Reference</t>
        </is>
      </c>
      <c r="E186" s="4" t="inlineStr">
        <is>
          <t>Difference</t>
        </is>
      </c>
      <c r="F186" s="4" t="inlineStr">
        <is>
          <t>PASS / FAIL</t>
        </is>
      </c>
    </row>
    <row r="187">
      <c r="B187" s="8" t="inlineStr">
        <is>
          <t>Market Net Sales ex VAT (N)</t>
        </is>
      </c>
      <c r="C187" s="25">
        <f>S187</f>
        <v/>
      </c>
      <c r="D187" s="21" t="n">
        <v>100000</v>
      </c>
      <c r="E187" s="26">
        <f>IF(ISNUMBER(D187),IF(ISNUMBER(S187),ABS(S187-D187),"N/A"),"N/A")</f>
        <v/>
      </c>
      <c r="F187" s="15">
        <f>IFERROR(IF(ISNUMBER(D187),IF(ISNUMBER(S187),IF(ABS(S187-D187)&lt;=0.01,"PASS","FAIL"),"FAIL"),IF(NOT(ISNUMBER(S187)),IF(S187=D187,"PASS","FAIL"),"FAIL")),"FAIL")</f>
        <v/>
      </c>
      <c r="I187" t="n">
        <v>100000</v>
      </c>
      <c r="J187" t="b">
        <v>0</v>
      </c>
      <c r="L187" t="n">
        <v>0.3</v>
      </c>
      <c r="M187" t="n">
        <v>0</v>
      </c>
      <c r="N187" t="n">
        <v>0</v>
      </c>
      <c r="O187" t="n">
        <v>0</v>
      </c>
      <c r="Q187" t="inlineStr">
        <is>
          <t>none</t>
        </is>
      </c>
      <c r="R187" t="inlineStr">
        <is>
          <t>none</t>
        </is>
      </c>
      <c r="S187">
        <f>IFERROR(IF(ISBLANK($I$187),"UNKNOWN",IF(ISBLANK($J$187),"UNKNOWN",IF($J$187=FALSE,$I$187,IF(ISBLANK($K$187),"UNKNOWN",$I$187/(1+$K$187))))),"ERROR")</f>
        <v/>
      </c>
      <c r="T187">
        <f>IFERROR(IF(ISBLANK($I$187),"UNKNOWN",IF(ISBLANK($J$187),"UNKNOWN",IF($J$187=TRUE,$I$187,IF(ISBLANK($K$187),"UNKNOWN",$I$187*(1+$K$187))))),"ERROR")</f>
        <v/>
      </c>
      <c r="U187">
        <f>IFERROR(IF(OR(S187="ERROR",Z187="ERROR",AA187="ERROR",AB187="ERROR",AC187="ERROR"),"ERROR",IF(OR(NOT(ISNUMBER(S187)),NOT(ISNUMBER(Z187)),NOT(ISNUMBER(AA187)),NOT(ISNUMBER(AB187)),NOT(ISNUMBER(AC187))),"UNKNOWN",IF(AC187&gt;0,IF(T187="ERROR","ERROR",IF(NOT(ISNUMBER(T187)),"UNKNOWN",S187*(1-Z187-AB187)-AC187*T187-AA187)),S187*(1-Z187-AB187)-AA187))),"ERROR")</f>
        <v/>
      </c>
      <c r="V187">
        <f>IFERROR(IF($R$187="invalid","ERROR",IF($R$187="unresolved","UNKNOWN",IF(ISBLANK($P$187),"UNKNOWN",$P$187))),"ERROR")</f>
        <v/>
      </c>
      <c r="W187">
        <f>IFERROR(IF(OR(U187="ERROR",V187="ERROR"),"ERROR",IF(OR(NOT(ISNUMBER(U187)),NOT(ISNUMBER(V187))),"UNKNOWN",U187-V187)),"ERROR")</f>
        <v/>
      </c>
      <c r="X187">
        <f>IFERROR(IF(U187="ERROR","ERROR",IF(NOT(ISNUMBER(U187)),"UNKNOWN",IF(AC187&gt;0,S187-U187-AA187-AB187*S187-AC187*T187,S187-U187-AA187-AB187*S187))),"ERROR")</f>
        <v/>
      </c>
      <c r="Y187">
        <f>IFERROR(IF(X187="ERROR","ERROR",IF(NOT(ISNUMBER(X187)),"UNKNOWN",IF(S187=0,"ERROR",X187/S187))),"ERROR")</f>
        <v/>
      </c>
      <c r="Z187">
        <f>IFERROR(IF(ISBLANK($L$187),"UNKNOWN",IF(OR($L$187&lt;0,$L$187&gt;=1),"ERROR",$L$187)),"ERROR")</f>
        <v/>
      </c>
      <c r="AA187">
        <f>IFERROR(IF($Q$187="invalid","ERROR",IF($Q$187="unresolved","UNKNOWN",IF(ISBLANK($M$187),"UNKNOWN",$M$187))),"ERROR")</f>
        <v/>
      </c>
      <c r="AB187">
        <f>IFERROR(IF($Q$187="invalid","ERROR",IF($Q$187="unresolved","UNKNOWN",IF(ISBLANK($N$187),"UNKNOWN",$N$187))),"ERROR")</f>
        <v/>
      </c>
      <c r="AC187">
        <f>IFERROR(IF($Q$187="invalid","ERROR",IF($Q$187="unresolved","UNKNOWN",IF(ISBLANK($O$187),"UNKNOWN",$O$187))),"ERROR")</f>
        <v/>
      </c>
    </row>
    <row r="188">
      <c r="B188" s="8" t="inlineStr">
        <is>
          <t>Market Gross Payment incl VAT (G)</t>
        </is>
      </c>
      <c r="C188" s="25">
        <f>T187</f>
        <v/>
      </c>
      <c r="D188" s="30" t="inlineStr">
        <is>
          <t>UNKNOWN</t>
        </is>
      </c>
      <c r="E188" s="26">
        <f>IF(ISNUMBER(D188),IF(ISNUMBER(T187),ABS(T187-D188),"N/A"),"N/A")</f>
        <v/>
      </c>
      <c r="F188" s="15">
        <f>IFERROR(IF(ISNUMBER(D188),IF(ISNUMBER(T187),IF(ABS(T187-D188)&lt;=0.01,"PASS","FAIL"),"FAIL"),IF(NOT(ISNUMBER(T187)),IF(T187=D188,"PASS","FAIL"),"FAIL")),"FAIL")</f>
        <v/>
      </c>
    </row>
    <row r="189">
      <c r="B189" s="8" t="inlineStr">
        <is>
          <t>Allowable Direct Cost (ADC)</t>
        </is>
      </c>
      <c r="C189" s="25">
        <f>U187</f>
        <v/>
      </c>
      <c r="D189" s="21" t="n">
        <v>70000</v>
      </c>
      <c r="E189" s="26">
        <f>IF(ISNUMBER(D189),IF(ISNUMBER(U187),ABS(U187-D189),"N/A"),"N/A")</f>
        <v/>
      </c>
      <c r="F189" s="15">
        <f>IFERROR(IF(ISNUMBER(D189),IF(ISNUMBER(U187),IF(ABS(U187-D189)&lt;=0.01,"PASS","FAIL"),"FAIL"),IF(NOT(ISNUMBER(U187)),IF(U187=D189,"PASS","FAIL"),"FAIL")),"FAIL")</f>
        <v/>
      </c>
    </row>
    <row r="190">
      <c r="B190" s="8" t="inlineStr">
        <is>
          <t>Actual Direct Cost</t>
        </is>
      </c>
      <c r="C190" s="25">
        <f>V187</f>
        <v/>
      </c>
      <c r="D190" s="30" t="inlineStr">
        <is>
          <t>UNKNOWN</t>
        </is>
      </c>
      <c r="E190" s="26">
        <f>IF(ISNUMBER(D190),IF(ISNUMBER(V187),ABS(V187-D190),"N/A"),"N/A")</f>
        <v/>
      </c>
      <c r="F190" s="15">
        <f>IFERROR(IF(ISNUMBER(D190),IF(ISNUMBER(V187),IF(ABS(V187-D190)&lt;=0.01,"PASS","FAIL"),"FAIL"),IF(NOT(ISNUMBER(V187)),IF(V187=D190,"PASS","FAIL"),"FAIL")),"FAIL")</f>
        <v/>
      </c>
    </row>
    <row r="191">
      <c r="B191" s="8" t="inlineStr">
        <is>
          <t>Direct Cost Gap (ADC − Actual)</t>
        </is>
      </c>
      <c r="C191" s="25">
        <f>W187</f>
        <v/>
      </c>
      <c r="D191" s="30" t="inlineStr">
        <is>
          <t>UNKNOWN</t>
        </is>
      </c>
      <c r="E191" s="26">
        <f>IF(ISNUMBER(D191),IF(ISNUMBER(W187),ABS(W187-D191),"N/A"),"N/A")</f>
        <v/>
      </c>
      <c r="F191" s="15">
        <f>IFERROR(IF(ISNUMBER(D191),IF(ISNUMBER(W187),IF(ABS(W187-D191)&lt;=0.01,"PASS","FAIL"),"FAIL"),IF(NOT(ISNUMBER(W187)),IF(W187=D191,"PASS","FAIL"),"FAIL")),"FAIL")</f>
        <v/>
      </c>
    </row>
    <row r="192">
      <c r="B192" s="8" t="inlineStr">
        <is>
          <t>Expected Contribution Margin</t>
        </is>
      </c>
      <c r="C192" s="25">
        <f>X187</f>
        <v/>
      </c>
      <c r="D192" s="21" t="n">
        <v>30000</v>
      </c>
      <c r="E192" s="26">
        <f>IF(ISNUMBER(D192),IF(ISNUMBER(X187),ABS(X187-D192),"N/A"),"N/A")</f>
        <v/>
      </c>
      <c r="F192" s="15">
        <f>IFERROR(IF(ISNUMBER(D192),IF(ISNUMBER(X187),IF(ABS(X187-D192)&lt;=0.01,"PASS","FAIL"),"FAIL"),IF(NOT(ISNUMBER(X187)),IF(X187=D192,"PASS","FAIL"),"FAIL")),"FAIL")</f>
        <v/>
      </c>
    </row>
    <row r="193">
      <c r="B193" s="8" t="inlineStr">
        <is>
          <t>Expected CM Rate</t>
        </is>
      </c>
      <c r="C193" s="28">
        <f>Y187</f>
        <v/>
      </c>
      <c r="D193" s="29" t="n">
        <v>0.3</v>
      </c>
      <c r="E193" s="26">
        <f>IF(ISNUMBER(D193),IF(ISNUMBER(Y187),ABS(Y187-D193),"N/A"),"N/A")</f>
        <v/>
      </c>
      <c r="F193" s="15">
        <f>IFERROR(IF(ISNUMBER(D193),IF(ISNUMBER(Y187),IF(ABS(Y187-D193)&lt;=0.0001,"PASS","FAIL"),"FAIL"),IF(NOT(ISNUMBER(Y187)),IF(Y187=D193,"PASS","FAIL"),"FAIL")),"FAIL")</f>
        <v/>
      </c>
    </row>
    <row r="195" ht="20" customHeight="1">
      <c r="B195" s="2" t="inlineStr">
        <is>
          <t>TC20. Shared actual_direct_cost unresolved, ADC unaffected (dependency isolation, Case B)</t>
        </is>
      </c>
      <c r="C195" s="7" t="n"/>
      <c r="D195" s="7" t="n"/>
      <c r="E195" s="7" t="n"/>
      <c r="F195" s="7" t="n"/>
    </row>
    <row r="196">
      <c r="B196" s="4" t="inlineStr">
        <is>
          <t>Metric</t>
        </is>
      </c>
      <c r="C196" s="4" t="inlineStr">
        <is>
          <t>Excel Result</t>
        </is>
      </c>
      <c r="D196" s="4" t="inlineStr">
        <is>
          <t>Python Reference</t>
        </is>
      </c>
      <c r="E196" s="4" t="inlineStr">
        <is>
          <t>Difference</t>
        </is>
      </c>
      <c r="F196" s="4" t="inlineStr">
        <is>
          <t>PASS / FAIL</t>
        </is>
      </c>
    </row>
    <row r="197">
      <c r="B197" s="8" t="inlineStr">
        <is>
          <t>Market Net Sales ex VAT (N)</t>
        </is>
      </c>
      <c r="C197" s="25">
        <f>S197</f>
        <v/>
      </c>
      <c r="D197" s="21" t="n">
        <v>100000</v>
      </c>
      <c r="E197" s="26">
        <f>IF(ISNUMBER(D197),IF(ISNUMBER(S197),ABS(S197-D197),"N/A"),"N/A")</f>
        <v/>
      </c>
      <c r="F197" s="15">
        <f>IFERROR(IF(ISNUMBER(D197),IF(ISNUMBER(S197),IF(ABS(S197-D197)&lt;=0.01,"PASS","FAIL"),"FAIL"),IF(NOT(ISNUMBER(S197)),IF(S197=D197,"PASS","FAIL"),"FAIL")),"FAIL")</f>
        <v/>
      </c>
      <c r="I197" t="n">
        <v>100000</v>
      </c>
      <c r="J197" t="b">
        <v>0</v>
      </c>
      <c r="L197" t="n">
        <v>0.3</v>
      </c>
      <c r="M197" t="n">
        <v>0</v>
      </c>
      <c r="N197" t="n">
        <v>0</v>
      </c>
      <c r="O197" t="n">
        <v>0</v>
      </c>
      <c r="P197" t="n">
        <v>0</v>
      </c>
      <c r="Q197" t="inlineStr">
        <is>
          <t>none</t>
        </is>
      </c>
      <c r="R197" t="inlineStr">
        <is>
          <t>unresolved</t>
        </is>
      </c>
      <c r="S197">
        <f>IFERROR(IF(ISBLANK($I$197),"UNKNOWN",IF(ISBLANK($J$197),"UNKNOWN",IF($J$197=FALSE,$I$197,IF(ISBLANK($K$197),"UNKNOWN",$I$197/(1+$K$197))))),"ERROR")</f>
        <v/>
      </c>
      <c r="T197">
        <f>IFERROR(IF(ISBLANK($I$197),"UNKNOWN",IF(ISBLANK($J$197),"UNKNOWN",IF($J$197=TRUE,$I$197,IF(ISBLANK($K$197),"UNKNOWN",$I$197*(1+$K$197))))),"ERROR")</f>
        <v/>
      </c>
      <c r="U197">
        <f>IFERROR(IF(OR(S197="ERROR",Z197="ERROR",AA197="ERROR",AB197="ERROR",AC197="ERROR"),"ERROR",IF(OR(NOT(ISNUMBER(S197)),NOT(ISNUMBER(Z197)),NOT(ISNUMBER(AA197)),NOT(ISNUMBER(AB197)),NOT(ISNUMBER(AC197))),"UNKNOWN",IF(AC197&gt;0,IF(T197="ERROR","ERROR",IF(NOT(ISNUMBER(T197)),"UNKNOWN",S197*(1-Z197-AB197)-AC197*T197-AA197)),S197*(1-Z197-AB197)-AA197))),"ERROR")</f>
        <v/>
      </c>
      <c r="V197">
        <f>IFERROR(IF($R$197="invalid","ERROR",IF($R$197="unresolved","UNKNOWN",IF(ISBLANK($P$197),"UNKNOWN",$P$197))),"ERROR")</f>
        <v/>
      </c>
      <c r="W197">
        <f>IFERROR(IF(OR(U197="ERROR",V197="ERROR"),"ERROR",IF(OR(NOT(ISNUMBER(U197)),NOT(ISNUMBER(V197))),"UNKNOWN",U197-V197)),"ERROR")</f>
        <v/>
      </c>
      <c r="X197">
        <f>IFERROR(IF(U197="ERROR","ERROR",IF(NOT(ISNUMBER(U197)),"UNKNOWN",IF(AC197&gt;0,S197-U197-AA197-AB197*S197-AC197*T197,S197-U197-AA197-AB197*S197))),"ERROR")</f>
        <v/>
      </c>
      <c r="Y197">
        <f>IFERROR(IF(X197="ERROR","ERROR",IF(NOT(ISNUMBER(X197)),"UNKNOWN",IF(S197=0,"ERROR",X197/S197))),"ERROR")</f>
        <v/>
      </c>
      <c r="Z197">
        <f>IFERROR(IF(ISBLANK($L$197),"UNKNOWN",IF(OR($L$197&lt;0,$L$197&gt;=1),"ERROR",$L$197)),"ERROR")</f>
        <v/>
      </c>
      <c r="AA197">
        <f>IFERROR(IF($Q$197="invalid","ERROR",IF($Q$197="unresolved","UNKNOWN",IF(ISBLANK($M$197),"UNKNOWN",$M$197))),"ERROR")</f>
        <v/>
      </c>
      <c r="AB197">
        <f>IFERROR(IF($Q$197="invalid","ERROR",IF($Q$197="unresolved","UNKNOWN",IF(ISBLANK($N$197),"UNKNOWN",$N$197))),"ERROR")</f>
        <v/>
      </c>
      <c r="AC197">
        <f>IFERROR(IF($Q$197="invalid","ERROR",IF($Q$197="unresolved","UNKNOWN",IF(ISBLANK($O$197),"UNKNOWN",$O$197))),"ERROR")</f>
        <v/>
      </c>
    </row>
    <row r="198">
      <c r="B198" s="8" t="inlineStr">
        <is>
          <t>Market Gross Payment incl VAT (G)</t>
        </is>
      </c>
      <c r="C198" s="25">
        <f>T197</f>
        <v/>
      </c>
      <c r="D198" s="30" t="inlineStr">
        <is>
          <t>UNKNOWN</t>
        </is>
      </c>
      <c r="E198" s="26">
        <f>IF(ISNUMBER(D198),IF(ISNUMBER(T197),ABS(T197-D198),"N/A"),"N/A")</f>
        <v/>
      </c>
      <c r="F198" s="15">
        <f>IFERROR(IF(ISNUMBER(D198),IF(ISNUMBER(T197),IF(ABS(T197-D198)&lt;=0.01,"PASS","FAIL"),"FAIL"),IF(NOT(ISNUMBER(T197)),IF(T197=D198,"PASS","FAIL"),"FAIL")),"FAIL")</f>
        <v/>
      </c>
    </row>
    <row r="199">
      <c r="B199" s="8" t="inlineStr">
        <is>
          <t>Allowable Direct Cost (ADC)</t>
        </is>
      </c>
      <c r="C199" s="25">
        <f>U197</f>
        <v/>
      </c>
      <c r="D199" s="21" t="n">
        <v>70000</v>
      </c>
      <c r="E199" s="26">
        <f>IF(ISNUMBER(D199),IF(ISNUMBER(U197),ABS(U197-D199),"N/A"),"N/A")</f>
        <v/>
      </c>
      <c r="F199" s="15">
        <f>IFERROR(IF(ISNUMBER(D199),IF(ISNUMBER(U197),IF(ABS(U197-D199)&lt;=0.01,"PASS","FAIL"),"FAIL"),IF(NOT(ISNUMBER(U197)),IF(U197=D199,"PASS","FAIL"),"FAIL")),"FAIL")</f>
        <v/>
      </c>
    </row>
    <row r="200">
      <c r="B200" s="8" t="inlineStr">
        <is>
          <t>Actual Direct Cost</t>
        </is>
      </c>
      <c r="C200" s="25">
        <f>V197</f>
        <v/>
      </c>
      <c r="D200" s="30" t="inlineStr">
        <is>
          <t>UNKNOWN</t>
        </is>
      </c>
      <c r="E200" s="26">
        <f>IF(ISNUMBER(D200),IF(ISNUMBER(V197),ABS(V197-D200),"N/A"),"N/A")</f>
        <v/>
      </c>
      <c r="F200" s="15">
        <f>IFERROR(IF(ISNUMBER(D200),IF(ISNUMBER(V197),IF(ABS(V197-D200)&lt;=0.01,"PASS","FAIL"),"FAIL"),IF(NOT(ISNUMBER(V197)),IF(V197=D200,"PASS","FAIL"),"FAIL")),"FAIL")</f>
        <v/>
      </c>
    </row>
    <row r="201">
      <c r="B201" s="8" t="inlineStr">
        <is>
          <t>Direct Cost Gap (ADC − Actual)</t>
        </is>
      </c>
      <c r="C201" s="25">
        <f>W197</f>
        <v/>
      </c>
      <c r="D201" s="30" t="inlineStr">
        <is>
          <t>UNKNOWN</t>
        </is>
      </c>
      <c r="E201" s="26">
        <f>IF(ISNUMBER(D201),IF(ISNUMBER(W197),ABS(W197-D201),"N/A"),"N/A")</f>
        <v/>
      </c>
      <c r="F201" s="15">
        <f>IFERROR(IF(ISNUMBER(D201),IF(ISNUMBER(W197),IF(ABS(W197-D201)&lt;=0.01,"PASS","FAIL"),"FAIL"),IF(NOT(ISNUMBER(W197)),IF(W197=D201,"PASS","FAIL"),"FAIL")),"FAIL")</f>
        <v/>
      </c>
    </row>
    <row r="202">
      <c r="B202" s="8" t="inlineStr">
        <is>
          <t>Expected Contribution Margin</t>
        </is>
      </c>
      <c r="C202" s="25">
        <f>X197</f>
        <v/>
      </c>
      <c r="D202" s="21" t="n">
        <v>30000</v>
      </c>
      <c r="E202" s="26">
        <f>IF(ISNUMBER(D202),IF(ISNUMBER(X197),ABS(X197-D202),"N/A"),"N/A")</f>
        <v/>
      </c>
      <c r="F202" s="15">
        <f>IFERROR(IF(ISNUMBER(D202),IF(ISNUMBER(X197),IF(ABS(X197-D202)&lt;=0.01,"PASS","FAIL"),"FAIL"),IF(NOT(ISNUMBER(X197)),IF(X197=D202,"PASS","FAIL"),"FAIL")),"FAIL")</f>
        <v/>
      </c>
    </row>
    <row r="203">
      <c r="B203" s="8" t="inlineStr">
        <is>
          <t>Expected CM Rate</t>
        </is>
      </c>
      <c r="C203" s="28">
        <f>Y197</f>
        <v/>
      </c>
      <c r="D203" s="29" t="n">
        <v>0.3</v>
      </c>
      <c r="E203" s="26">
        <f>IF(ISNUMBER(D203),IF(ISNUMBER(Y197),ABS(Y197-D203),"N/A"),"N/A")</f>
        <v/>
      </c>
      <c r="F203" s="15">
        <f>IFERROR(IF(ISNUMBER(D203),IF(ISNUMBER(Y197),IF(ABS(Y197-D203)&lt;=0.0001,"PASS","FAIL"),"FAIL"),IF(NOT(ISNUMBER(Y197)),IF(Y197=D203,"PASS","FAIL"),"FAIL")),"FAIL")</f>
        <v/>
      </c>
    </row>
    <row r="205" ht="20" customHeight="1">
      <c r="B205" s="2" t="inlineStr">
        <is>
          <t>Overall (all 20 scenarios — TC1-20, all live Excel evaluation)</t>
        </is>
      </c>
      <c r="C205" s="7" t="n"/>
    </row>
    <row r="206">
      <c r="B206" s="8" t="inlineStr">
        <is>
          <t>All metrics PASS?</t>
        </is>
      </c>
      <c r="C206" s="15">
        <f>IF(COUNTIF(F7:F203,"FAIL")=0,"ALL PASS","SOME FAILED")</f>
        <v/>
      </c>
    </row>
  </sheetData>
  <mergeCells count="23">
    <mergeCell ref="B2:G2"/>
    <mergeCell ref="B75:F75"/>
    <mergeCell ref="B125:F125"/>
    <mergeCell ref="B25:F25"/>
    <mergeCell ref="B165:F165"/>
    <mergeCell ref="B185:F185"/>
    <mergeCell ref="B115:F115"/>
    <mergeCell ref="B155:F155"/>
    <mergeCell ref="B105:F105"/>
    <mergeCell ref="B195:F195"/>
    <mergeCell ref="B145:F145"/>
    <mergeCell ref="B175:F175"/>
    <mergeCell ref="B205:C205"/>
    <mergeCell ref="B3:G3"/>
    <mergeCell ref="B65:F65"/>
    <mergeCell ref="B55:F55"/>
    <mergeCell ref="B95:F95"/>
    <mergeCell ref="B15:F15"/>
    <mergeCell ref="B5:F5"/>
    <mergeCell ref="B45:F45"/>
    <mergeCell ref="B85:F85"/>
    <mergeCell ref="B135:F135"/>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27">
    <cfRule type="expression" priority="169" dxfId="0">
      <formula>F127="FAIL"</formula>
    </cfRule>
    <cfRule type="expression" priority="170" dxfId="1">
      <formula>F127="PASS"</formula>
    </cfRule>
  </conditionalFormatting>
  <conditionalFormatting sqref="F128">
    <cfRule type="expression" priority="171" dxfId="0">
      <formula>F128="FAIL"</formula>
    </cfRule>
    <cfRule type="expression" priority="172" dxfId="1">
      <formula>F128="PASS"</formula>
    </cfRule>
  </conditionalFormatting>
  <conditionalFormatting sqref="F129">
    <cfRule type="expression" priority="173" dxfId="0">
      <formula>F129="FAIL"</formula>
    </cfRule>
    <cfRule type="expression" priority="174" dxfId="1">
      <formula>F129="PASS"</formula>
    </cfRule>
  </conditionalFormatting>
  <conditionalFormatting sqref="F130">
    <cfRule type="expression" priority="175" dxfId="0">
      <formula>F130="FAIL"</formula>
    </cfRule>
    <cfRule type="expression" priority="176" dxfId="1">
      <formula>F130="PASS"</formula>
    </cfRule>
  </conditionalFormatting>
  <conditionalFormatting sqref="F131">
    <cfRule type="expression" priority="177" dxfId="0">
      <formula>F131="FAIL"</formula>
    </cfRule>
    <cfRule type="expression" priority="178" dxfId="1">
      <formula>F131="PASS"</formula>
    </cfRule>
  </conditionalFormatting>
  <conditionalFormatting sqref="F132">
    <cfRule type="expression" priority="179" dxfId="0">
      <formula>F132="FAIL"</formula>
    </cfRule>
    <cfRule type="expression" priority="180" dxfId="1">
      <formula>F132="PASS"</formula>
    </cfRule>
  </conditionalFormatting>
  <conditionalFormatting sqref="F133">
    <cfRule type="expression" priority="181" dxfId="0">
      <formula>F133="FAIL"</formula>
    </cfRule>
    <cfRule type="expression" priority="182" dxfId="1">
      <formula>F133="PASS"</formula>
    </cfRule>
  </conditionalFormatting>
  <conditionalFormatting sqref="F137">
    <cfRule type="expression" priority="183" dxfId="0">
      <formula>F137="FAIL"</formula>
    </cfRule>
    <cfRule type="expression" priority="184" dxfId="1">
      <formula>F137="PASS"</formula>
    </cfRule>
  </conditionalFormatting>
  <conditionalFormatting sqref="F138">
    <cfRule type="expression" priority="185" dxfId="0">
      <formula>F138="FAIL"</formula>
    </cfRule>
    <cfRule type="expression" priority="186" dxfId="1">
      <formula>F138="PASS"</formula>
    </cfRule>
  </conditionalFormatting>
  <conditionalFormatting sqref="F139">
    <cfRule type="expression" priority="187" dxfId="0">
      <formula>F139="FAIL"</formula>
    </cfRule>
    <cfRule type="expression" priority="188" dxfId="1">
      <formula>F139="PASS"</formula>
    </cfRule>
  </conditionalFormatting>
  <conditionalFormatting sqref="F140">
    <cfRule type="expression" priority="189" dxfId="0">
      <formula>F140="FAIL"</formula>
    </cfRule>
    <cfRule type="expression" priority="190" dxfId="1">
      <formula>F140="PASS"</formula>
    </cfRule>
  </conditionalFormatting>
  <conditionalFormatting sqref="F141">
    <cfRule type="expression" priority="191" dxfId="0">
      <formula>F141="FAIL"</formula>
    </cfRule>
    <cfRule type="expression" priority="192" dxfId="1">
      <formula>F141="PASS"</formula>
    </cfRule>
  </conditionalFormatting>
  <conditionalFormatting sqref="F142">
    <cfRule type="expression" priority="193" dxfId="0">
      <formula>F142="FAIL"</formula>
    </cfRule>
    <cfRule type="expression" priority="194" dxfId="1">
      <formula>F142="PASS"</formula>
    </cfRule>
  </conditionalFormatting>
  <conditionalFormatting sqref="F143">
    <cfRule type="expression" priority="195" dxfId="0">
      <formula>F143="FAIL"</formula>
    </cfRule>
    <cfRule type="expression" priority="196" dxfId="1">
      <formula>F143="PASS"</formula>
    </cfRule>
  </conditionalFormatting>
  <conditionalFormatting sqref="F147">
    <cfRule type="expression" priority="197" dxfId="0">
      <formula>F147="FAIL"</formula>
    </cfRule>
    <cfRule type="expression" priority="198" dxfId="1">
      <formula>F147="PASS"</formula>
    </cfRule>
  </conditionalFormatting>
  <conditionalFormatting sqref="F148">
    <cfRule type="expression" priority="199" dxfId="0">
      <formula>F148="FAIL"</formula>
    </cfRule>
    <cfRule type="expression" priority="200" dxfId="1">
      <formula>F148="PASS"</formula>
    </cfRule>
  </conditionalFormatting>
  <conditionalFormatting sqref="F149">
    <cfRule type="expression" priority="201" dxfId="0">
      <formula>F149="FAIL"</formula>
    </cfRule>
    <cfRule type="expression" priority="202" dxfId="1">
      <formula>F149="PASS"</formula>
    </cfRule>
  </conditionalFormatting>
  <conditionalFormatting sqref="F150">
    <cfRule type="expression" priority="203" dxfId="0">
      <formula>F150="FAIL"</formula>
    </cfRule>
    <cfRule type="expression" priority="204" dxfId="1">
      <formula>F150="PASS"</formula>
    </cfRule>
  </conditionalFormatting>
  <conditionalFormatting sqref="F151">
    <cfRule type="expression" priority="205" dxfId="0">
      <formula>F151="FAIL"</formula>
    </cfRule>
    <cfRule type="expression" priority="206" dxfId="1">
      <formula>F151="PASS"</formula>
    </cfRule>
  </conditionalFormatting>
  <conditionalFormatting sqref="F152">
    <cfRule type="expression" priority="207" dxfId="0">
      <formula>F152="FAIL"</formula>
    </cfRule>
    <cfRule type="expression" priority="208" dxfId="1">
      <formula>F152="PASS"</formula>
    </cfRule>
  </conditionalFormatting>
  <conditionalFormatting sqref="F153">
    <cfRule type="expression" priority="209" dxfId="0">
      <formula>F153="FAIL"</formula>
    </cfRule>
    <cfRule type="expression" priority="210" dxfId="1">
      <formula>F153="PASS"</formula>
    </cfRule>
  </conditionalFormatting>
  <conditionalFormatting sqref="F157">
    <cfRule type="expression" priority="211" dxfId="0">
      <formula>F157="FAIL"</formula>
    </cfRule>
    <cfRule type="expression" priority="212" dxfId="1">
      <formula>F157="PASS"</formula>
    </cfRule>
  </conditionalFormatting>
  <conditionalFormatting sqref="F158">
    <cfRule type="expression" priority="213" dxfId="0">
      <formula>F158="FAIL"</formula>
    </cfRule>
    <cfRule type="expression" priority="214" dxfId="1">
      <formula>F158="PASS"</formula>
    </cfRule>
  </conditionalFormatting>
  <conditionalFormatting sqref="F159">
    <cfRule type="expression" priority="215" dxfId="0">
      <formula>F159="FAIL"</formula>
    </cfRule>
    <cfRule type="expression" priority="216" dxfId="1">
      <formula>F159="PASS"</formula>
    </cfRule>
  </conditionalFormatting>
  <conditionalFormatting sqref="F160">
    <cfRule type="expression" priority="217" dxfId="0">
      <formula>F160="FAIL"</formula>
    </cfRule>
    <cfRule type="expression" priority="218" dxfId="1">
      <formula>F160="PASS"</formula>
    </cfRule>
  </conditionalFormatting>
  <conditionalFormatting sqref="F161">
    <cfRule type="expression" priority="219" dxfId="0">
      <formula>F161="FAIL"</formula>
    </cfRule>
    <cfRule type="expression" priority="220" dxfId="1">
      <formula>F161="PASS"</formula>
    </cfRule>
  </conditionalFormatting>
  <conditionalFormatting sqref="F162">
    <cfRule type="expression" priority="221" dxfId="0">
      <formula>F162="FAIL"</formula>
    </cfRule>
    <cfRule type="expression" priority="222" dxfId="1">
      <formula>F162="PASS"</formula>
    </cfRule>
  </conditionalFormatting>
  <conditionalFormatting sqref="F163">
    <cfRule type="expression" priority="223" dxfId="0">
      <formula>F163="FAIL"</formula>
    </cfRule>
    <cfRule type="expression" priority="224" dxfId="1">
      <formula>F163="PASS"</formula>
    </cfRule>
  </conditionalFormatting>
  <conditionalFormatting sqref="F167">
    <cfRule type="expression" priority="225" dxfId="0">
      <formula>F167="FAIL"</formula>
    </cfRule>
    <cfRule type="expression" priority="226" dxfId="1">
      <formula>F167="PASS"</formula>
    </cfRule>
  </conditionalFormatting>
  <conditionalFormatting sqref="F168">
    <cfRule type="expression" priority="227" dxfId="0">
      <formula>F168="FAIL"</formula>
    </cfRule>
    <cfRule type="expression" priority="228" dxfId="1">
      <formula>F168="PASS"</formula>
    </cfRule>
  </conditionalFormatting>
  <conditionalFormatting sqref="F169">
    <cfRule type="expression" priority="229" dxfId="0">
      <formula>F169="FAIL"</formula>
    </cfRule>
    <cfRule type="expression" priority="230" dxfId="1">
      <formula>F169="PASS"</formula>
    </cfRule>
  </conditionalFormatting>
  <conditionalFormatting sqref="F170">
    <cfRule type="expression" priority="231" dxfId="0">
      <formula>F170="FAIL"</formula>
    </cfRule>
    <cfRule type="expression" priority="232" dxfId="1">
      <formula>F170="PASS"</formula>
    </cfRule>
  </conditionalFormatting>
  <conditionalFormatting sqref="F171">
    <cfRule type="expression" priority="233" dxfId="0">
      <formula>F171="FAIL"</formula>
    </cfRule>
    <cfRule type="expression" priority="234" dxfId="1">
      <formula>F171="PASS"</formula>
    </cfRule>
  </conditionalFormatting>
  <conditionalFormatting sqref="F172">
    <cfRule type="expression" priority="235" dxfId="0">
      <formula>F172="FAIL"</formula>
    </cfRule>
    <cfRule type="expression" priority="236" dxfId="1">
      <formula>F172="PASS"</formula>
    </cfRule>
  </conditionalFormatting>
  <conditionalFormatting sqref="F173">
    <cfRule type="expression" priority="237" dxfId="0">
      <formula>F173="FAIL"</formula>
    </cfRule>
    <cfRule type="expression" priority="238" dxfId="1">
      <formula>F173="PASS"</formula>
    </cfRule>
  </conditionalFormatting>
  <conditionalFormatting sqref="F177">
    <cfRule type="expression" priority="239" dxfId="0">
      <formula>F177="FAIL"</formula>
    </cfRule>
    <cfRule type="expression" priority="240" dxfId="1">
      <formula>F177="PASS"</formula>
    </cfRule>
  </conditionalFormatting>
  <conditionalFormatting sqref="F178">
    <cfRule type="expression" priority="241" dxfId="0">
      <formula>F178="FAIL"</formula>
    </cfRule>
    <cfRule type="expression" priority="242" dxfId="1">
      <formula>F178="PASS"</formula>
    </cfRule>
  </conditionalFormatting>
  <conditionalFormatting sqref="F179">
    <cfRule type="expression" priority="243" dxfId="0">
      <formula>F179="FAIL"</formula>
    </cfRule>
    <cfRule type="expression" priority="244" dxfId="1">
      <formula>F179="PASS"</formula>
    </cfRule>
  </conditionalFormatting>
  <conditionalFormatting sqref="F180">
    <cfRule type="expression" priority="245" dxfId="0">
      <formula>F180="FAIL"</formula>
    </cfRule>
    <cfRule type="expression" priority="246" dxfId="1">
      <formula>F180="PASS"</formula>
    </cfRule>
  </conditionalFormatting>
  <conditionalFormatting sqref="F181">
    <cfRule type="expression" priority="247" dxfId="0">
      <formula>F181="FAIL"</formula>
    </cfRule>
    <cfRule type="expression" priority="248" dxfId="1">
      <formula>F181="PASS"</formula>
    </cfRule>
  </conditionalFormatting>
  <conditionalFormatting sqref="F182">
    <cfRule type="expression" priority="249" dxfId="0">
      <formula>F182="FAIL"</formula>
    </cfRule>
    <cfRule type="expression" priority="250" dxfId="1">
      <formula>F182="PASS"</formula>
    </cfRule>
  </conditionalFormatting>
  <conditionalFormatting sqref="F183">
    <cfRule type="expression" priority="251" dxfId="0">
      <formula>F183="FAIL"</formula>
    </cfRule>
    <cfRule type="expression" priority="252" dxfId="1">
      <formula>F183="PASS"</formula>
    </cfRule>
  </conditionalFormatting>
  <conditionalFormatting sqref="F187">
    <cfRule type="expression" priority="253" dxfId="0">
      <formula>F187="FAIL"</formula>
    </cfRule>
    <cfRule type="expression" priority="254" dxfId="1">
      <formula>F187="PASS"</formula>
    </cfRule>
  </conditionalFormatting>
  <conditionalFormatting sqref="F188">
    <cfRule type="expression" priority="255" dxfId="0">
      <formula>F188="FAIL"</formula>
    </cfRule>
    <cfRule type="expression" priority="256" dxfId="1">
      <formula>F188="PASS"</formula>
    </cfRule>
  </conditionalFormatting>
  <conditionalFormatting sqref="F189">
    <cfRule type="expression" priority="257" dxfId="0">
      <formula>F189="FAIL"</formula>
    </cfRule>
    <cfRule type="expression" priority="258" dxfId="1">
      <formula>F189="PASS"</formula>
    </cfRule>
  </conditionalFormatting>
  <conditionalFormatting sqref="F190">
    <cfRule type="expression" priority="259" dxfId="0">
      <formula>F190="FAIL"</formula>
    </cfRule>
    <cfRule type="expression" priority="260" dxfId="1">
      <formula>F190="PASS"</formula>
    </cfRule>
  </conditionalFormatting>
  <conditionalFormatting sqref="F191">
    <cfRule type="expression" priority="261" dxfId="0">
      <formula>F191="FAIL"</formula>
    </cfRule>
    <cfRule type="expression" priority="262" dxfId="1">
      <formula>F191="PASS"</formula>
    </cfRule>
  </conditionalFormatting>
  <conditionalFormatting sqref="F192">
    <cfRule type="expression" priority="263" dxfId="0">
      <formula>F192="FAIL"</formula>
    </cfRule>
    <cfRule type="expression" priority="264" dxfId="1">
      <formula>F192="PASS"</formula>
    </cfRule>
  </conditionalFormatting>
  <conditionalFormatting sqref="F193">
    <cfRule type="expression" priority="265" dxfId="0">
      <formula>F193="FAIL"</formula>
    </cfRule>
    <cfRule type="expression" priority="266" dxfId="1">
      <formula>F193="PASS"</formula>
    </cfRule>
  </conditionalFormatting>
  <conditionalFormatting sqref="F197">
    <cfRule type="expression" priority="267" dxfId="0">
      <formula>F197="FAIL"</formula>
    </cfRule>
    <cfRule type="expression" priority="268" dxfId="1">
      <formula>F197="PASS"</formula>
    </cfRule>
  </conditionalFormatting>
  <conditionalFormatting sqref="F198">
    <cfRule type="expression" priority="269" dxfId="0">
      <formula>F198="FAIL"</formula>
    </cfRule>
    <cfRule type="expression" priority="270" dxfId="1">
      <formula>F198="PASS"</formula>
    </cfRule>
  </conditionalFormatting>
  <conditionalFormatting sqref="F199">
    <cfRule type="expression" priority="271" dxfId="0">
      <formula>F199="FAIL"</formula>
    </cfRule>
    <cfRule type="expression" priority="272" dxfId="1">
      <formula>F199="PASS"</formula>
    </cfRule>
  </conditionalFormatting>
  <conditionalFormatting sqref="F200">
    <cfRule type="expression" priority="273" dxfId="0">
      <formula>F200="FAIL"</formula>
    </cfRule>
    <cfRule type="expression" priority="274" dxfId="1">
      <formula>F200="PASS"</formula>
    </cfRule>
  </conditionalFormatting>
  <conditionalFormatting sqref="F201">
    <cfRule type="expression" priority="275" dxfId="0">
      <formula>F201="FAIL"</formula>
    </cfRule>
    <cfRule type="expression" priority="276" dxfId="1">
      <formula>F201="PASS"</formula>
    </cfRule>
  </conditionalFormatting>
  <conditionalFormatting sqref="F202">
    <cfRule type="expression" priority="277" dxfId="0">
      <formula>F202="FAIL"</formula>
    </cfRule>
    <cfRule type="expression" priority="278" dxfId="1">
      <formula>F202="PASS"</formula>
    </cfRule>
  </conditionalFormatting>
  <conditionalFormatting sqref="F203">
    <cfRule type="expression" priority="279" dxfId="0">
      <formula>F203="FAIL"</formula>
    </cfRule>
    <cfRule type="expression" priority="280" dxfId="1">
      <formula>F203="PASS"</formula>
    </cfRule>
  </conditionalFormatting>
  <conditionalFormatting sqref="C206">
    <cfRule type="expression" priority="281" dxfId="0">
      <formula>C206="SOME FAILED"</formula>
    </cfRule>
    <cfRule type="expression" priority="282" dxfId="1">
      <formula>C206="ALL PASS"</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B2:L3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50" customWidth="1" min="4" max="4"/>
    <col hidden="1" width="13" customWidth="1" min="10" max="10"/>
    <col hidden="1" width="13" customWidth="1" min="11" max="11"/>
    <col hidden="1" width="13" customWidth="1" min="12" max="12"/>
  </cols>
  <sheetData>
    <row r="2" ht="26" customHeight="1">
      <c r="B2" s="1" t="inlineStr">
        <is>
          <t>08. BEP Simulator — Break-Even Point (Interactive)</t>
        </is>
      </c>
      <c r="C2" s="6" t="n"/>
      <c r="D2" s="6" t="n"/>
    </row>
    <row r="4" ht="20" customHeight="1">
      <c r="B4" s="2" t="inlineStr">
        <is>
          <t>INPUT (노란 셀만 입력, 단일 컴포넌트 기준)</t>
        </is>
      </c>
      <c r="C4" s="7" t="n"/>
    </row>
    <row r="5">
      <c r="B5" s="8" t="inlineStr">
        <is>
          <t>Actual Price</t>
        </is>
      </c>
      <c r="C5" s="11" t="n">
        <v>20000</v>
      </c>
      <c r="D5" s="8" t="inlineStr">
        <is>
          <t>현재 실제 판매가격 — BEP는 항상 current price 기준 (MODE B/C 가격 대입 안 함)</t>
        </is>
      </c>
    </row>
    <row r="6">
      <c r="B6" s="8" t="inlineStr">
        <is>
          <t>Price Includes VAT</t>
        </is>
      </c>
      <c r="C6" s="9" t="b">
        <v>0</v>
      </c>
      <c r="D6" s="8" t="inlineStr">
        <is>
          <t>TRUE=판매가에 VAT 포함 / FALSE=별도 / 빈칸=모름</t>
        </is>
      </c>
    </row>
    <row r="7">
      <c r="B7" s="8" t="inlineStr">
        <is>
          <t>VAT Rate (v)</t>
        </is>
      </c>
      <c r="C7" s="12" t="n">
        <v>0.1</v>
      </c>
      <c r="D7" s="8" t="inlineStr">
        <is>
          <t>a=0이면 CMu 계산에 불필요</t>
        </is>
      </c>
    </row>
    <row r="8">
      <c r="B8" s="8" t="inlineStr">
        <is>
          <t>Product/Service Direct Cost</t>
        </is>
      </c>
      <c r="C8" s="11" t="n">
        <v>8000</v>
      </c>
      <c r="D8" s="8" t="inlineStr">
        <is>
          <t>CMu 계산에만 사용 (fixed_operating_cost와 무관)</t>
        </is>
      </c>
    </row>
    <row r="9">
      <c r="B9" s="8" t="inlineStr">
        <is>
          <t>Variable Selling/Delivery Cost (Fixed Amount)</t>
        </is>
      </c>
      <c r="C9" s="11" t="n">
        <v>2000</v>
      </c>
      <c r="D9" s="8" t="inlineStr">
        <is>
          <t>variable_selling_delivery 중 금액형 항목 합계</t>
        </is>
      </c>
    </row>
    <row r="10">
      <c r="B10" s="8" t="inlineStr">
        <is>
          <t>Net-Sales Fee Rate (b)</t>
        </is>
      </c>
      <c r="C10" s="12" t="n">
        <v>0</v>
      </c>
      <c r="D10" s="8" t="inlineStr">
        <is>
          <t>rate_of_net_sales 합계 — N에 곱함. 없으면 0</t>
        </is>
      </c>
    </row>
    <row r="11">
      <c r="B11" s="8" t="inlineStr">
        <is>
          <t>Gross-Payment Fee Rate (a)</t>
        </is>
      </c>
      <c r="C11" s="12" t="n">
        <v>0</v>
      </c>
      <c r="D11" s="8" t="inlineStr">
        <is>
          <t>rate_of_gross_payment 합계 — G에 곱함. 없으면 0</t>
        </is>
      </c>
    </row>
    <row r="12">
      <c r="B12" s="8" t="inlineStr">
        <is>
          <t>Fixed Operating Cost Amount</t>
        </is>
      </c>
      <c r="C12" s="11" t="n">
        <v>1000000</v>
      </c>
      <c r="D12" s="8" t="inlineStr">
        <is>
          <t>Fixed Cost Allocation Status=component일 때만 사용</t>
        </is>
      </c>
    </row>
    <row r="13">
      <c r="B13" s="8" t="inlineStr">
        <is>
          <t>Fixed Operating Cost Basis</t>
        </is>
      </c>
      <c r="C13" s="9" t="inlineStr">
        <is>
          <t>per_month</t>
        </is>
      </c>
      <c r="D13" s="8" t="inlineStr">
        <is>
          <t>analysis period context (예: per_month) — quantity unit이 아님. break_even_quantity_exact.unit은 항상 "units"</t>
        </is>
      </c>
    </row>
    <row r="14">
      <c r="B14" s="8" t="inlineStr">
        <is>
          <t>Fixed Cost Allocation Status (Excel simulation control — not a schema field)</t>
        </is>
      </c>
      <c r="C14" s="9" t="inlineStr">
        <is>
          <t>component</t>
        </is>
      </c>
      <c r="D14" s="31" t="inlineStr">
        <is>
          <t>Excel-only. none=fixed_operating_cost 항목 자체가 없음(FC 확정 0, basis 없음) / component=Fixed Operating Cost Amount/Basis 입력 사용 / unresolved=공유비용 배부 미구현(UNKNOWN) / blended_only=배부 대상 아님으로 설정(UNKNOWN, BEP만의 deviation — 다른 모드처럼 0으로 취급하지 않음) / invalid_direct=shared+direct 모순 설정(ERROR). 실제 shared-cost 배부 엔진은 구현되지 않음 — 미지원 상태를 조용히 숫자로 만들지 않는지만 검증.</t>
        </is>
      </c>
    </row>
    <row r="16" ht="20" customHeight="1">
      <c r="B16" s="2" t="inlineStr">
        <is>
          <t>RESULT (계산값 — 직접 입력 금지)</t>
        </is>
      </c>
      <c r="C16" s="7" t="n"/>
    </row>
    <row r="17">
      <c r="B17" s="8" t="inlineStr">
        <is>
          <t>Contribution Margin per Unit (CMu)</t>
        </is>
      </c>
      <c r="C17" s="13">
        <f>IFERROR(IF(J21="ERROR","ERROR",IF(OR(NOT(ISNUMBER(J21)),ISBLANK($C$8),ISBLANK($C$9),ISBLANK($C$10),ISBLANK($C$11)),"UNKNOWN",IF($C$11&gt;0,IF(K21="ERROR","ERROR",IF(NOT(ISNUMBER(K21)),"UNKNOWN",J21-$C$8-$C$9-$C$10*J21-$C$11*K21)),J21-$C$8-$C$9-$C$10*J21))),"ERROR")</f>
        <v/>
      </c>
      <c r="D17" s="8" t="inlineStr">
        <is>
          <t>CMu = N − direct − varfixed − b×N − a×G (a=0이면 G 참조 안 함)</t>
        </is>
      </c>
    </row>
    <row r="18">
      <c r="B18" s="8" t="inlineStr">
        <is>
          <t>Fixed Operating Cost (FC)</t>
        </is>
      </c>
      <c r="C18" s="13">
        <f>IFERROR(IF($C$14="invalid_direct","ERROR",IF(FALSE,"ERROR",IF($C$14="none",0,IF(OR($C$14="unresolved",$C$14="blended_only"),"UNKNOWN",IF(ISBLANK($C$12),"UNKNOWN",IF($C$12&lt;0,"ERROR",$C$12)))))),"ERROR")</f>
        <v/>
      </c>
      <c r="D18" s="8" t="inlineStr">
        <is>
          <t>FC — Fixed Cost Allocation Status에 따라 결정</t>
        </is>
      </c>
    </row>
    <row r="19">
      <c r="B19" s="8" t="inlineStr">
        <is>
          <t>Break-Even Quantity (Q_BEP)</t>
        </is>
      </c>
      <c r="C19" s="13">
        <f>IFERROR(IF(OR(C17="ERROR",C18="ERROR"),"ERROR",IF(OR(NOT(ISNUMBER(C17)),NOT(ISNUMBER(C18))),"UNKNOWN",IF(C17&lt;=0,"NOT_APPLICABLE",C18/C17))),"ERROR")</f>
        <v/>
      </c>
      <c r="D19" s="8" t="inlineStr">
        <is>
          <t>Q_BEP = FC / CMu. CMu&lt;=0이면 NOT_APPLICABLE (0/음수 출력 안 함)</t>
        </is>
      </c>
    </row>
    <row r="20">
      <c r="B20" s="8" t="inlineStr">
        <is>
          <t>Analysis Period Basis</t>
        </is>
      </c>
      <c r="C20" s="15">
        <f>IF(OR($C$14="invalid_direct",FALSE),"",IF($C$14="none","",IF(OR($C$14="unresolved",$C$14="blended_only"),"",IF(ISBLANK($C$12),"",IF($C$12&lt;0,"",$C$13)))))</f>
        <v/>
      </c>
      <c r="D20" s="8" t="inlineStr">
        <is>
          <t>fixed_operating_cost가 정의된 기간 context — quantity unit이 아님. 빈칸=해당 항목 없음/UNKNOWN/ERROR.</t>
        </is>
      </c>
    </row>
    <row r="21">
      <c r="J21">
        <f>IFERROR(IF(ISBLANK($C$5),"UNKNOWN",IF(ISBLANK($C$6),"UNKNOWN",IF($C$6=FALSE,$C$5,IF(ISBLANK($C$7),"UNKNOWN",$C$5/(1+$C$7))))),"ERROR")</f>
        <v/>
      </c>
      <c r="K21">
        <f>IFERROR(IF(ISBLANK($C$5),"UNKNOWN",IF(ISBLANK($C$6),"UNKNOWN",IF($C$6=TRUE,$C$5,IF(ISBLANK($C$7),"UNKNOWN",$C$5*(1+$C$7))))),"ERROR")</f>
        <v/>
      </c>
      <c r="L21">
        <f>IF(FALSE,"",IF($C$14="invalid_direct","INVALID_ALLOCATION_CONFIGURATION",IF(FALSE,"INCONSISTENT_FIXED_COST_BASIS",IF(AND($C$14="component",NOT(ISBLANK($C$12)),$C$12&lt;0),"INVALID_NEGATIVE_COST",IF(C17="ERROR","CALCULATION_ERROR",IF($C$14="blended_only","FIXED_COST_BLENDED_ONLY_NOT_ALLOCATED",IF($C$14="unresolved","UNSUPPORTED_SHARED_COST_ALLOCATION",IF(NOT(ISNUMBER(C17)),"MISSING_DEPENDENCY",IF(AND($C$14="component",ISBLANK($C$12)),"MISSING_DEPENDENCY",IF(AND(C17=0,C18=0),"BREAK_EVEN_UNDEFINED_ZERO_MARGIN_ZERO_FIXED_COST",IF(C17=0,"BREAK_EVEN_UNDEFINED_ZERO_MARGIN",IF(C17&lt;0,"BREAK_EVEN_UNDEFINED_NEGATIVE_MARGIN","NONE"))))))))))))</f>
        <v/>
      </c>
    </row>
    <row r="23">
      <c r="B23" s="8" t="inlineStr">
        <is>
          <t>Self-Check: |Q_BEP × CMu − FC| ≤ tolerance?</t>
        </is>
      </c>
      <c r="C23" s="36">
        <f>IF(NOT(ISNUMBER(C19)),"N/A — Q_BEP not numeric (UNKNOWN/ERROR/NOT_APPLICABLE)",IF(ABS(C19*C17-C18)&lt;=0.01,"PASS","FAIL"))</f>
        <v/>
      </c>
      <c r="D23" s="31" t="inlineStr">
        <is>
          <t>Python 출력을 그대로 복사하지 않고, Q_BEP×CMu가 독립적으로 FC와 tolerance 내 일치하는지 역산 검증하는 진단 셀. CMu&lt;=0(NOT_APPLICABLE)이거나 UNKNOWN/ERROR면 N/A.</t>
        </is>
      </c>
    </row>
    <row r="24" ht="20" customHeight="1">
      <c r="B24" s="2" t="inlineStr">
        <is>
          <t>STATUS</t>
        </is>
      </c>
      <c r="C24" s="7" t="n"/>
    </row>
    <row r="25">
      <c r="B25" s="8" t="inlineStr">
        <is>
          <t>Overall Status</t>
        </is>
      </c>
      <c r="C25" s="33">
        <f>IF((IF(C17="ERROR",1,0)+IF(C18="ERROR",1,0)+IF(C19="ERROR",1,0))&gt;0,"ERROR — 계산 불가 또는 입력값 모순",IF((IF(C17="UNKNOWN",1,0)+IF(C18="UNKNOWN",1,0)+IF(C19="UNKNOWN",1,0))&gt;0,"INCOMPLETE — 일부 지표 UNKNOWN","OK — 전체 계산 완료 (NOT_APPLICABLE 포함 가능)"))</f>
        <v/>
      </c>
      <c r="D25" s="34" t="n"/>
    </row>
    <row r="26">
      <c r="B26" s="10" t="inlineStr">
        <is>
          <t>blank = UNKNOWN / 0 = explicit zero / NOT_APPLICABLE ≠ ERROR·UNKNOWN (module status를 낮추지 않음)</t>
        </is>
      </c>
    </row>
    <row r="28" ht="20" customHeight="1">
      <c r="B28" s="2" t="inlineStr">
        <is>
          <t>DASHBOARD CARD</t>
        </is>
      </c>
      <c r="C28" s="7" t="n"/>
      <c r="D28" s="7" t="n"/>
      <c r="E28" s="7" t="n"/>
      <c r="F28" s="7" t="n"/>
    </row>
    <row r="29">
      <c r="B29" s="17" t="inlineStr">
        <is>
          <t>Contribution Margin per Unit</t>
        </is>
      </c>
      <c r="F29" s="17" t="inlineStr">
        <is>
          <t>Fixed Operating Cost</t>
        </is>
      </c>
      <c r="J29" s="17" t="inlineStr">
        <is>
          <t>Break-Even Quantity</t>
        </is>
      </c>
    </row>
    <row r="30" ht="26" customHeight="1">
      <c r="B30" s="18">
        <f>C17</f>
        <v/>
      </c>
      <c r="F30" s="18">
        <f>C18</f>
        <v/>
      </c>
      <c r="J30" s="37">
        <f>C19</f>
        <v/>
      </c>
    </row>
  </sheetData>
  <mergeCells count="12">
    <mergeCell ref="B24:C24"/>
    <mergeCell ref="B16:C16"/>
    <mergeCell ref="J30:L30"/>
    <mergeCell ref="C25:D25"/>
    <mergeCell ref="B28:F28"/>
    <mergeCell ref="B30:D30"/>
    <mergeCell ref="F30:H30"/>
    <mergeCell ref="B29:D29"/>
    <mergeCell ref="F29:H29"/>
    <mergeCell ref="B4:C4"/>
    <mergeCell ref="B2:D2"/>
    <mergeCell ref="J29:L29"/>
  </mergeCells>
  <conditionalFormatting sqref="C17">
    <cfRule type="expression" priority="1" dxfId="0">
      <formula>C17="ERROR"</formula>
    </cfRule>
    <cfRule type="expression" priority="2" dxfId="2">
      <formula>C17="UNKNOWN"</formula>
    </cfRule>
    <cfRule type="expression" priority="3" dxfId="2">
      <formula>C17="NOT_APPLICABLE"</formula>
    </cfRule>
    <cfRule type="expression" priority="4" dxfId="1">
      <formula>ISNUMBER(C17)</formula>
    </cfRule>
  </conditionalFormatting>
  <conditionalFormatting sqref="C18">
    <cfRule type="expression" priority="5" dxfId="0">
      <formula>C18="ERROR"</formula>
    </cfRule>
    <cfRule type="expression" priority="6" dxfId="2">
      <formula>C18="UNKNOWN"</formula>
    </cfRule>
    <cfRule type="expression" priority="7" dxfId="2">
      <formula>C18="NOT_APPLICABLE"</formula>
    </cfRule>
    <cfRule type="expression" priority="8" dxfId="1">
      <formula>ISNUMBER(C18)</formula>
    </cfRule>
  </conditionalFormatting>
  <conditionalFormatting sqref="C19">
    <cfRule type="expression" priority="9" dxfId="0">
      <formula>C19="ERROR"</formula>
    </cfRule>
    <cfRule type="expression" priority="10" dxfId="2">
      <formula>C19="UNKNOWN"</formula>
    </cfRule>
    <cfRule type="expression" priority="11" dxfId="2">
      <formula>C19="NOT_APPLICABLE"</formula>
    </cfRule>
    <cfRule type="expression" priority="12" dxfId="1">
      <formula>ISNUMBER(C19)</formula>
    </cfRule>
  </conditionalFormatting>
  <conditionalFormatting sqref="C23">
    <cfRule type="expression" priority="13" dxfId="0">
      <formula>C23="FAIL"</formula>
    </cfRule>
    <cfRule type="expression" priority="14" dxfId="1">
      <formula>C23="PASS"</formula>
    </cfRule>
  </conditionalFormatting>
  <conditionalFormatting sqref="B30">
    <cfRule type="expression" priority="15" dxfId="0">
      <formula>NOT(ISNUMBER(B30))</formula>
    </cfRule>
    <cfRule type="expression" priority="16" dxfId="1">
      <formula>ISNUMBER(B30)</formula>
    </cfRule>
  </conditionalFormatting>
  <conditionalFormatting sqref="F30">
    <cfRule type="expression" priority="17" dxfId="0">
      <formula>NOT(ISNUMBER(F30))</formula>
    </cfRule>
    <cfRule type="expression" priority="18" dxfId="1">
      <formula>ISNUMBER(F30)</formula>
    </cfRule>
  </conditionalFormatting>
  <conditionalFormatting sqref="J30">
    <cfRule type="expression" priority="19" dxfId="0">
      <formula>NOT(ISNUMBER(J30))</formula>
    </cfRule>
    <cfRule type="expression" priority="20" dxfId="1">
      <formula>ISNUMBER(J30)</formula>
    </cfRule>
  </conditionalFormatting>
  <dataValidations count="2">
    <dataValidation sqref="C6" showDropDown="0" showInputMessage="0" showErrorMessage="0" allowBlank="1" type="list">
      <formula1>"TRUE,FALSE"</formula1>
    </dataValidation>
    <dataValidation sqref="C14" showDropDown="0" showInputMessage="0" showErrorMessage="0" allowBlank="0" type="list">
      <formula1>"none,component,unresolved,blended_only,invalid_direct"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AA26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6" customWidth="1" min="3" max="3"/>
    <col width="16" customWidth="1" min="4" max="4"/>
    <col width="16" customWidth="1" min="5" max="5"/>
    <col width="16" customWidth="1" min="6" max="6"/>
    <col width="16" customWidth="1" min="7" max="7"/>
    <col width="10"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2" ht="26" customHeight="1">
      <c r="B2" s="1" t="inlineStr">
        <is>
          <t>09. Python Engine vs Excel Formula — BEP Parity Test</t>
        </is>
      </c>
      <c r="C2" s="6" t="n"/>
      <c r="D2" s="6" t="n"/>
      <c r="E2" s="6" t="n"/>
      <c r="F2" s="6" t="n"/>
      <c r="G2" s="6" t="n"/>
    </row>
    <row r="3" ht="68" customHeight="1">
      <c r="B3" s="24" t="inlineStr">
        <is>
          <t>각 케이스는 docs/features/bep/CASE.md의 TC1-23에 대응하며(+ TC24-26은 basis 불일치/NOT_APPLICABLE/multi-component 우선순위 보강 케이스), Excel에 동일 입력값을 리터럴로 심어 08_BEP_SIMULATOR와 같은 수식(build_bep_formulas)으로 독립 재계산하고, Python 참조값(core/engine/modes/bep.py 실행 결과, 빌드 시점에 고정)과 비교합니다. 허용오차 0.01. TC14/TC15/TC24는 Fixed Cost Allocation Status/Basis Consistency 컨트롤로, TC18/TC19/TC26은 Component Count 컨트롤로 시뮬레이션합니다. 26개 중 25개가 live Excel evaluation입니다 — TC13(통화 미지원)만 08_BEP_SIMULATOR에 항목별 통화 입력이 없어(MODE A/B/C Excel Simulator와 동일한 단순화) reference-only(00_GUIDE의 Hybrid HW+SaaS 블록과 동일 패턴)로 표시됩니다. Q_BEP가 숫자일 때는 Self-Check(|Q_BEP×CMu−FC|&lt;=tol)로 Python 값을 그대로 복사하지 않았음을 독립 검증합니다.</t>
        </is>
      </c>
    </row>
    <row r="5" ht="20" customHeight="1">
      <c r="B5" s="2" t="inlineStr">
        <is>
          <t>TC1. Simple positive CM</t>
        </is>
      </c>
      <c r="C5" s="7" t="n"/>
      <c r="D5" s="7" t="n"/>
      <c r="E5" s="7" t="n"/>
      <c r="F5" s="7" t="n"/>
    </row>
    <row r="6">
      <c r="B6" s="4" t="inlineStr">
        <is>
          <t>Metric</t>
        </is>
      </c>
      <c r="C6" s="4" t="inlineStr">
        <is>
          <t>Excel Result</t>
        </is>
      </c>
      <c r="D6" s="4" t="inlineStr">
        <is>
          <t>Python Reference</t>
        </is>
      </c>
      <c r="E6" s="4" t="inlineStr">
        <is>
          <t>Difference</t>
        </is>
      </c>
      <c r="F6" s="4" t="inlineStr">
        <is>
          <t>PASS / FAIL</t>
        </is>
      </c>
    </row>
    <row r="7">
      <c r="B7" s="8" t="inlineStr">
        <is>
          <t>Contribution Margin per Unit (CMu)</t>
        </is>
      </c>
      <c r="C7" s="25">
        <f>U7</f>
        <v/>
      </c>
      <c r="D7" s="21" t="n">
        <v>500</v>
      </c>
      <c r="E7" s="26">
        <f>IF(ISNUMBER(D7),IF(ISNUMBER(U7),ABS(U7-D7),"N/A"),"N/A")</f>
        <v/>
      </c>
      <c r="F7" s="15">
        <f>IFERROR(IF(ISNUMBER(D7),IF(ISNUMBER(U7),IF(ABS(U7-D7)&lt;=0.01,"PASS","FAIL"),"FAIL"),IF(NOT(ISNUMBER(U7)),IF(U7=D7,"PASS","FAIL"),"FAIL")),"FAIL")</f>
        <v/>
      </c>
      <c r="I7" t="n">
        <v>1000</v>
      </c>
      <c r="J7" t="b">
        <v>0</v>
      </c>
      <c r="L7" t="n">
        <v>400</v>
      </c>
      <c r="M7" t="n">
        <v>100</v>
      </c>
      <c r="N7" t="n">
        <v>0</v>
      </c>
      <c r="O7" t="n">
        <v>0</v>
      </c>
      <c r="P7" t="n">
        <v>50000</v>
      </c>
      <c r="Q7" t="inlineStr">
        <is>
          <t>per_month</t>
        </is>
      </c>
      <c r="R7" t="inlineStr">
        <is>
          <t>component</t>
        </is>
      </c>
      <c r="S7" t="inlineStr">
        <is>
          <t>consistent</t>
        </is>
      </c>
      <c r="T7" t="n">
        <v>1</v>
      </c>
      <c r="U7">
        <f>IF($T$7&gt;1,"ERROR",IFERROR(IF(Y7="ERROR","ERROR",IF(OR(NOT(ISNUMBER(Y7)),ISBLANK($L$7),ISBLANK($M$7),ISBLANK($N$7),ISBLANK($O$7)),"UNKNOWN",IF($O$7&gt;0,IF(Z7="ERROR","ERROR",IF(NOT(ISNUMBER(Z7)),"UNKNOWN",Y7-$L$7-$M$7-$N$7*Y7-$O$7*Z7)),Y7-$L$7-$M$7-$N$7*Y7))),"ERROR"))</f>
        <v/>
      </c>
      <c r="V7">
        <f>IF($T$7&gt;1,"ERROR",IFERROR(IF($R$7="invalid_direct","ERROR",IF($S$7="inconsistent","ERROR",IF($R$7="none",0,IF(OR($R$7="unresolved",$R$7="blended_only"),"UNKNOWN",IF(ISBLANK($P$7),"UNKNOWN",IF($P$7&lt;0,"ERROR",$P$7)))))),"ERROR"))</f>
        <v/>
      </c>
      <c r="W7">
        <f>IF($T$7&gt;1,"ERROR",IFERROR(IF(OR(U7="ERROR",V7="ERROR"),"ERROR",IF(OR(NOT(ISNUMBER(U7)),NOT(ISNUMBER(V7))),"UNKNOWN",IF(U7&lt;=0,"NOT_APPLICABLE",V7/U7))),"ERROR"))</f>
        <v/>
      </c>
      <c r="X7">
        <f>IF($T$7&gt;1,"",IF(OR($R$7="invalid_direct",$S$7="inconsistent"),"",IF($R$7="none","",IF(OR($R$7="unresolved",$R$7="blended_only"),"",IF(ISBLANK($P$7),"",IF($P$7&lt;0,"",$Q$7))))))</f>
        <v/>
      </c>
      <c r="Y7">
        <f>IFERROR(IF(ISBLANK($I$7),"UNKNOWN",IF(ISBLANK($J$7),"UNKNOWN",IF($J$7=FALSE,$I$7,IF(ISBLANK($K$7),"UNKNOWN",$I$7/(1+$K$7))))),"ERROR")</f>
        <v/>
      </c>
      <c r="Z7">
        <f>IFERROR(IF(ISBLANK($I$7),"UNKNOWN",IF(ISBLANK($J$7),"UNKNOWN",IF($J$7=TRUE,$I$7,IF(ISBLANK($K$7),"UNKNOWN",$I$7*(1+$K$7))))),"ERROR")</f>
        <v/>
      </c>
      <c r="AA7">
        <f>IF($T$7&gt;1,"MULTI_COMPONENT_BEP_NOT_SUPPORTED",IF($R$7="invalid_direct","INVALID_ALLOCATION_CONFIGURATION",IF($S$7="inconsistent","INCONSISTENT_FIXED_COST_BASIS",IF(AND($R$7="component",NOT(ISBLANK($P$7)),$P$7&lt;0),"INVALID_NEGATIVE_COST",IF(U7="ERROR","CALCULATION_ERROR",IF($R$7="blended_only","FIXED_COST_BLENDED_ONLY_NOT_ALLOCATED",IF($R$7="unresolved","UNSUPPORTED_SHARED_COST_ALLOCATION",IF(NOT(ISNUMBER(U7)),"MISSING_DEPENDENCY",IF(AND($R$7="component",ISBLANK($P$7)),"MISSING_DEPENDENCY",IF(AND(U7=0,V7=0),"BREAK_EVEN_UNDEFINED_ZERO_MARGIN_ZERO_FIXED_COST",IF(U7=0,"BREAK_EVEN_UNDEFINED_ZERO_MARGIN",IF(U7&lt;0,"BREAK_EVEN_UNDEFINED_NEGATIVE_MARGIN","NONE"))))))))))))</f>
        <v/>
      </c>
    </row>
    <row r="8">
      <c r="B8" s="8" t="inlineStr">
        <is>
          <t>Fixed Operating Cost (FC)</t>
        </is>
      </c>
      <c r="C8" s="25">
        <f>V7</f>
        <v/>
      </c>
      <c r="D8" s="21" t="n">
        <v>50000</v>
      </c>
      <c r="E8" s="26">
        <f>IF(ISNUMBER(D8),IF(ISNUMBER(V7),ABS(V7-D8),"N/A"),"N/A")</f>
        <v/>
      </c>
      <c r="F8" s="15">
        <f>IFERROR(IF(ISNUMBER(D8),IF(ISNUMBER(V7),IF(ABS(V7-D8)&lt;=0.01,"PASS","FAIL"),"FAIL"),IF(NOT(ISNUMBER(V7)),IF(V7=D8,"PASS","FAIL"),"FAIL")),"FAIL")</f>
        <v/>
      </c>
    </row>
    <row r="9">
      <c r="B9" s="8" t="inlineStr">
        <is>
          <t>Break-Even Quantity (Q_BEP)</t>
        </is>
      </c>
      <c r="C9" s="25">
        <f>W7</f>
        <v/>
      </c>
      <c r="D9" s="21" t="n">
        <v>100</v>
      </c>
      <c r="E9" s="26">
        <f>IF(ISNUMBER(D9),IF(ISNUMBER(W7),ABS(W7-D9),"N/A"),"N/A")</f>
        <v/>
      </c>
      <c r="F9" s="15">
        <f>IFERROR(IF(ISNUMBER(D9),IF(ISNUMBER(W7),IF(ABS(W7-D9)&lt;=0.01,"PASS","FAIL"),"FAIL"),IF(NOT(ISNUMBER(W7)),IF(W7=D9,"PASS","FAIL"),"FAIL")),"FAIL")</f>
        <v/>
      </c>
    </row>
    <row r="10">
      <c r="B10" s="8" t="inlineStr">
        <is>
          <t>Analysis Period Basis</t>
        </is>
      </c>
      <c r="C10" s="16">
        <f>X7</f>
        <v/>
      </c>
      <c r="D10" s="30" t="inlineStr">
        <is>
          <t>per_month</t>
        </is>
      </c>
      <c r="E10" s="26">
        <f>IF(ISNUMBER(D10),IF(ISNUMBER(X7),ABS(X7-D10),"N/A"),"N/A")</f>
        <v/>
      </c>
      <c r="F10" s="15">
        <f>IFERROR(IF(ISNUMBER(D10),IF(ISNUMBER(X7),IF(ABS(X7-D10)&lt;=0.01,"PASS","FAIL"),"FAIL"),IF(NOT(ISNUMBER(X7)),IF(X7=D10,"PASS","FAIL"),"FAIL")),"FAIL")</f>
        <v/>
      </c>
    </row>
    <row r="11">
      <c r="B11" s="8" t="inlineStr">
        <is>
          <t>Module Status Tier</t>
        </is>
      </c>
      <c r="C11" s="16">
        <f>IF(OR(U7="ERROR",V7="ERROR",W7="ERROR"),"ERROR",IF(OR(U7="UNKNOWN",V7="UNKNOWN",W7="UNKNOWN"),"INCOMPLETE","OK"))</f>
        <v/>
      </c>
      <c r="D11" s="30" t="inlineStr">
        <is>
          <t>OK</t>
        </is>
      </c>
      <c r="F11" s="15">
        <f>IF(C11=D11,"PASS","FAIL")</f>
        <v/>
      </c>
    </row>
    <row r="12">
      <c r="B12" s="8" t="inlineStr">
        <is>
          <t>Primary Warning Code (diagnostic)</t>
        </is>
      </c>
      <c r="C12" s="16">
        <f>AA7</f>
        <v/>
      </c>
      <c r="D12" s="30" t="inlineStr">
        <is>
          <t>NONE</t>
        </is>
      </c>
      <c r="F12" s="15">
        <f>IF(AA7=D12,"PASS","FAIL")</f>
        <v/>
      </c>
    </row>
    <row r="13">
      <c r="B13" s="8" t="inlineStr">
        <is>
          <t>Self-Check: |Q_BEP × CMu − FC| ≤ tol</t>
        </is>
      </c>
      <c r="C13" s="36">
        <f>IF(NOT(ISNUMBER(W7)),"SKIP",IF(ABS(W7*U7-V7)&lt;=0.01,"PASS","FAIL"))</f>
        <v/>
      </c>
      <c r="D13" s="34" t="n"/>
      <c r="F13" s="15">
        <f>IF(C13="FAIL","FAIL","PASS")</f>
        <v/>
      </c>
    </row>
    <row r="15" ht="20" customHeight="1">
      <c r="B15" s="2" t="inlineStr">
        <is>
          <t>TC2. Fixed cost = 0 (explicit)</t>
        </is>
      </c>
      <c r="C15" s="7" t="n"/>
      <c r="D15" s="7" t="n"/>
      <c r="E15" s="7" t="n"/>
      <c r="F15" s="7" t="n"/>
    </row>
    <row r="16">
      <c r="B16" s="4" t="inlineStr">
        <is>
          <t>Metric</t>
        </is>
      </c>
      <c r="C16" s="4" t="inlineStr">
        <is>
          <t>Excel Result</t>
        </is>
      </c>
      <c r="D16" s="4" t="inlineStr">
        <is>
          <t>Python Reference</t>
        </is>
      </c>
      <c r="E16" s="4" t="inlineStr">
        <is>
          <t>Difference</t>
        </is>
      </c>
      <c r="F16" s="4" t="inlineStr">
        <is>
          <t>PASS / FAIL</t>
        </is>
      </c>
    </row>
    <row r="17">
      <c r="B17" s="8" t="inlineStr">
        <is>
          <t>Contribution Margin per Unit (CMu)</t>
        </is>
      </c>
      <c r="C17" s="25">
        <f>U17</f>
        <v/>
      </c>
      <c r="D17" s="21" t="n">
        <v>500</v>
      </c>
      <c r="E17" s="26">
        <f>IF(ISNUMBER(D17),IF(ISNUMBER(U17),ABS(U17-D17),"N/A"),"N/A")</f>
        <v/>
      </c>
      <c r="F17" s="15">
        <f>IFERROR(IF(ISNUMBER(D17),IF(ISNUMBER(U17),IF(ABS(U17-D17)&lt;=0.01,"PASS","FAIL"),"FAIL"),IF(NOT(ISNUMBER(U17)),IF(U17=D17,"PASS","FAIL"),"FAIL")),"FAIL")</f>
        <v/>
      </c>
      <c r="I17" t="n">
        <v>1000</v>
      </c>
      <c r="J17" t="b">
        <v>0</v>
      </c>
      <c r="L17" t="n">
        <v>400</v>
      </c>
      <c r="M17" t="n">
        <v>100</v>
      </c>
      <c r="N17" t="n">
        <v>0</v>
      </c>
      <c r="O17" t="n">
        <v>0</v>
      </c>
      <c r="P17" t="n">
        <v>0</v>
      </c>
      <c r="Q17" t="inlineStr">
        <is>
          <t>per_month</t>
        </is>
      </c>
      <c r="R17" t="inlineStr">
        <is>
          <t>component</t>
        </is>
      </c>
      <c r="S17" t="inlineStr">
        <is>
          <t>consistent</t>
        </is>
      </c>
      <c r="T17" t="n">
        <v>1</v>
      </c>
      <c r="U17">
        <f>IF($T$17&gt;1,"ERROR",IFERROR(IF(Y17="ERROR","ERROR",IF(OR(NOT(ISNUMBER(Y17)),ISBLANK($L$17),ISBLANK($M$17),ISBLANK($N$17),ISBLANK($O$17)),"UNKNOWN",IF($O$17&gt;0,IF(Z17="ERROR","ERROR",IF(NOT(ISNUMBER(Z17)),"UNKNOWN",Y17-$L$17-$M$17-$N$17*Y17-$O$17*Z17)),Y17-$L$17-$M$17-$N$17*Y17))),"ERROR"))</f>
        <v/>
      </c>
      <c r="V17">
        <f>IF($T$17&gt;1,"ERROR",IFERROR(IF($R$17="invalid_direct","ERROR",IF($S$17="inconsistent","ERROR",IF($R$17="none",0,IF(OR($R$17="unresolved",$R$17="blended_only"),"UNKNOWN",IF(ISBLANK($P$17),"UNKNOWN",IF($P$17&lt;0,"ERROR",$P$17)))))),"ERROR"))</f>
        <v/>
      </c>
      <c r="W17">
        <f>IF($T$17&gt;1,"ERROR",IFERROR(IF(OR(U17="ERROR",V17="ERROR"),"ERROR",IF(OR(NOT(ISNUMBER(U17)),NOT(ISNUMBER(V17))),"UNKNOWN",IF(U17&lt;=0,"NOT_APPLICABLE",V17/U17))),"ERROR"))</f>
        <v/>
      </c>
      <c r="X17">
        <f>IF($T$17&gt;1,"",IF(OR($R$17="invalid_direct",$S$17="inconsistent"),"",IF($R$17="none","",IF(OR($R$17="unresolved",$R$17="blended_only"),"",IF(ISBLANK($P$17),"",IF($P$17&lt;0,"",$Q$17))))))</f>
        <v/>
      </c>
      <c r="Y17">
        <f>IFERROR(IF(ISBLANK($I$17),"UNKNOWN",IF(ISBLANK($J$17),"UNKNOWN",IF($J$17=FALSE,$I$17,IF(ISBLANK($K$17),"UNKNOWN",$I$17/(1+$K$17))))),"ERROR")</f>
        <v/>
      </c>
      <c r="Z17">
        <f>IFERROR(IF(ISBLANK($I$17),"UNKNOWN",IF(ISBLANK($J$17),"UNKNOWN",IF($J$17=TRUE,$I$17,IF(ISBLANK($K$17),"UNKNOWN",$I$17*(1+$K$17))))),"ERROR")</f>
        <v/>
      </c>
      <c r="AA17">
        <f>IF($T$17&gt;1,"MULTI_COMPONENT_BEP_NOT_SUPPORTED",IF($R$17="invalid_direct","INVALID_ALLOCATION_CONFIGURATION",IF($S$17="inconsistent","INCONSISTENT_FIXED_COST_BASIS",IF(AND($R$17="component",NOT(ISBLANK($P$17)),$P$17&lt;0),"INVALID_NEGATIVE_COST",IF(U17="ERROR","CALCULATION_ERROR",IF($R$17="blended_only","FIXED_COST_BLENDED_ONLY_NOT_ALLOCATED",IF($R$17="unresolved","UNSUPPORTED_SHARED_COST_ALLOCATION",IF(NOT(ISNUMBER(U17)),"MISSING_DEPENDENCY",IF(AND($R$17="component",ISBLANK($P$17)),"MISSING_DEPENDENCY",IF(AND(U17=0,V17=0),"BREAK_EVEN_UNDEFINED_ZERO_MARGIN_ZERO_FIXED_COST",IF(U17=0,"BREAK_EVEN_UNDEFINED_ZERO_MARGIN",IF(U17&lt;0,"BREAK_EVEN_UNDEFINED_NEGATIVE_MARGIN","NONE"))))))))))))</f>
        <v/>
      </c>
    </row>
    <row r="18">
      <c r="B18" s="8" t="inlineStr">
        <is>
          <t>Fixed Operating Cost (FC)</t>
        </is>
      </c>
      <c r="C18" s="25">
        <f>V17</f>
        <v/>
      </c>
      <c r="D18" s="21" t="n">
        <v>0</v>
      </c>
      <c r="E18" s="26">
        <f>IF(ISNUMBER(D18),IF(ISNUMBER(V17),ABS(V17-D18),"N/A"),"N/A")</f>
        <v/>
      </c>
      <c r="F18" s="15">
        <f>IFERROR(IF(ISNUMBER(D18),IF(ISNUMBER(V17),IF(ABS(V17-D18)&lt;=0.01,"PASS","FAIL"),"FAIL"),IF(NOT(ISNUMBER(V17)),IF(V17=D18,"PASS","FAIL"),"FAIL")),"FAIL")</f>
        <v/>
      </c>
    </row>
    <row r="19">
      <c r="B19" s="8" t="inlineStr">
        <is>
          <t>Break-Even Quantity (Q_BEP)</t>
        </is>
      </c>
      <c r="C19" s="25">
        <f>W17</f>
        <v/>
      </c>
      <c r="D19" s="21" t="n">
        <v>0</v>
      </c>
      <c r="E19" s="26">
        <f>IF(ISNUMBER(D19),IF(ISNUMBER(W17),ABS(W17-D19),"N/A"),"N/A")</f>
        <v/>
      </c>
      <c r="F19" s="15">
        <f>IFERROR(IF(ISNUMBER(D19),IF(ISNUMBER(W17),IF(ABS(W17-D19)&lt;=0.01,"PASS","FAIL"),"FAIL"),IF(NOT(ISNUMBER(W17)),IF(W17=D19,"PASS","FAIL"),"FAIL")),"FAIL")</f>
        <v/>
      </c>
    </row>
    <row r="20">
      <c r="B20" s="8" t="inlineStr">
        <is>
          <t>Analysis Period Basis</t>
        </is>
      </c>
      <c r="C20" s="16">
        <f>X17</f>
        <v/>
      </c>
      <c r="D20" s="30" t="inlineStr">
        <is>
          <t>per_month</t>
        </is>
      </c>
      <c r="E20" s="26">
        <f>IF(ISNUMBER(D20),IF(ISNUMBER(X17),ABS(X17-D20),"N/A"),"N/A")</f>
        <v/>
      </c>
      <c r="F20" s="15">
        <f>IFERROR(IF(ISNUMBER(D20),IF(ISNUMBER(X17),IF(ABS(X17-D20)&lt;=0.01,"PASS","FAIL"),"FAIL"),IF(NOT(ISNUMBER(X17)),IF(X17=D20,"PASS","FAIL"),"FAIL")),"FAIL")</f>
        <v/>
      </c>
    </row>
    <row r="21">
      <c r="B21" s="8" t="inlineStr">
        <is>
          <t>Module Status Tier</t>
        </is>
      </c>
      <c r="C21" s="16">
        <f>IF(OR(U17="ERROR",V17="ERROR",W17="ERROR"),"ERROR",IF(OR(U17="UNKNOWN",V17="UNKNOWN",W17="UNKNOWN"),"INCOMPLETE","OK"))</f>
        <v/>
      </c>
      <c r="D21" s="30" t="inlineStr">
        <is>
          <t>OK</t>
        </is>
      </c>
      <c r="F21" s="15">
        <f>IF(C21=D21,"PASS","FAIL")</f>
        <v/>
      </c>
    </row>
    <row r="22">
      <c r="B22" s="8" t="inlineStr">
        <is>
          <t>Primary Warning Code (diagnostic)</t>
        </is>
      </c>
      <c r="C22" s="16">
        <f>AA17</f>
        <v/>
      </c>
      <c r="D22" s="30" t="inlineStr">
        <is>
          <t>NONE</t>
        </is>
      </c>
      <c r="F22" s="15">
        <f>IF(AA17=D22,"PASS","FAIL")</f>
        <v/>
      </c>
    </row>
    <row r="23">
      <c r="B23" s="8" t="inlineStr">
        <is>
          <t>Self-Check: |Q_BEP × CMu − FC| ≤ tol</t>
        </is>
      </c>
      <c r="C23" s="36">
        <f>IF(NOT(ISNUMBER(W17)),"SKIP",IF(ABS(W17*U17-V17)&lt;=0.01,"PASS","FAIL"))</f>
        <v/>
      </c>
      <c r="D23" s="34" t="n"/>
      <c r="F23" s="15">
        <f>IF(C23="FAIL","FAIL","PASS")</f>
        <v/>
      </c>
    </row>
    <row r="25" ht="20" customHeight="1">
      <c r="B25" s="2" t="inlineStr">
        <is>
          <t>TC3. No fixed-cost item at all</t>
        </is>
      </c>
      <c r="C25" s="7" t="n"/>
      <c r="D25" s="7" t="n"/>
      <c r="E25" s="7" t="n"/>
      <c r="F25" s="7" t="n"/>
    </row>
    <row r="26">
      <c r="B26" s="4" t="inlineStr">
        <is>
          <t>Metric</t>
        </is>
      </c>
      <c r="C26" s="4" t="inlineStr">
        <is>
          <t>Excel Result</t>
        </is>
      </c>
      <c r="D26" s="4" t="inlineStr">
        <is>
          <t>Python Reference</t>
        </is>
      </c>
      <c r="E26" s="4" t="inlineStr">
        <is>
          <t>Difference</t>
        </is>
      </c>
      <c r="F26" s="4" t="inlineStr">
        <is>
          <t>PASS / FAIL</t>
        </is>
      </c>
    </row>
    <row r="27">
      <c r="B27" s="8" t="inlineStr">
        <is>
          <t>Contribution Margin per Unit (CMu)</t>
        </is>
      </c>
      <c r="C27" s="25">
        <f>U27</f>
        <v/>
      </c>
      <c r="D27" s="21" t="n">
        <v>500</v>
      </c>
      <c r="E27" s="26">
        <f>IF(ISNUMBER(D27),IF(ISNUMBER(U27),ABS(U27-D27),"N/A"),"N/A")</f>
        <v/>
      </c>
      <c r="F27" s="15">
        <f>IFERROR(IF(ISNUMBER(D27),IF(ISNUMBER(U27),IF(ABS(U27-D27)&lt;=0.01,"PASS","FAIL"),"FAIL"),IF(NOT(ISNUMBER(U27)),IF(U27=D27,"PASS","FAIL"),"FAIL")),"FAIL")</f>
        <v/>
      </c>
      <c r="I27" t="n">
        <v>1000</v>
      </c>
      <c r="J27" t="b">
        <v>0</v>
      </c>
      <c r="L27" t="n">
        <v>400</v>
      </c>
      <c r="M27" t="n">
        <v>100</v>
      </c>
      <c r="N27" t="n">
        <v>0</v>
      </c>
      <c r="O27" t="n">
        <v>0</v>
      </c>
      <c r="Q27" t="inlineStr"/>
      <c r="R27" t="inlineStr">
        <is>
          <t>none</t>
        </is>
      </c>
      <c r="S27" t="inlineStr">
        <is>
          <t>consistent</t>
        </is>
      </c>
      <c r="T27" t="n">
        <v>1</v>
      </c>
      <c r="U27">
        <f>IF($T$27&gt;1,"ERROR",IFERROR(IF(Y27="ERROR","ERROR",IF(OR(NOT(ISNUMBER(Y27)),ISBLANK($L$27),ISBLANK($M$27),ISBLANK($N$27),ISBLANK($O$27)),"UNKNOWN",IF($O$27&gt;0,IF(Z27="ERROR","ERROR",IF(NOT(ISNUMBER(Z27)),"UNKNOWN",Y27-$L$27-$M$27-$N$27*Y27-$O$27*Z27)),Y27-$L$27-$M$27-$N$27*Y27))),"ERROR"))</f>
        <v/>
      </c>
      <c r="V27">
        <f>IF($T$27&gt;1,"ERROR",IFERROR(IF($R$27="invalid_direct","ERROR",IF($S$27="inconsistent","ERROR",IF($R$27="none",0,IF(OR($R$27="unresolved",$R$27="blended_only"),"UNKNOWN",IF(ISBLANK($P$27),"UNKNOWN",IF($P$27&lt;0,"ERROR",$P$27)))))),"ERROR"))</f>
        <v/>
      </c>
      <c r="W27">
        <f>IF($T$27&gt;1,"ERROR",IFERROR(IF(OR(U27="ERROR",V27="ERROR"),"ERROR",IF(OR(NOT(ISNUMBER(U27)),NOT(ISNUMBER(V27))),"UNKNOWN",IF(U27&lt;=0,"NOT_APPLICABLE",V27/U27))),"ERROR"))</f>
        <v/>
      </c>
      <c r="X27">
        <f>IF($T$27&gt;1,"",IF(OR($R$27="invalid_direct",$S$27="inconsistent"),"",IF($R$27="none","",IF(OR($R$27="unresolved",$R$27="blended_only"),"",IF(ISBLANK($P$27),"",IF($P$27&lt;0,"",$Q$27))))))</f>
        <v/>
      </c>
      <c r="Y27">
        <f>IFERROR(IF(ISBLANK($I$27),"UNKNOWN",IF(ISBLANK($J$27),"UNKNOWN",IF($J$27=FALSE,$I$27,IF(ISBLANK($K$27),"UNKNOWN",$I$27/(1+$K$27))))),"ERROR")</f>
        <v/>
      </c>
      <c r="Z27">
        <f>IFERROR(IF(ISBLANK($I$27),"UNKNOWN",IF(ISBLANK($J$27),"UNKNOWN",IF($J$27=TRUE,$I$27,IF(ISBLANK($K$27),"UNKNOWN",$I$27*(1+$K$27))))),"ERROR")</f>
        <v/>
      </c>
      <c r="AA27">
        <f>IF($T$27&gt;1,"MULTI_COMPONENT_BEP_NOT_SUPPORTED",IF($R$27="invalid_direct","INVALID_ALLOCATION_CONFIGURATION",IF($S$27="inconsistent","INCONSISTENT_FIXED_COST_BASIS",IF(AND($R$27="component",NOT(ISBLANK($P$27)),$P$27&lt;0),"INVALID_NEGATIVE_COST",IF(U27="ERROR","CALCULATION_ERROR",IF($R$27="blended_only","FIXED_COST_BLENDED_ONLY_NOT_ALLOCATED",IF($R$27="unresolved","UNSUPPORTED_SHARED_COST_ALLOCATION",IF(NOT(ISNUMBER(U27)),"MISSING_DEPENDENCY",IF(AND($R$27="component",ISBLANK($P$27)),"MISSING_DEPENDENCY",IF(AND(U27=0,V27=0),"BREAK_EVEN_UNDEFINED_ZERO_MARGIN_ZERO_FIXED_COST",IF(U27=0,"BREAK_EVEN_UNDEFINED_ZERO_MARGIN",IF(U27&lt;0,"BREAK_EVEN_UNDEFINED_NEGATIVE_MARGIN","NONE"))))))))))))</f>
        <v/>
      </c>
    </row>
    <row r="28">
      <c r="B28" s="8" t="inlineStr">
        <is>
          <t>Fixed Operating Cost (FC)</t>
        </is>
      </c>
      <c r="C28" s="25">
        <f>V27</f>
        <v/>
      </c>
      <c r="D28" s="21" t="n">
        <v>0</v>
      </c>
      <c r="E28" s="26">
        <f>IF(ISNUMBER(D28),IF(ISNUMBER(V27),ABS(V27-D28),"N/A"),"N/A")</f>
        <v/>
      </c>
      <c r="F28" s="15">
        <f>IFERROR(IF(ISNUMBER(D28),IF(ISNUMBER(V27),IF(ABS(V27-D28)&lt;=0.01,"PASS","FAIL"),"FAIL"),IF(NOT(ISNUMBER(V27)),IF(V27=D28,"PASS","FAIL"),"FAIL")),"FAIL")</f>
        <v/>
      </c>
    </row>
    <row r="29">
      <c r="B29" s="8" t="inlineStr">
        <is>
          <t>Break-Even Quantity (Q_BEP)</t>
        </is>
      </c>
      <c r="C29" s="25">
        <f>W27</f>
        <v/>
      </c>
      <c r="D29" s="21" t="n">
        <v>0</v>
      </c>
      <c r="E29" s="26">
        <f>IF(ISNUMBER(D29),IF(ISNUMBER(W27),ABS(W27-D29),"N/A"),"N/A")</f>
        <v/>
      </c>
      <c r="F29" s="15">
        <f>IFERROR(IF(ISNUMBER(D29),IF(ISNUMBER(W27),IF(ABS(W27-D29)&lt;=0.01,"PASS","FAIL"),"FAIL"),IF(NOT(ISNUMBER(W27)),IF(W27=D29,"PASS","FAIL"),"FAIL")),"FAIL")</f>
        <v/>
      </c>
    </row>
    <row r="30">
      <c r="B30" s="8" t="inlineStr">
        <is>
          <t>Analysis Period Basis</t>
        </is>
      </c>
      <c r="C30" s="16">
        <f>X27</f>
        <v/>
      </c>
      <c r="D30" s="30" t="inlineStr"/>
      <c r="E30" s="26">
        <f>IF(ISNUMBER(D30),IF(ISNUMBER(X27),ABS(X27-D30),"N/A"),"N/A")</f>
        <v/>
      </c>
      <c r="F30" s="15">
        <f>IFERROR(IF(ISNUMBER(D30),IF(ISNUMBER(X27),IF(ABS(X27-D30)&lt;=0.01,"PASS","FAIL"),"FAIL"),IF(NOT(ISNUMBER(X27)),IF(X27=D30,"PASS","FAIL"),"FAIL")),"FAIL")</f>
        <v/>
      </c>
    </row>
    <row r="31">
      <c r="B31" s="8" t="inlineStr">
        <is>
          <t>Module Status Tier</t>
        </is>
      </c>
      <c r="C31" s="16">
        <f>IF(OR(U27="ERROR",V27="ERROR",W27="ERROR"),"ERROR",IF(OR(U27="UNKNOWN",V27="UNKNOWN",W27="UNKNOWN"),"INCOMPLETE","OK"))</f>
        <v/>
      </c>
      <c r="D31" s="30" t="inlineStr">
        <is>
          <t>OK</t>
        </is>
      </c>
      <c r="F31" s="15">
        <f>IF(C31=D31,"PASS","FAIL")</f>
        <v/>
      </c>
    </row>
    <row r="32">
      <c r="B32" s="8" t="inlineStr">
        <is>
          <t>Primary Warning Code (diagnostic)</t>
        </is>
      </c>
      <c r="C32" s="16">
        <f>AA27</f>
        <v/>
      </c>
      <c r="D32" s="30" t="inlineStr">
        <is>
          <t>NONE</t>
        </is>
      </c>
      <c r="F32" s="15">
        <f>IF(AA27=D32,"PASS","FAIL")</f>
        <v/>
      </c>
    </row>
    <row r="33">
      <c r="B33" s="8" t="inlineStr">
        <is>
          <t>Self-Check: |Q_BEP × CMu − FC| ≤ tol</t>
        </is>
      </c>
      <c r="C33" s="36">
        <f>IF(NOT(ISNUMBER(W27)),"SKIP",IF(ABS(W27*U27-V27)&lt;=0.01,"PASS","FAIL"))</f>
        <v/>
      </c>
      <c r="D33" s="34" t="n"/>
      <c r="F33" s="15">
        <f>IF(C33="FAIL","FAIL","PASS")</f>
        <v/>
      </c>
    </row>
    <row r="35" ht="20" customHeight="1">
      <c r="B35" s="2" t="inlineStr">
        <is>
          <t>TC4. Fixed-cost item exists, amount null</t>
        </is>
      </c>
      <c r="C35" s="7" t="n"/>
      <c r="D35" s="7" t="n"/>
      <c r="E35" s="7" t="n"/>
      <c r="F35" s="7" t="n"/>
    </row>
    <row r="36">
      <c r="B36" s="4" t="inlineStr">
        <is>
          <t>Metric</t>
        </is>
      </c>
      <c r="C36" s="4" t="inlineStr">
        <is>
          <t>Excel Result</t>
        </is>
      </c>
      <c r="D36" s="4" t="inlineStr">
        <is>
          <t>Python Reference</t>
        </is>
      </c>
      <c r="E36" s="4" t="inlineStr">
        <is>
          <t>Difference</t>
        </is>
      </c>
      <c r="F36" s="4" t="inlineStr">
        <is>
          <t>PASS / FAIL</t>
        </is>
      </c>
    </row>
    <row r="37">
      <c r="B37" s="8" t="inlineStr">
        <is>
          <t>Contribution Margin per Unit (CMu)</t>
        </is>
      </c>
      <c r="C37" s="25">
        <f>U37</f>
        <v/>
      </c>
      <c r="D37" s="21" t="n">
        <v>500</v>
      </c>
      <c r="E37" s="26">
        <f>IF(ISNUMBER(D37),IF(ISNUMBER(U37),ABS(U37-D37),"N/A"),"N/A")</f>
        <v/>
      </c>
      <c r="F37" s="15">
        <f>IFERROR(IF(ISNUMBER(D37),IF(ISNUMBER(U37),IF(ABS(U37-D37)&lt;=0.01,"PASS","FAIL"),"FAIL"),IF(NOT(ISNUMBER(U37)),IF(U37=D37,"PASS","FAIL"),"FAIL")),"FAIL")</f>
        <v/>
      </c>
      <c r="I37" t="n">
        <v>1000</v>
      </c>
      <c r="J37" t="b">
        <v>0</v>
      </c>
      <c r="L37" t="n">
        <v>400</v>
      </c>
      <c r="M37" t="n">
        <v>100</v>
      </c>
      <c r="N37" t="n">
        <v>0</v>
      </c>
      <c r="O37" t="n">
        <v>0</v>
      </c>
      <c r="Q37" t="inlineStr">
        <is>
          <t>per_month</t>
        </is>
      </c>
      <c r="R37" t="inlineStr">
        <is>
          <t>component</t>
        </is>
      </c>
      <c r="S37" t="inlineStr">
        <is>
          <t>consistent</t>
        </is>
      </c>
      <c r="T37" t="n">
        <v>1</v>
      </c>
      <c r="U37">
        <f>IF($T$37&gt;1,"ERROR",IFERROR(IF(Y37="ERROR","ERROR",IF(OR(NOT(ISNUMBER(Y37)),ISBLANK($L$37),ISBLANK($M$37),ISBLANK($N$37),ISBLANK($O$37)),"UNKNOWN",IF($O$37&gt;0,IF(Z37="ERROR","ERROR",IF(NOT(ISNUMBER(Z37)),"UNKNOWN",Y37-$L$37-$M$37-$N$37*Y37-$O$37*Z37)),Y37-$L$37-$M$37-$N$37*Y37))),"ERROR"))</f>
        <v/>
      </c>
      <c r="V37">
        <f>IF($T$37&gt;1,"ERROR",IFERROR(IF($R$37="invalid_direct","ERROR",IF($S$37="inconsistent","ERROR",IF($R$37="none",0,IF(OR($R$37="unresolved",$R$37="blended_only"),"UNKNOWN",IF(ISBLANK($P$37),"UNKNOWN",IF($P$37&lt;0,"ERROR",$P$37)))))),"ERROR"))</f>
        <v/>
      </c>
      <c r="W37">
        <f>IF($T$37&gt;1,"ERROR",IFERROR(IF(OR(U37="ERROR",V37="ERROR"),"ERROR",IF(OR(NOT(ISNUMBER(U37)),NOT(ISNUMBER(V37))),"UNKNOWN",IF(U37&lt;=0,"NOT_APPLICABLE",V37/U37))),"ERROR"))</f>
        <v/>
      </c>
      <c r="X37">
        <f>IF($T$37&gt;1,"",IF(OR($R$37="invalid_direct",$S$37="inconsistent"),"",IF($R$37="none","",IF(OR($R$37="unresolved",$R$37="blended_only"),"",IF(ISBLANK($P$37),"",IF($P$37&lt;0,"",$Q$37))))))</f>
        <v/>
      </c>
      <c r="Y37">
        <f>IFERROR(IF(ISBLANK($I$37),"UNKNOWN",IF(ISBLANK($J$37),"UNKNOWN",IF($J$37=FALSE,$I$37,IF(ISBLANK($K$37),"UNKNOWN",$I$37/(1+$K$37))))),"ERROR")</f>
        <v/>
      </c>
      <c r="Z37">
        <f>IFERROR(IF(ISBLANK($I$37),"UNKNOWN",IF(ISBLANK($J$37),"UNKNOWN",IF($J$37=TRUE,$I$37,IF(ISBLANK($K$37),"UNKNOWN",$I$37*(1+$K$37))))),"ERROR")</f>
        <v/>
      </c>
      <c r="AA37">
        <f>IF($T$37&gt;1,"MULTI_COMPONENT_BEP_NOT_SUPPORTED",IF($R$37="invalid_direct","INVALID_ALLOCATION_CONFIGURATION",IF($S$37="inconsistent","INCONSISTENT_FIXED_COST_BASIS",IF(AND($R$37="component",NOT(ISBLANK($P$37)),$P$37&lt;0),"INVALID_NEGATIVE_COST",IF(U37="ERROR","CALCULATION_ERROR",IF($R$37="blended_only","FIXED_COST_BLENDED_ONLY_NOT_ALLOCATED",IF($R$37="unresolved","UNSUPPORTED_SHARED_COST_ALLOCATION",IF(NOT(ISNUMBER(U37)),"MISSING_DEPENDENCY",IF(AND($R$37="component",ISBLANK($P$37)),"MISSING_DEPENDENCY",IF(AND(U37=0,V37=0),"BREAK_EVEN_UNDEFINED_ZERO_MARGIN_ZERO_FIXED_COST",IF(U37=0,"BREAK_EVEN_UNDEFINED_ZERO_MARGIN",IF(U37&lt;0,"BREAK_EVEN_UNDEFINED_NEGATIVE_MARGIN","NONE"))))))))))))</f>
        <v/>
      </c>
    </row>
    <row r="38">
      <c r="B38" s="8" t="inlineStr">
        <is>
          <t>Fixed Operating Cost (FC)</t>
        </is>
      </c>
      <c r="C38" s="25">
        <f>V37</f>
        <v/>
      </c>
      <c r="D38" s="30" t="inlineStr">
        <is>
          <t>UNKNOWN</t>
        </is>
      </c>
      <c r="E38" s="26">
        <f>IF(ISNUMBER(D38),IF(ISNUMBER(V37),ABS(V37-D38),"N/A"),"N/A")</f>
        <v/>
      </c>
      <c r="F38" s="15">
        <f>IFERROR(IF(ISNUMBER(D38),IF(ISNUMBER(V37),IF(ABS(V37-D38)&lt;=0.01,"PASS","FAIL"),"FAIL"),IF(NOT(ISNUMBER(V37)),IF(V37=D38,"PASS","FAIL"),"FAIL")),"FAIL")</f>
        <v/>
      </c>
    </row>
    <row r="39">
      <c r="B39" s="8" t="inlineStr">
        <is>
          <t>Break-Even Quantity (Q_BEP)</t>
        </is>
      </c>
      <c r="C39" s="25">
        <f>W37</f>
        <v/>
      </c>
      <c r="D39" s="30" t="inlineStr">
        <is>
          <t>UNKNOWN</t>
        </is>
      </c>
      <c r="E39" s="26">
        <f>IF(ISNUMBER(D39),IF(ISNUMBER(W37),ABS(W37-D39),"N/A"),"N/A")</f>
        <v/>
      </c>
      <c r="F39" s="15">
        <f>IFERROR(IF(ISNUMBER(D39),IF(ISNUMBER(W37),IF(ABS(W37-D39)&lt;=0.01,"PASS","FAIL"),"FAIL"),IF(NOT(ISNUMBER(W37)),IF(W37=D39,"PASS","FAIL"),"FAIL")),"FAIL")</f>
        <v/>
      </c>
    </row>
    <row r="40">
      <c r="B40" s="8" t="inlineStr">
        <is>
          <t>Analysis Period Basis</t>
        </is>
      </c>
      <c r="C40" s="16">
        <f>X37</f>
        <v/>
      </c>
      <c r="D40" s="30" t="inlineStr"/>
      <c r="E40" s="26">
        <f>IF(ISNUMBER(D40),IF(ISNUMBER(X37),ABS(X37-D40),"N/A"),"N/A")</f>
        <v/>
      </c>
      <c r="F40" s="15">
        <f>IFERROR(IF(ISNUMBER(D40),IF(ISNUMBER(X37),IF(ABS(X37-D40)&lt;=0.01,"PASS","FAIL"),"FAIL"),IF(NOT(ISNUMBER(X37)),IF(X37=D40,"PASS","FAIL"),"FAIL")),"FAIL")</f>
        <v/>
      </c>
    </row>
    <row r="41">
      <c r="B41" s="8" t="inlineStr">
        <is>
          <t>Module Status Tier</t>
        </is>
      </c>
      <c r="C41" s="16">
        <f>IF(OR(U37="ERROR",V37="ERROR",W37="ERROR"),"ERROR",IF(OR(U37="UNKNOWN",V37="UNKNOWN",W37="UNKNOWN"),"INCOMPLETE","OK"))</f>
        <v/>
      </c>
      <c r="D41" s="30" t="inlineStr">
        <is>
          <t>INCOMPLETE</t>
        </is>
      </c>
      <c r="F41" s="15">
        <f>IF(C41=D41,"PASS","FAIL")</f>
        <v/>
      </c>
    </row>
    <row r="42">
      <c r="B42" s="8" t="inlineStr">
        <is>
          <t>Primary Warning Code (diagnostic)</t>
        </is>
      </c>
      <c r="C42" s="16">
        <f>AA37</f>
        <v/>
      </c>
      <c r="D42" s="30" t="inlineStr">
        <is>
          <t>MISSING_DEPENDENCY</t>
        </is>
      </c>
      <c r="F42" s="15">
        <f>IF(AA37=D42,"PASS","FAIL")</f>
        <v/>
      </c>
    </row>
    <row r="43">
      <c r="B43" s="8" t="inlineStr">
        <is>
          <t>Self-Check: |Q_BEP × CMu − FC| ≤ tol</t>
        </is>
      </c>
      <c r="C43" s="36">
        <f>IF(NOT(ISNUMBER(W37)),"SKIP",IF(ABS(W37*U37-V37)&lt;=0.01,"PASS","FAIL"))</f>
        <v/>
      </c>
      <c r="D43" s="34" t="n"/>
      <c r="F43" s="15">
        <f>IF(C43="FAIL","FAIL","PASS")</f>
        <v/>
      </c>
    </row>
    <row r="45" ht="20" customHeight="1">
      <c r="B45" s="2" t="inlineStr">
        <is>
          <t>TC5. CM = 0, FC &gt; 0</t>
        </is>
      </c>
      <c r="C45" s="7" t="n"/>
      <c r="D45" s="7" t="n"/>
      <c r="E45" s="7" t="n"/>
      <c r="F45" s="7" t="n"/>
    </row>
    <row r="46">
      <c r="B46" s="4" t="inlineStr">
        <is>
          <t>Metric</t>
        </is>
      </c>
      <c r="C46" s="4" t="inlineStr">
        <is>
          <t>Excel Result</t>
        </is>
      </c>
      <c r="D46" s="4" t="inlineStr">
        <is>
          <t>Python Reference</t>
        </is>
      </c>
      <c r="E46" s="4" t="inlineStr">
        <is>
          <t>Difference</t>
        </is>
      </c>
      <c r="F46" s="4" t="inlineStr">
        <is>
          <t>PASS / FAIL</t>
        </is>
      </c>
    </row>
    <row r="47">
      <c r="B47" s="8" t="inlineStr">
        <is>
          <t>Contribution Margin per Unit (CMu)</t>
        </is>
      </c>
      <c r="C47" s="25">
        <f>U47</f>
        <v/>
      </c>
      <c r="D47" s="21" t="n">
        <v>0</v>
      </c>
      <c r="E47" s="26">
        <f>IF(ISNUMBER(D47),IF(ISNUMBER(U47),ABS(U47-D47),"N/A"),"N/A")</f>
        <v/>
      </c>
      <c r="F47" s="15">
        <f>IFERROR(IF(ISNUMBER(D47),IF(ISNUMBER(U47),IF(ABS(U47-D47)&lt;=0.01,"PASS","FAIL"),"FAIL"),IF(NOT(ISNUMBER(U47)),IF(U47=D47,"PASS","FAIL"),"FAIL")),"FAIL")</f>
        <v/>
      </c>
      <c r="I47" t="n">
        <v>1000</v>
      </c>
      <c r="J47" t="b">
        <v>0</v>
      </c>
      <c r="L47" t="n">
        <v>600</v>
      </c>
      <c r="M47" t="n">
        <v>400</v>
      </c>
      <c r="N47" t="n">
        <v>0</v>
      </c>
      <c r="O47" t="n">
        <v>0</v>
      </c>
      <c r="P47" t="n">
        <v>50000</v>
      </c>
      <c r="Q47" t="inlineStr">
        <is>
          <t>per_month</t>
        </is>
      </c>
      <c r="R47" t="inlineStr">
        <is>
          <t>component</t>
        </is>
      </c>
      <c r="S47" t="inlineStr">
        <is>
          <t>consistent</t>
        </is>
      </c>
      <c r="T47" t="n">
        <v>1</v>
      </c>
      <c r="U47">
        <f>IF($T$47&gt;1,"ERROR",IFERROR(IF(Y47="ERROR","ERROR",IF(OR(NOT(ISNUMBER(Y47)),ISBLANK($L$47),ISBLANK($M$47),ISBLANK($N$47),ISBLANK($O$47)),"UNKNOWN",IF($O$47&gt;0,IF(Z47="ERROR","ERROR",IF(NOT(ISNUMBER(Z47)),"UNKNOWN",Y47-$L$47-$M$47-$N$47*Y47-$O$47*Z47)),Y47-$L$47-$M$47-$N$47*Y47))),"ERROR"))</f>
        <v/>
      </c>
      <c r="V47">
        <f>IF($T$47&gt;1,"ERROR",IFERROR(IF($R$47="invalid_direct","ERROR",IF($S$47="inconsistent","ERROR",IF($R$47="none",0,IF(OR($R$47="unresolved",$R$47="blended_only"),"UNKNOWN",IF(ISBLANK($P$47),"UNKNOWN",IF($P$47&lt;0,"ERROR",$P$47)))))),"ERROR"))</f>
        <v/>
      </c>
      <c r="W47">
        <f>IF($T$47&gt;1,"ERROR",IFERROR(IF(OR(U47="ERROR",V47="ERROR"),"ERROR",IF(OR(NOT(ISNUMBER(U47)),NOT(ISNUMBER(V47))),"UNKNOWN",IF(U47&lt;=0,"NOT_APPLICABLE",V47/U47))),"ERROR"))</f>
        <v/>
      </c>
      <c r="X47">
        <f>IF($T$47&gt;1,"",IF(OR($R$47="invalid_direct",$S$47="inconsistent"),"",IF($R$47="none","",IF(OR($R$47="unresolved",$R$47="blended_only"),"",IF(ISBLANK($P$47),"",IF($P$47&lt;0,"",$Q$47))))))</f>
        <v/>
      </c>
      <c r="Y47">
        <f>IFERROR(IF(ISBLANK($I$47),"UNKNOWN",IF(ISBLANK($J$47),"UNKNOWN",IF($J$47=FALSE,$I$47,IF(ISBLANK($K$47),"UNKNOWN",$I$47/(1+$K$47))))),"ERROR")</f>
        <v/>
      </c>
      <c r="Z47">
        <f>IFERROR(IF(ISBLANK($I$47),"UNKNOWN",IF(ISBLANK($J$47),"UNKNOWN",IF($J$47=TRUE,$I$47,IF(ISBLANK($K$47),"UNKNOWN",$I$47*(1+$K$47))))),"ERROR")</f>
        <v/>
      </c>
      <c r="AA47">
        <f>IF($T$47&gt;1,"MULTI_COMPONENT_BEP_NOT_SUPPORTED",IF($R$47="invalid_direct","INVALID_ALLOCATION_CONFIGURATION",IF($S$47="inconsistent","INCONSISTENT_FIXED_COST_BASIS",IF(AND($R$47="component",NOT(ISBLANK($P$47)),$P$47&lt;0),"INVALID_NEGATIVE_COST",IF(U47="ERROR","CALCULATION_ERROR",IF($R$47="blended_only","FIXED_COST_BLENDED_ONLY_NOT_ALLOCATED",IF($R$47="unresolved","UNSUPPORTED_SHARED_COST_ALLOCATION",IF(NOT(ISNUMBER(U47)),"MISSING_DEPENDENCY",IF(AND($R$47="component",ISBLANK($P$47)),"MISSING_DEPENDENCY",IF(AND(U47=0,V47=0),"BREAK_EVEN_UNDEFINED_ZERO_MARGIN_ZERO_FIXED_COST",IF(U47=0,"BREAK_EVEN_UNDEFINED_ZERO_MARGIN",IF(U47&lt;0,"BREAK_EVEN_UNDEFINED_NEGATIVE_MARGIN","NONE"))))))))))))</f>
        <v/>
      </c>
    </row>
    <row r="48">
      <c r="B48" s="8" t="inlineStr">
        <is>
          <t>Fixed Operating Cost (FC)</t>
        </is>
      </c>
      <c r="C48" s="25">
        <f>V47</f>
        <v/>
      </c>
      <c r="D48" s="21" t="n">
        <v>50000</v>
      </c>
      <c r="E48" s="26">
        <f>IF(ISNUMBER(D48),IF(ISNUMBER(V47),ABS(V47-D48),"N/A"),"N/A")</f>
        <v/>
      </c>
      <c r="F48" s="15">
        <f>IFERROR(IF(ISNUMBER(D48),IF(ISNUMBER(V47),IF(ABS(V47-D48)&lt;=0.01,"PASS","FAIL"),"FAIL"),IF(NOT(ISNUMBER(V47)),IF(V47=D48,"PASS","FAIL"),"FAIL")),"FAIL")</f>
        <v/>
      </c>
    </row>
    <row r="49">
      <c r="B49" s="8" t="inlineStr">
        <is>
          <t>Break-Even Quantity (Q_BEP)</t>
        </is>
      </c>
      <c r="C49" s="25">
        <f>W47</f>
        <v/>
      </c>
      <c r="D49" s="30" t="inlineStr">
        <is>
          <t>NOT_APPLICABLE</t>
        </is>
      </c>
      <c r="E49" s="26">
        <f>IF(ISNUMBER(D49),IF(ISNUMBER(W47),ABS(W47-D49),"N/A"),"N/A")</f>
        <v/>
      </c>
      <c r="F49" s="15">
        <f>IFERROR(IF(ISNUMBER(D49),IF(ISNUMBER(W47),IF(ABS(W47-D49)&lt;=0.01,"PASS","FAIL"),"FAIL"),IF(NOT(ISNUMBER(W47)),IF(W47=D49,"PASS","FAIL"),"FAIL")),"FAIL")</f>
        <v/>
      </c>
    </row>
    <row r="50">
      <c r="B50" s="8" t="inlineStr">
        <is>
          <t>Analysis Period Basis</t>
        </is>
      </c>
      <c r="C50" s="16">
        <f>X47</f>
        <v/>
      </c>
      <c r="D50" s="30" t="inlineStr">
        <is>
          <t>per_month</t>
        </is>
      </c>
      <c r="E50" s="26">
        <f>IF(ISNUMBER(D50),IF(ISNUMBER(X47),ABS(X47-D50),"N/A"),"N/A")</f>
        <v/>
      </c>
      <c r="F50" s="15">
        <f>IFERROR(IF(ISNUMBER(D50),IF(ISNUMBER(X47),IF(ABS(X47-D50)&lt;=0.01,"PASS","FAIL"),"FAIL"),IF(NOT(ISNUMBER(X47)),IF(X47=D50,"PASS","FAIL"),"FAIL")),"FAIL")</f>
        <v/>
      </c>
    </row>
    <row r="51">
      <c r="B51" s="8" t="inlineStr">
        <is>
          <t>Module Status Tier</t>
        </is>
      </c>
      <c r="C51" s="16">
        <f>IF(OR(U47="ERROR",V47="ERROR",W47="ERROR"),"ERROR",IF(OR(U47="UNKNOWN",V47="UNKNOWN",W47="UNKNOWN"),"INCOMPLETE","OK"))</f>
        <v/>
      </c>
      <c r="D51" s="30" t="inlineStr">
        <is>
          <t>OK</t>
        </is>
      </c>
      <c r="F51" s="15">
        <f>IF(C51=D51,"PASS","FAIL")</f>
        <v/>
      </c>
    </row>
    <row r="52">
      <c r="B52" s="8" t="inlineStr">
        <is>
          <t>Primary Warning Code (diagnostic)</t>
        </is>
      </c>
      <c r="C52" s="16">
        <f>AA47</f>
        <v/>
      </c>
      <c r="D52" s="30" t="inlineStr">
        <is>
          <t>BREAK_EVEN_UNDEFINED_ZERO_MARGIN</t>
        </is>
      </c>
      <c r="F52" s="15">
        <f>IF(AA47=D52,"PASS","FAIL")</f>
        <v/>
      </c>
    </row>
    <row r="53">
      <c r="B53" s="8" t="inlineStr">
        <is>
          <t>Self-Check: |Q_BEP × CMu − FC| ≤ tol</t>
        </is>
      </c>
      <c r="C53" s="36">
        <f>IF(NOT(ISNUMBER(W47)),"SKIP",IF(ABS(W47*U47-V47)&lt;=0.01,"PASS","FAIL"))</f>
        <v/>
      </c>
      <c r="D53" s="34" t="n"/>
      <c r="F53" s="15">
        <f>IF(C53="FAIL","FAIL","PASS")</f>
        <v/>
      </c>
    </row>
    <row r="55" ht="20" customHeight="1">
      <c r="B55" s="2" t="inlineStr">
        <is>
          <t>TC6. CM &lt; 0, FC &gt; 0</t>
        </is>
      </c>
      <c r="C55" s="7" t="n"/>
      <c r="D55" s="7" t="n"/>
      <c r="E55" s="7" t="n"/>
      <c r="F55" s="7" t="n"/>
    </row>
    <row r="56">
      <c r="B56" s="4" t="inlineStr">
        <is>
          <t>Metric</t>
        </is>
      </c>
      <c r="C56" s="4" t="inlineStr">
        <is>
          <t>Excel Result</t>
        </is>
      </c>
      <c r="D56" s="4" t="inlineStr">
        <is>
          <t>Python Reference</t>
        </is>
      </c>
      <c r="E56" s="4" t="inlineStr">
        <is>
          <t>Difference</t>
        </is>
      </c>
      <c r="F56" s="4" t="inlineStr">
        <is>
          <t>PASS / FAIL</t>
        </is>
      </c>
    </row>
    <row r="57">
      <c r="B57" s="8" t="inlineStr">
        <is>
          <t>Contribution Margin per Unit (CMu)</t>
        </is>
      </c>
      <c r="C57" s="25">
        <f>U57</f>
        <v/>
      </c>
      <c r="D57" s="21" t="n">
        <v>-100</v>
      </c>
      <c r="E57" s="26">
        <f>IF(ISNUMBER(D57),IF(ISNUMBER(U57),ABS(U57-D57),"N/A"),"N/A")</f>
        <v/>
      </c>
      <c r="F57" s="15">
        <f>IFERROR(IF(ISNUMBER(D57),IF(ISNUMBER(U57),IF(ABS(U57-D57)&lt;=0.01,"PASS","FAIL"),"FAIL"),IF(NOT(ISNUMBER(U57)),IF(U57=D57,"PASS","FAIL"),"FAIL")),"FAIL")</f>
        <v/>
      </c>
      <c r="I57" t="n">
        <v>1000</v>
      </c>
      <c r="J57" t="b">
        <v>0</v>
      </c>
      <c r="L57" t="n">
        <v>700</v>
      </c>
      <c r="M57" t="n">
        <v>400</v>
      </c>
      <c r="N57" t="n">
        <v>0</v>
      </c>
      <c r="O57" t="n">
        <v>0</v>
      </c>
      <c r="P57" t="n">
        <v>50000</v>
      </c>
      <c r="Q57" t="inlineStr">
        <is>
          <t>per_month</t>
        </is>
      </c>
      <c r="R57" t="inlineStr">
        <is>
          <t>component</t>
        </is>
      </c>
      <c r="S57" t="inlineStr">
        <is>
          <t>consistent</t>
        </is>
      </c>
      <c r="T57" t="n">
        <v>1</v>
      </c>
      <c r="U57">
        <f>IF($T$57&gt;1,"ERROR",IFERROR(IF(Y57="ERROR","ERROR",IF(OR(NOT(ISNUMBER(Y57)),ISBLANK($L$57),ISBLANK($M$57),ISBLANK($N$57),ISBLANK($O$57)),"UNKNOWN",IF($O$57&gt;0,IF(Z57="ERROR","ERROR",IF(NOT(ISNUMBER(Z57)),"UNKNOWN",Y57-$L$57-$M$57-$N$57*Y57-$O$57*Z57)),Y57-$L$57-$M$57-$N$57*Y57))),"ERROR"))</f>
        <v/>
      </c>
      <c r="V57">
        <f>IF($T$57&gt;1,"ERROR",IFERROR(IF($R$57="invalid_direct","ERROR",IF($S$57="inconsistent","ERROR",IF($R$57="none",0,IF(OR($R$57="unresolved",$R$57="blended_only"),"UNKNOWN",IF(ISBLANK($P$57),"UNKNOWN",IF($P$57&lt;0,"ERROR",$P$57)))))),"ERROR"))</f>
        <v/>
      </c>
      <c r="W57">
        <f>IF($T$57&gt;1,"ERROR",IFERROR(IF(OR(U57="ERROR",V57="ERROR"),"ERROR",IF(OR(NOT(ISNUMBER(U57)),NOT(ISNUMBER(V57))),"UNKNOWN",IF(U57&lt;=0,"NOT_APPLICABLE",V57/U57))),"ERROR"))</f>
        <v/>
      </c>
      <c r="X57">
        <f>IF($T$57&gt;1,"",IF(OR($R$57="invalid_direct",$S$57="inconsistent"),"",IF($R$57="none","",IF(OR($R$57="unresolved",$R$57="blended_only"),"",IF(ISBLANK($P$57),"",IF($P$57&lt;0,"",$Q$57))))))</f>
        <v/>
      </c>
      <c r="Y57">
        <f>IFERROR(IF(ISBLANK($I$57),"UNKNOWN",IF(ISBLANK($J$57),"UNKNOWN",IF($J$57=FALSE,$I$57,IF(ISBLANK($K$57),"UNKNOWN",$I$57/(1+$K$57))))),"ERROR")</f>
        <v/>
      </c>
      <c r="Z57">
        <f>IFERROR(IF(ISBLANK($I$57),"UNKNOWN",IF(ISBLANK($J$57),"UNKNOWN",IF($J$57=TRUE,$I$57,IF(ISBLANK($K$57),"UNKNOWN",$I$57*(1+$K$57))))),"ERROR")</f>
        <v/>
      </c>
      <c r="AA57">
        <f>IF($T$57&gt;1,"MULTI_COMPONENT_BEP_NOT_SUPPORTED",IF($R$57="invalid_direct","INVALID_ALLOCATION_CONFIGURATION",IF($S$57="inconsistent","INCONSISTENT_FIXED_COST_BASIS",IF(AND($R$57="component",NOT(ISBLANK($P$57)),$P$57&lt;0),"INVALID_NEGATIVE_COST",IF(U57="ERROR","CALCULATION_ERROR",IF($R$57="blended_only","FIXED_COST_BLENDED_ONLY_NOT_ALLOCATED",IF($R$57="unresolved","UNSUPPORTED_SHARED_COST_ALLOCATION",IF(NOT(ISNUMBER(U57)),"MISSING_DEPENDENCY",IF(AND($R$57="component",ISBLANK($P$57)),"MISSING_DEPENDENCY",IF(AND(U57=0,V57=0),"BREAK_EVEN_UNDEFINED_ZERO_MARGIN_ZERO_FIXED_COST",IF(U57=0,"BREAK_EVEN_UNDEFINED_ZERO_MARGIN",IF(U57&lt;0,"BREAK_EVEN_UNDEFINED_NEGATIVE_MARGIN","NONE"))))))))))))</f>
        <v/>
      </c>
    </row>
    <row r="58">
      <c r="B58" s="8" t="inlineStr">
        <is>
          <t>Fixed Operating Cost (FC)</t>
        </is>
      </c>
      <c r="C58" s="25">
        <f>V57</f>
        <v/>
      </c>
      <c r="D58" s="21" t="n">
        <v>50000</v>
      </c>
      <c r="E58" s="26">
        <f>IF(ISNUMBER(D58),IF(ISNUMBER(V57),ABS(V57-D58),"N/A"),"N/A")</f>
        <v/>
      </c>
      <c r="F58" s="15">
        <f>IFERROR(IF(ISNUMBER(D58),IF(ISNUMBER(V57),IF(ABS(V57-D58)&lt;=0.01,"PASS","FAIL"),"FAIL"),IF(NOT(ISNUMBER(V57)),IF(V57=D58,"PASS","FAIL"),"FAIL")),"FAIL")</f>
        <v/>
      </c>
    </row>
    <row r="59">
      <c r="B59" s="8" t="inlineStr">
        <is>
          <t>Break-Even Quantity (Q_BEP)</t>
        </is>
      </c>
      <c r="C59" s="25">
        <f>W57</f>
        <v/>
      </c>
      <c r="D59" s="30" t="inlineStr">
        <is>
          <t>NOT_APPLICABLE</t>
        </is>
      </c>
      <c r="E59" s="26">
        <f>IF(ISNUMBER(D59),IF(ISNUMBER(W57),ABS(W57-D59),"N/A"),"N/A")</f>
        <v/>
      </c>
      <c r="F59" s="15">
        <f>IFERROR(IF(ISNUMBER(D59),IF(ISNUMBER(W57),IF(ABS(W57-D59)&lt;=0.01,"PASS","FAIL"),"FAIL"),IF(NOT(ISNUMBER(W57)),IF(W57=D59,"PASS","FAIL"),"FAIL")),"FAIL")</f>
        <v/>
      </c>
    </row>
    <row r="60">
      <c r="B60" s="8" t="inlineStr">
        <is>
          <t>Analysis Period Basis</t>
        </is>
      </c>
      <c r="C60" s="16">
        <f>X57</f>
        <v/>
      </c>
      <c r="D60" s="30" t="inlineStr">
        <is>
          <t>per_month</t>
        </is>
      </c>
      <c r="E60" s="26">
        <f>IF(ISNUMBER(D60),IF(ISNUMBER(X57),ABS(X57-D60),"N/A"),"N/A")</f>
        <v/>
      </c>
      <c r="F60" s="15">
        <f>IFERROR(IF(ISNUMBER(D60),IF(ISNUMBER(X57),IF(ABS(X57-D60)&lt;=0.01,"PASS","FAIL"),"FAIL"),IF(NOT(ISNUMBER(X57)),IF(X57=D60,"PASS","FAIL"),"FAIL")),"FAIL")</f>
        <v/>
      </c>
    </row>
    <row r="61">
      <c r="B61" s="8" t="inlineStr">
        <is>
          <t>Module Status Tier</t>
        </is>
      </c>
      <c r="C61" s="16">
        <f>IF(OR(U57="ERROR",V57="ERROR",W57="ERROR"),"ERROR",IF(OR(U57="UNKNOWN",V57="UNKNOWN",W57="UNKNOWN"),"INCOMPLETE","OK"))</f>
        <v/>
      </c>
      <c r="D61" s="30" t="inlineStr">
        <is>
          <t>OK</t>
        </is>
      </c>
      <c r="F61" s="15">
        <f>IF(C61=D61,"PASS","FAIL")</f>
        <v/>
      </c>
    </row>
    <row r="62">
      <c r="B62" s="8" t="inlineStr">
        <is>
          <t>Primary Warning Code (diagnostic)</t>
        </is>
      </c>
      <c r="C62" s="16">
        <f>AA57</f>
        <v/>
      </c>
      <c r="D62" s="30" t="inlineStr">
        <is>
          <t>BREAK_EVEN_UNDEFINED_NEGATIVE_MARGIN</t>
        </is>
      </c>
      <c r="F62" s="15">
        <f>IF(AA57=D62,"PASS","FAIL")</f>
        <v/>
      </c>
    </row>
    <row r="63">
      <c r="B63" s="8" t="inlineStr">
        <is>
          <t>Self-Check: |Q_BEP × CMu − FC| ≤ tol</t>
        </is>
      </c>
      <c r="C63" s="36">
        <f>IF(NOT(ISNUMBER(W57)),"SKIP",IF(ABS(W57*U57-V57)&lt;=0.01,"PASS","FAIL"))</f>
        <v/>
      </c>
      <c r="D63" s="34" t="n"/>
      <c r="F63" s="15">
        <f>IF(C63="FAIL","FAIL","PASS")</f>
        <v/>
      </c>
    </row>
    <row r="65" ht="20" customHeight="1">
      <c r="B65" s="2" t="inlineStr">
        <is>
          <t>TC7. VAT-inclusive display</t>
        </is>
      </c>
      <c r="C65" s="7" t="n"/>
      <c r="D65" s="7" t="n"/>
      <c r="E65" s="7" t="n"/>
      <c r="F65" s="7" t="n"/>
    </row>
    <row r="66">
      <c r="B66" s="4" t="inlineStr">
        <is>
          <t>Metric</t>
        </is>
      </c>
      <c r="C66" s="4" t="inlineStr">
        <is>
          <t>Excel Result</t>
        </is>
      </c>
      <c r="D66" s="4" t="inlineStr">
        <is>
          <t>Python Reference</t>
        </is>
      </c>
      <c r="E66" s="4" t="inlineStr">
        <is>
          <t>Difference</t>
        </is>
      </c>
      <c r="F66" s="4" t="inlineStr">
        <is>
          <t>PASS / FAIL</t>
        </is>
      </c>
    </row>
    <row r="67">
      <c r="B67" s="8" t="inlineStr">
        <is>
          <t>Contribution Margin per Unit (CMu)</t>
        </is>
      </c>
      <c r="C67" s="25">
        <f>U67</f>
        <v/>
      </c>
      <c r="D67" s="21" t="n">
        <v>499.9999999999999</v>
      </c>
      <c r="E67" s="26">
        <f>IF(ISNUMBER(D67),IF(ISNUMBER(U67),ABS(U67-D67),"N/A"),"N/A")</f>
        <v/>
      </c>
      <c r="F67" s="15">
        <f>IFERROR(IF(ISNUMBER(D67),IF(ISNUMBER(U67),IF(ABS(U67-D67)&lt;=0.01,"PASS","FAIL"),"FAIL"),IF(NOT(ISNUMBER(U67)),IF(U67=D67,"PASS","FAIL"),"FAIL")),"FAIL")</f>
        <v/>
      </c>
      <c r="I67" t="n">
        <v>1100</v>
      </c>
      <c r="J67" t="b">
        <v>1</v>
      </c>
      <c r="K67" t="n">
        <v>0.1</v>
      </c>
      <c r="L67" t="n">
        <v>400</v>
      </c>
      <c r="M67" t="n">
        <v>100</v>
      </c>
      <c r="N67" t="n">
        <v>0</v>
      </c>
      <c r="O67" t="n">
        <v>0</v>
      </c>
      <c r="P67" t="n">
        <v>50000</v>
      </c>
      <c r="Q67" t="inlineStr">
        <is>
          <t>per_month</t>
        </is>
      </c>
      <c r="R67" t="inlineStr">
        <is>
          <t>component</t>
        </is>
      </c>
      <c r="S67" t="inlineStr">
        <is>
          <t>consistent</t>
        </is>
      </c>
      <c r="T67" t="n">
        <v>1</v>
      </c>
      <c r="U67">
        <f>IF($T$67&gt;1,"ERROR",IFERROR(IF(Y67="ERROR","ERROR",IF(OR(NOT(ISNUMBER(Y67)),ISBLANK($L$67),ISBLANK($M$67),ISBLANK($N$67),ISBLANK($O$67)),"UNKNOWN",IF($O$67&gt;0,IF(Z67="ERROR","ERROR",IF(NOT(ISNUMBER(Z67)),"UNKNOWN",Y67-$L$67-$M$67-$N$67*Y67-$O$67*Z67)),Y67-$L$67-$M$67-$N$67*Y67))),"ERROR"))</f>
        <v/>
      </c>
      <c r="V67">
        <f>IF($T$67&gt;1,"ERROR",IFERROR(IF($R$67="invalid_direct","ERROR",IF($S$67="inconsistent","ERROR",IF($R$67="none",0,IF(OR($R$67="unresolved",$R$67="blended_only"),"UNKNOWN",IF(ISBLANK($P$67),"UNKNOWN",IF($P$67&lt;0,"ERROR",$P$67)))))),"ERROR"))</f>
        <v/>
      </c>
      <c r="W67">
        <f>IF($T$67&gt;1,"ERROR",IFERROR(IF(OR(U67="ERROR",V67="ERROR"),"ERROR",IF(OR(NOT(ISNUMBER(U67)),NOT(ISNUMBER(V67))),"UNKNOWN",IF(U67&lt;=0,"NOT_APPLICABLE",V67/U67))),"ERROR"))</f>
        <v/>
      </c>
      <c r="X67">
        <f>IF($T$67&gt;1,"",IF(OR($R$67="invalid_direct",$S$67="inconsistent"),"",IF($R$67="none","",IF(OR($R$67="unresolved",$R$67="blended_only"),"",IF(ISBLANK($P$67),"",IF($P$67&lt;0,"",$Q$67))))))</f>
        <v/>
      </c>
      <c r="Y67">
        <f>IFERROR(IF(ISBLANK($I$67),"UNKNOWN",IF(ISBLANK($J$67),"UNKNOWN",IF($J$67=FALSE,$I$67,IF(ISBLANK($K$67),"UNKNOWN",$I$67/(1+$K$67))))),"ERROR")</f>
        <v/>
      </c>
      <c r="Z67">
        <f>IFERROR(IF(ISBLANK($I$67),"UNKNOWN",IF(ISBLANK($J$67),"UNKNOWN",IF($J$67=TRUE,$I$67,IF(ISBLANK($K$67),"UNKNOWN",$I$67*(1+$K$67))))),"ERROR")</f>
        <v/>
      </c>
      <c r="AA67">
        <f>IF($T$67&gt;1,"MULTI_COMPONENT_BEP_NOT_SUPPORTED",IF($R$67="invalid_direct","INVALID_ALLOCATION_CONFIGURATION",IF($S$67="inconsistent","INCONSISTENT_FIXED_COST_BASIS",IF(AND($R$67="component",NOT(ISBLANK($P$67)),$P$67&lt;0),"INVALID_NEGATIVE_COST",IF(U67="ERROR","CALCULATION_ERROR",IF($R$67="blended_only","FIXED_COST_BLENDED_ONLY_NOT_ALLOCATED",IF($R$67="unresolved","UNSUPPORTED_SHARED_COST_ALLOCATION",IF(NOT(ISNUMBER(U67)),"MISSING_DEPENDENCY",IF(AND($R$67="component",ISBLANK($P$67)),"MISSING_DEPENDENCY",IF(AND(U67=0,V67=0),"BREAK_EVEN_UNDEFINED_ZERO_MARGIN_ZERO_FIXED_COST",IF(U67=0,"BREAK_EVEN_UNDEFINED_ZERO_MARGIN",IF(U67&lt;0,"BREAK_EVEN_UNDEFINED_NEGATIVE_MARGIN","NONE"))))))))))))</f>
        <v/>
      </c>
    </row>
    <row r="68">
      <c r="B68" s="8" t="inlineStr">
        <is>
          <t>Fixed Operating Cost (FC)</t>
        </is>
      </c>
      <c r="C68" s="25">
        <f>V67</f>
        <v/>
      </c>
      <c r="D68" s="21" t="n">
        <v>50000</v>
      </c>
      <c r="E68" s="26">
        <f>IF(ISNUMBER(D68),IF(ISNUMBER(V67),ABS(V67-D68),"N/A"),"N/A")</f>
        <v/>
      </c>
      <c r="F68" s="15">
        <f>IFERROR(IF(ISNUMBER(D68),IF(ISNUMBER(V67),IF(ABS(V67-D68)&lt;=0.01,"PASS","FAIL"),"FAIL"),IF(NOT(ISNUMBER(V67)),IF(V67=D68,"PASS","FAIL"),"FAIL")),"FAIL")</f>
        <v/>
      </c>
    </row>
    <row r="69">
      <c r="B69" s="8" t="inlineStr">
        <is>
          <t>Break-Even Quantity (Q_BEP)</t>
        </is>
      </c>
      <c r="C69" s="25">
        <f>W67</f>
        <v/>
      </c>
      <c r="D69" s="21" t="n">
        <v>100</v>
      </c>
      <c r="E69" s="26">
        <f>IF(ISNUMBER(D69),IF(ISNUMBER(W67),ABS(W67-D69),"N/A"),"N/A")</f>
        <v/>
      </c>
      <c r="F69" s="15">
        <f>IFERROR(IF(ISNUMBER(D69),IF(ISNUMBER(W67),IF(ABS(W67-D69)&lt;=0.01,"PASS","FAIL"),"FAIL"),IF(NOT(ISNUMBER(W67)),IF(W67=D69,"PASS","FAIL"),"FAIL")),"FAIL")</f>
        <v/>
      </c>
    </row>
    <row r="70">
      <c r="B70" s="8" t="inlineStr">
        <is>
          <t>Analysis Period Basis</t>
        </is>
      </c>
      <c r="C70" s="16">
        <f>X67</f>
        <v/>
      </c>
      <c r="D70" s="30" t="inlineStr">
        <is>
          <t>per_month</t>
        </is>
      </c>
      <c r="E70" s="26">
        <f>IF(ISNUMBER(D70),IF(ISNUMBER(X67),ABS(X67-D70),"N/A"),"N/A")</f>
        <v/>
      </c>
      <c r="F70" s="15">
        <f>IFERROR(IF(ISNUMBER(D70),IF(ISNUMBER(X67),IF(ABS(X67-D70)&lt;=0.01,"PASS","FAIL"),"FAIL"),IF(NOT(ISNUMBER(X67)),IF(X67=D70,"PASS","FAIL"),"FAIL")),"FAIL")</f>
        <v/>
      </c>
    </row>
    <row r="71">
      <c r="B71" s="8" t="inlineStr">
        <is>
          <t>Module Status Tier</t>
        </is>
      </c>
      <c r="C71" s="16">
        <f>IF(OR(U67="ERROR",V67="ERROR",W67="ERROR"),"ERROR",IF(OR(U67="UNKNOWN",V67="UNKNOWN",W67="UNKNOWN"),"INCOMPLETE","OK"))</f>
        <v/>
      </c>
      <c r="D71" s="30" t="inlineStr">
        <is>
          <t>OK</t>
        </is>
      </c>
      <c r="F71" s="15">
        <f>IF(C71=D71,"PASS","FAIL")</f>
        <v/>
      </c>
    </row>
    <row r="72">
      <c r="B72" s="8" t="inlineStr">
        <is>
          <t>Primary Warning Code (diagnostic)</t>
        </is>
      </c>
      <c r="C72" s="16">
        <f>AA67</f>
        <v/>
      </c>
      <c r="D72" s="30" t="inlineStr">
        <is>
          <t>NONE</t>
        </is>
      </c>
      <c r="F72" s="15">
        <f>IF(AA67=D72,"PASS","FAIL")</f>
        <v/>
      </c>
    </row>
    <row r="73">
      <c r="B73" s="8" t="inlineStr">
        <is>
          <t>Self-Check: |Q_BEP × CMu − FC| ≤ tol</t>
        </is>
      </c>
      <c r="C73" s="36">
        <f>IF(NOT(ISNUMBER(W67)),"SKIP",IF(ABS(W67*U67-V67)&lt;=0.01,"PASS","FAIL"))</f>
        <v/>
      </c>
      <c r="D73" s="34" t="n"/>
      <c r="F73" s="15">
        <f>IF(C73="FAIL","FAIL","PASS")</f>
        <v/>
      </c>
    </row>
    <row r="75" ht="20" customHeight="1">
      <c r="B75" s="2" t="inlineStr">
        <is>
          <t>TC8. VAT-exclusive display, same economics as TC7</t>
        </is>
      </c>
      <c r="C75" s="7" t="n"/>
      <c r="D75" s="7" t="n"/>
      <c r="E75" s="7" t="n"/>
      <c r="F75" s="7" t="n"/>
    </row>
    <row r="76">
      <c r="B76" s="4" t="inlineStr">
        <is>
          <t>Metric</t>
        </is>
      </c>
      <c r="C76" s="4" t="inlineStr">
        <is>
          <t>Excel Result</t>
        </is>
      </c>
      <c r="D76" s="4" t="inlineStr">
        <is>
          <t>Python Reference</t>
        </is>
      </c>
      <c r="E76" s="4" t="inlineStr">
        <is>
          <t>Difference</t>
        </is>
      </c>
      <c r="F76" s="4" t="inlineStr">
        <is>
          <t>PASS / FAIL</t>
        </is>
      </c>
    </row>
    <row r="77">
      <c r="B77" s="8" t="inlineStr">
        <is>
          <t>Contribution Margin per Unit (CMu)</t>
        </is>
      </c>
      <c r="C77" s="25">
        <f>U77</f>
        <v/>
      </c>
      <c r="D77" s="21" t="n">
        <v>500</v>
      </c>
      <c r="E77" s="26">
        <f>IF(ISNUMBER(D77),IF(ISNUMBER(U77),ABS(U77-D77),"N/A"),"N/A")</f>
        <v/>
      </c>
      <c r="F77" s="15">
        <f>IFERROR(IF(ISNUMBER(D77),IF(ISNUMBER(U77),IF(ABS(U77-D77)&lt;=0.01,"PASS","FAIL"),"FAIL"),IF(NOT(ISNUMBER(U77)),IF(U77=D77,"PASS","FAIL"),"FAIL")),"FAIL")</f>
        <v/>
      </c>
      <c r="I77" t="n">
        <v>1000</v>
      </c>
      <c r="J77" t="b">
        <v>0</v>
      </c>
      <c r="K77" t="n">
        <v>0.1</v>
      </c>
      <c r="L77" t="n">
        <v>400</v>
      </c>
      <c r="M77" t="n">
        <v>100</v>
      </c>
      <c r="N77" t="n">
        <v>0</v>
      </c>
      <c r="O77" t="n">
        <v>0</v>
      </c>
      <c r="P77" t="n">
        <v>50000</v>
      </c>
      <c r="Q77" t="inlineStr">
        <is>
          <t>per_month</t>
        </is>
      </c>
      <c r="R77" t="inlineStr">
        <is>
          <t>component</t>
        </is>
      </c>
      <c r="S77" t="inlineStr">
        <is>
          <t>consistent</t>
        </is>
      </c>
      <c r="T77" t="n">
        <v>1</v>
      </c>
      <c r="U77">
        <f>IF($T$77&gt;1,"ERROR",IFERROR(IF(Y77="ERROR","ERROR",IF(OR(NOT(ISNUMBER(Y77)),ISBLANK($L$77),ISBLANK($M$77),ISBLANK($N$77),ISBLANK($O$77)),"UNKNOWN",IF($O$77&gt;0,IF(Z77="ERROR","ERROR",IF(NOT(ISNUMBER(Z77)),"UNKNOWN",Y77-$L$77-$M$77-$N$77*Y77-$O$77*Z77)),Y77-$L$77-$M$77-$N$77*Y77))),"ERROR"))</f>
        <v/>
      </c>
      <c r="V77">
        <f>IF($T$77&gt;1,"ERROR",IFERROR(IF($R$77="invalid_direct","ERROR",IF($S$77="inconsistent","ERROR",IF($R$77="none",0,IF(OR($R$77="unresolved",$R$77="blended_only"),"UNKNOWN",IF(ISBLANK($P$77),"UNKNOWN",IF($P$77&lt;0,"ERROR",$P$77)))))),"ERROR"))</f>
        <v/>
      </c>
      <c r="W77">
        <f>IF($T$77&gt;1,"ERROR",IFERROR(IF(OR(U77="ERROR",V77="ERROR"),"ERROR",IF(OR(NOT(ISNUMBER(U77)),NOT(ISNUMBER(V77))),"UNKNOWN",IF(U77&lt;=0,"NOT_APPLICABLE",V77/U77))),"ERROR"))</f>
        <v/>
      </c>
      <c r="X77">
        <f>IF($T$77&gt;1,"",IF(OR($R$77="invalid_direct",$S$77="inconsistent"),"",IF($R$77="none","",IF(OR($R$77="unresolved",$R$77="blended_only"),"",IF(ISBLANK($P$77),"",IF($P$77&lt;0,"",$Q$77))))))</f>
        <v/>
      </c>
      <c r="Y77">
        <f>IFERROR(IF(ISBLANK($I$77),"UNKNOWN",IF(ISBLANK($J$77),"UNKNOWN",IF($J$77=FALSE,$I$77,IF(ISBLANK($K$77),"UNKNOWN",$I$77/(1+$K$77))))),"ERROR")</f>
        <v/>
      </c>
      <c r="Z77">
        <f>IFERROR(IF(ISBLANK($I$77),"UNKNOWN",IF(ISBLANK($J$77),"UNKNOWN",IF($J$77=TRUE,$I$77,IF(ISBLANK($K$77),"UNKNOWN",$I$77*(1+$K$77))))),"ERROR")</f>
        <v/>
      </c>
      <c r="AA77">
        <f>IF($T$77&gt;1,"MULTI_COMPONENT_BEP_NOT_SUPPORTED",IF($R$77="invalid_direct","INVALID_ALLOCATION_CONFIGURATION",IF($S$77="inconsistent","INCONSISTENT_FIXED_COST_BASIS",IF(AND($R$77="component",NOT(ISBLANK($P$77)),$P$77&lt;0),"INVALID_NEGATIVE_COST",IF(U77="ERROR","CALCULATION_ERROR",IF($R$77="blended_only","FIXED_COST_BLENDED_ONLY_NOT_ALLOCATED",IF($R$77="unresolved","UNSUPPORTED_SHARED_COST_ALLOCATION",IF(NOT(ISNUMBER(U77)),"MISSING_DEPENDENCY",IF(AND($R$77="component",ISBLANK($P$77)),"MISSING_DEPENDENCY",IF(AND(U77=0,V77=0),"BREAK_EVEN_UNDEFINED_ZERO_MARGIN_ZERO_FIXED_COST",IF(U77=0,"BREAK_EVEN_UNDEFINED_ZERO_MARGIN",IF(U77&lt;0,"BREAK_EVEN_UNDEFINED_NEGATIVE_MARGIN","NONE"))))))))))))</f>
        <v/>
      </c>
    </row>
    <row r="78">
      <c r="B78" s="8" t="inlineStr">
        <is>
          <t>Fixed Operating Cost (FC)</t>
        </is>
      </c>
      <c r="C78" s="25">
        <f>V77</f>
        <v/>
      </c>
      <c r="D78" s="21" t="n">
        <v>50000</v>
      </c>
      <c r="E78" s="26">
        <f>IF(ISNUMBER(D78),IF(ISNUMBER(V77),ABS(V77-D78),"N/A"),"N/A")</f>
        <v/>
      </c>
      <c r="F78" s="15">
        <f>IFERROR(IF(ISNUMBER(D78),IF(ISNUMBER(V77),IF(ABS(V77-D78)&lt;=0.01,"PASS","FAIL"),"FAIL"),IF(NOT(ISNUMBER(V77)),IF(V77=D78,"PASS","FAIL"),"FAIL")),"FAIL")</f>
        <v/>
      </c>
    </row>
    <row r="79">
      <c r="B79" s="8" t="inlineStr">
        <is>
          <t>Break-Even Quantity (Q_BEP)</t>
        </is>
      </c>
      <c r="C79" s="25">
        <f>W77</f>
        <v/>
      </c>
      <c r="D79" s="21" t="n">
        <v>100</v>
      </c>
      <c r="E79" s="26">
        <f>IF(ISNUMBER(D79),IF(ISNUMBER(W77),ABS(W77-D79),"N/A"),"N/A")</f>
        <v/>
      </c>
      <c r="F79" s="15">
        <f>IFERROR(IF(ISNUMBER(D79),IF(ISNUMBER(W77),IF(ABS(W77-D79)&lt;=0.01,"PASS","FAIL"),"FAIL"),IF(NOT(ISNUMBER(W77)),IF(W77=D79,"PASS","FAIL"),"FAIL")),"FAIL")</f>
        <v/>
      </c>
    </row>
    <row r="80">
      <c r="B80" s="8" t="inlineStr">
        <is>
          <t>Analysis Period Basis</t>
        </is>
      </c>
      <c r="C80" s="16">
        <f>X77</f>
        <v/>
      </c>
      <c r="D80" s="30" t="inlineStr">
        <is>
          <t>per_month</t>
        </is>
      </c>
      <c r="E80" s="26">
        <f>IF(ISNUMBER(D80),IF(ISNUMBER(X77),ABS(X77-D80),"N/A"),"N/A")</f>
        <v/>
      </c>
      <c r="F80" s="15">
        <f>IFERROR(IF(ISNUMBER(D80),IF(ISNUMBER(X77),IF(ABS(X77-D80)&lt;=0.01,"PASS","FAIL"),"FAIL"),IF(NOT(ISNUMBER(X77)),IF(X77=D80,"PASS","FAIL"),"FAIL")),"FAIL")</f>
        <v/>
      </c>
    </row>
    <row r="81">
      <c r="B81" s="8" t="inlineStr">
        <is>
          <t>Module Status Tier</t>
        </is>
      </c>
      <c r="C81" s="16">
        <f>IF(OR(U77="ERROR",V77="ERROR",W77="ERROR"),"ERROR",IF(OR(U77="UNKNOWN",V77="UNKNOWN",W77="UNKNOWN"),"INCOMPLETE","OK"))</f>
        <v/>
      </c>
      <c r="D81" s="30" t="inlineStr">
        <is>
          <t>OK</t>
        </is>
      </c>
      <c r="F81" s="15">
        <f>IF(C81=D81,"PASS","FAIL")</f>
        <v/>
      </c>
    </row>
    <row r="82">
      <c r="B82" s="8" t="inlineStr">
        <is>
          <t>Primary Warning Code (diagnostic)</t>
        </is>
      </c>
      <c r="C82" s="16">
        <f>AA77</f>
        <v/>
      </c>
      <c r="D82" s="30" t="inlineStr">
        <is>
          <t>NONE</t>
        </is>
      </c>
      <c r="F82" s="15">
        <f>IF(AA77=D82,"PASS","FAIL")</f>
        <v/>
      </c>
    </row>
    <row r="83">
      <c r="B83" s="8" t="inlineStr">
        <is>
          <t>Self-Check: |Q_BEP × CMu − FC| ≤ tol</t>
        </is>
      </c>
      <c r="C83" s="36">
        <f>IF(NOT(ISNUMBER(W77)),"SKIP",IF(ABS(W77*U77-V77)&lt;=0.01,"PASS","FAIL"))</f>
        <v/>
      </c>
      <c r="D83" s="34" t="n"/>
      <c r="F83" s="15">
        <f>IF(C83="FAIL","FAIL","PASS")</f>
        <v/>
      </c>
    </row>
    <row r="85" ht="20" customHeight="1">
      <c r="B85" s="2" t="inlineStr">
        <is>
          <t>TC9. Net-sales fee</t>
        </is>
      </c>
      <c r="C85" s="7" t="n"/>
      <c r="D85" s="7" t="n"/>
      <c r="E85" s="7" t="n"/>
      <c r="F85" s="7" t="n"/>
    </row>
    <row r="86">
      <c r="B86" s="4" t="inlineStr">
        <is>
          <t>Metric</t>
        </is>
      </c>
      <c r="C86" s="4" t="inlineStr">
        <is>
          <t>Excel Result</t>
        </is>
      </c>
      <c r="D86" s="4" t="inlineStr">
        <is>
          <t>Python Reference</t>
        </is>
      </c>
      <c r="E86" s="4" t="inlineStr">
        <is>
          <t>Difference</t>
        </is>
      </c>
      <c r="F86" s="4" t="inlineStr">
        <is>
          <t>PASS / FAIL</t>
        </is>
      </c>
    </row>
    <row r="87">
      <c r="B87" s="8" t="inlineStr">
        <is>
          <t>Contribution Margin per Unit (CMu)</t>
        </is>
      </c>
      <c r="C87" s="25">
        <f>U87</f>
        <v/>
      </c>
      <c r="D87" s="21" t="n">
        <v>700</v>
      </c>
      <c r="E87" s="26">
        <f>IF(ISNUMBER(D87),IF(ISNUMBER(U87),ABS(U87-D87),"N/A"),"N/A")</f>
        <v/>
      </c>
      <c r="F87" s="15">
        <f>IFERROR(IF(ISNUMBER(D87),IF(ISNUMBER(U87),IF(ABS(U87-D87)&lt;=0.01,"PASS","FAIL"),"FAIL"),IF(NOT(ISNUMBER(U87)),IF(U87=D87,"PASS","FAIL"),"FAIL")),"FAIL")</f>
        <v/>
      </c>
      <c r="I87" t="n">
        <v>1000</v>
      </c>
      <c r="J87" t="b">
        <v>0</v>
      </c>
      <c r="L87" t="n">
        <v>200</v>
      </c>
      <c r="M87" t="n">
        <v>0</v>
      </c>
      <c r="N87" t="n">
        <v>0.1</v>
      </c>
      <c r="O87" t="n">
        <v>0</v>
      </c>
      <c r="P87" t="n">
        <v>70000</v>
      </c>
      <c r="Q87" t="inlineStr">
        <is>
          <t>per_month</t>
        </is>
      </c>
      <c r="R87" t="inlineStr">
        <is>
          <t>component</t>
        </is>
      </c>
      <c r="S87" t="inlineStr">
        <is>
          <t>consistent</t>
        </is>
      </c>
      <c r="T87" t="n">
        <v>1</v>
      </c>
      <c r="U87">
        <f>IF($T$87&gt;1,"ERROR",IFERROR(IF(Y87="ERROR","ERROR",IF(OR(NOT(ISNUMBER(Y87)),ISBLANK($L$87),ISBLANK($M$87),ISBLANK($N$87),ISBLANK($O$87)),"UNKNOWN",IF($O$87&gt;0,IF(Z87="ERROR","ERROR",IF(NOT(ISNUMBER(Z87)),"UNKNOWN",Y87-$L$87-$M$87-$N$87*Y87-$O$87*Z87)),Y87-$L$87-$M$87-$N$87*Y87))),"ERROR"))</f>
        <v/>
      </c>
      <c r="V87">
        <f>IF($T$87&gt;1,"ERROR",IFERROR(IF($R$87="invalid_direct","ERROR",IF($S$87="inconsistent","ERROR",IF($R$87="none",0,IF(OR($R$87="unresolved",$R$87="blended_only"),"UNKNOWN",IF(ISBLANK($P$87),"UNKNOWN",IF($P$87&lt;0,"ERROR",$P$87)))))),"ERROR"))</f>
        <v/>
      </c>
      <c r="W87">
        <f>IF($T$87&gt;1,"ERROR",IFERROR(IF(OR(U87="ERROR",V87="ERROR"),"ERROR",IF(OR(NOT(ISNUMBER(U87)),NOT(ISNUMBER(V87))),"UNKNOWN",IF(U87&lt;=0,"NOT_APPLICABLE",V87/U87))),"ERROR"))</f>
        <v/>
      </c>
      <c r="X87">
        <f>IF($T$87&gt;1,"",IF(OR($R$87="invalid_direct",$S$87="inconsistent"),"",IF($R$87="none","",IF(OR($R$87="unresolved",$R$87="blended_only"),"",IF(ISBLANK($P$87),"",IF($P$87&lt;0,"",$Q$87))))))</f>
        <v/>
      </c>
      <c r="Y87">
        <f>IFERROR(IF(ISBLANK($I$87),"UNKNOWN",IF(ISBLANK($J$87),"UNKNOWN",IF($J$87=FALSE,$I$87,IF(ISBLANK($K$87),"UNKNOWN",$I$87/(1+$K$87))))),"ERROR")</f>
        <v/>
      </c>
      <c r="Z87">
        <f>IFERROR(IF(ISBLANK($I$87),"UNKNOWN",IF(ISBLANK($J$87),"UNKNOWN",IF($J$87=TRUE,$I$87,IF(ISBLANK($K$87),"UNKNOWN",$I$87*(1+$K$87))))),"ERROR")</f>
        <v/>
      </c>
      <c r="AA87">
        <f>IF($T$87&gt;1,"MULTI_COMPONENT_BEP_NOT_SUPPORTED",IF($R$87="invalid_direct","INVALID_ALLOCATION_CONFIGURATION",IF($S$87="inconsistent","INCONSISTENT_FIXED_COST_BASIS",IF(AND($R$87="component",NOT(ISBLANK($P$87)),$P$87&lt;0),"INVALID_NEGATIVE_COST",IF(U87="ERROR","CALCULATION_ERROR",IF($R$87="blended_only","FIXED_COST_BLENDED_ONLY_NOT_ALLOCATED",IF($R$87="unresolved","UNSUPPORTED_SHARED_COST_ALLOCATION",IF(NOT(ISNUMBER(U87)),"MISSING_DEPENDENCY",IF(AND($R$87="component",ISBLANK($P$87)),"MISSING_DEPENDENCY",IF(AND(U87=0,V87=0),"BREAK_EVEN_UNDEFINED_ZERO_MARGIN_ZERO_FIXED_COST",IF(U87=0,"BREAK_EVEN_UNDEFINED_ZERO_MARGIN",IF(U87&lt;0,"BREAK_EVEN_UNDEFINED_NEGATIVE_MARGIN","NONE"))))))))))))</f>
        <v/>
      </c>
    </row>
    <row r="88">
      <c r="B88" s="8" t="inlineStr">
        <is>
          <t>Fixed Operating Cost (FC)</t>
        </is>
      </c>
      <c r="C88" s="25">
        <f>V87</f>
        <v/>
      </c>
      <c r="D88" s="21" t="n">
        <v>70000</v>
      </c>
      <c r="E88" s="26">
        <f>IF(ISNUMBER(D88),IF(ISNUMBER(V87),ABS(V87-D88),"N/A"),"N/A")</f>
        <v/>
      </c>
      <c r="F88" s="15">
        <f>IFERROR(IF(ISNUMBER(D88),IF(ISNUMBER(V87),IF(ABS(V87-D88)&lt;=0.01,"PASS","FAIL"),"FAIL"),IF(NOT(ISNUMBER(V87)),IF(V87=D88,"PASS","FAIL"),"FAIL")),"FAIL")</f>
        <v/>
      </c>
    </row>
    <row r="89">
      <c r="B89" s="8" t="inlineStr">
        <is>
          <t>Break-Even Quantity (Q_BEP)</t>
        </is>
      </c>
      <c r="C89" s="25">
        <f>W87</f>
        <v/>
      </c>
      <c r="D89" s="21" t="n">
        <v>100</v>
      </c>
      <c r="E89" s="26">
        <f>IF(ISNUMBER(D89),IF(ISNUMBER(W87),ABS(W87-D89),"N/A"),"N/A")</f>
        <v/>
      </c>
      <c r="F89" s="15">
        <f>IFERROR(IF(ISNUMBER(D89),IF(ISNUMBER(W87),IF(ABS(W87-D89)&lt;=0.01,"PASS","FAIL"),"FAIL"),IF(NOT(ISNUMBER(W87)),IF(W87=D89,"PASS","FAIL"),"FAIL")),"FAIL")</f>
        <v/>
      </c>
    </row>
    <row r="90">
      <c r="B90" s="8" t="inlineStr">
        <is>
          <t>Analysis Period Basis</t>
        </is>
      </c>
      <c r="C90" s="16">
        <f>X87</f>
        <v/>
      </c>
      <c r="D90" s="30" t="inlineStr">
        <is>
          <t>per_month</t>
        </is>
      </c>
      <c r="E90" s="26">
        <f>IF(ISNUMBER(D90),IF(ISNUMBER(X87),ABS(X87-D90),"N/A"),"N/A")</f>
        <v/>
      </c>
      <c r="F90" s="15">
        <f>IFERROR(IF(ISNUMBER(D90),IF(ISNUMBER(X87),IF(ABS(X87-D90)&lt;=0.01,"PASS","FAIL"),"FAIL"),IF(NOT(ISNUMBER(X87)),IF(X87=D90,"PASS","FAIL"),"FAIL")),"FAIL")</f>
        <v/>
      </c>
    </row>
    <row r="91">
      <c r="B91" s="8" t="inlineStr">
        <is>
          <t>Module Status Tier</t>
        </is>
      </c>
      <c r="C91" s="16">
        <f>IF(OR(U87="ERROR",V87="ERROR",W87="ERROR"),"ERROR",IF(OR(U87="UNKNOWN",V87="UNKNOWN",W87="UNKNOWN"),"INCOMPLETE","OK"))</f>
        <v/>
      </c>
      <c r="D91" s="30" t="inlineStr">
        <is>
          <t>OK</t>
        </is>
      </c>
      <c r="F91" s="15">
        <f>IF(C91=D91,"PASS","FAIL")</f>
        <v/>
      </c>
    </row>
    <row r="92">
      <c r="B92" s="8" t="inlineStr">
        <is>
          <t>Primary Warning Code (diagnostic)</t>
        </is>
      </c>
      <c r="C92" s="16">
        <f>AA87</f>
        <v/>
      </c>
      <c r="D92" s="30" t="inlineStr">
        <is>
          <t>NONE</t>
        </is>
      </c>
      <c r="F92" s="15">
        <f>IF(AA87=D92,"PASS","FAIL")</f>
        <v/>
      </c>
    </row>
    <row r="93">
      <c r="B93" s="8" t="inlineStr">
        <is>
          <t>Self-Check: |Q_BEP × CMu − FC| ≤ tol</t>
        </is>
      </c>
      <c r="C93" s="36">
        <f>IF(NOT(ISNUMBER(W87)),"SKIP",IF(ABS(W87*U87-V87)&lt;=0.01,"PASS","FAIL"))</f>
        <v/>
      </c>
      <c r="D93" s="34" t="n"/>
      <c r="F93" s="15">
        <f>IF(C93="FAIL","FAIL","PASS")</f>
        <v/>
      </c>
    </row>
    <row r="95" ht="20" customHeight="1">
      <c r="B95" s="2" t="inlineStr">
        <is>
          <t>TC10. Gross-payment fee</t>
        </is>
      </c>
      <c r="C95" s="7" t="n"/>
      <c r="D95" s="7" t="n"/>
      <c r="E95" s="7" t="n"/>
      <c r="F95" s="7" t="n"/>
    </row>
    <row r="96">
      <c r="B96" s="4" t="inlineStr">
        <is>
          <t>Metric</t>
        </is>
      </c>
      <c r="C96" s="4" t="inlineStr">
        <is>
          <t>Excel Result</t>
        </is>
      </c>
      <c r="D96" s="4" t="inlineStr">
        <is>
          <t>Python Reference</t>
        </is>
      </c>
      <c r="E96" s="4" t="inlineStr">
        <is>
          <t>Difference</t>
        </is>
      </c>
      <c r="F96" s="4" t="inlineStr">
        <is>
          <t>PASS / FAIL</t>
        </is>
      </c>
    </row>
    <row r="97">
      <c r="B97" s="8" t="inlineStr">
        <is>
          <t>Contribution Margin per Unit (CMu)</t>
        </is>
      </c>
      <c r="C97" s="25">
        <f>U97</f>
        <v/>
      </c>
      <c r="D97" s="21" t="n">
        <v>945</v>
      </c>
      <c r="E97" s="26">
        <f>IF(ISNUMBER(D97),IF(ISNUMBER(U97),ABS(U97-D97),"N/A"),"N/A")</f>
        <v/>
      </c>
      <c r="F97" s="15">
        <f>IFERROR(IF(ISNUMBER(D97),IF(ISNUMBER(U97),IF(ABS(U97-D97)&lt;=0.01,"PASS","FAIL"),"FAIL"),IF(NOT(ISNUMBER(U97)),IF(U97=D97,"PASS","FAIL"),"FAIL")),"FAIL")</f>
        <v/>
      </c>
      <c r="I97" t="n">
        <v>1000</v>
      </c>
      <c r="J97" t="b">
        <v>0</v>
      </c>
      <c r="K97" t="n">
        <v>0.1</v>
      </c>
      <c r="L97" t="n">
        <v>0</v>
      </c>
      <c r="M97" t="n">
        <v>0</v>
      </c>
      <c r="N97" t="n">
        <v>0</v>
      </c>
      <c r="O97" t="n">
        <v>0.05</v>
      </c>
      <c r="P97" t="n">
        <v>94500</v>
      </c>
      <c r="Q97" t="inlineStr">
        <is>
          <t>per_month</t>
        </is>
      </c>
      <c r="R97" t="inlineStr">
        <is>
          <t>component</t>
        </is>
      </c>
      <c r="S97" t="inlineStr">
        <is>
          <t>consistent</t>
        </is>
      </c>
      <c r="T97" t="n">
        <v>1</v>
      </c>
      <c r="U97">
        <f>IF($T$97&gt;1,"ERROR",IFERROR(IF(Y97="ERROR","ERROR",IF(OR(NOT(ISNUMBER(Y97)),ISBLANK($L$97),ISBLANK($M$97),ISBLANK($N$97),ISBLANK($O$97)),"UNKNOWN",IF($O$97&gt;0,IF(Z97="ERROR","ERROR",IF(NOT(ISNUMBER(Z97)),"UNKNOWN",Y97-$L$97-$M$97-$N$97*Y97-$O$97*Z97)),Y97-$L$97-$M$97-$N$97*Y97))),"ERROR"))</f>
        <v/>
      </c>
      <c r="V97">
        <f>IF($T$97&gt;1,"ERROR",IFERROR(IF($R$97="invalid_direct","ERROR",IF($S$97="inconsistent","ERROR",IF($R$97="none",0,IF(OR($R$97="unresolved",$R$97="blended_only"),"UNKNOWN",IF(ISBLANK($P$97),"UNKNOWN",IF($P$97&lt;0,"ERROR",$P$97)))))),"ERROR"))</f>
        <v/>
      </c>
      <c r="W97">
        <f>IF($T$97&gt;1,"ERROR",IFERROR(IF(OR(U97="ERROR",V97="ERROR"),"ERROR",IF(OR(NOT(ISNUMBER(U97)),NOT(ISNUMBER(V97))),"UNKNOWN",IF(U97&lt;=0,"NOT_APPLICABLE",V97/U97))),"ERROR"))</f>
        <v/>
      </c>
      <c r="X97">
        <f>IF($T$97&gt;1,"",IF(OR($R$97="invalid_direct",$S$97="inconsistent"),"",IF($R$97="none","",IF(OR($R$97="unresolved",$R$97="blended_only"),"",IF(ISBLANK($P$97),"",IF($P$97&lt;0,"",$Q$97))))))</f>
        <v/>
      </c>
      <c r="Y97">
        <f>IFERROR(IF(ISBLANK($I$97),"UNKNOWN",IF(ISBLANK($J$97),"UNKNOWN",IF($J$97=FALSE,$I$97,IF(ISBLANK($K$97),"UNKNOWN",$I$97/(1+$K$97))))),"ERROR")</f>
        <v/>
      </c>
      <c r="Z97">
        <f>IFERROR(IF(ISBLANK($I$97),"UNKNOWN",IF(ISBLANK($J$97),"UNKNOWN",IF($J$97=TRUE,$I$97,IF(ISBLANK($K$97),"UNKNOWN",$I$97*(1+$K$97))))),"ERROR")</f>
        <v/>
      </c>
      <c r="AA97">
        <f>IF($T$97&gt;1,"MULTI_COMPONENT_BEP_NOT_SUPPORTED",IF($R$97="invalid_direct","INVALID_ALLOCATION_CONFIGURATION",IF($S$97="inconsistent","INCONSISTENT_FIXED_COST_BASIS",IF(AND($R$97="component",NOT(ISBLANK($P$97)),$P$97&lt;0),"INVALID_NEGATIVE_COST",IF(U97="ERROR","CALCULATION_ERROR",IF($R$97="blended_only","FIXED_COST_BLENDED_ONLY_NOT_ALLOCATED",IF($R$97="unresolved","UNSUPPORTED_SHARED_COST_ALLOCATION",IF(NOT(ISNUMBER(U97)),"MISSING_DEPENDENCY",IF(AND($R$97="component",ISBLANK($P$97)),"MISSING_DEPENDENCY",IF(AND(U97=0,V97=0),"BREAK_EVEN_UNDEFINED_ZERO_MARGIN_ZERO_FIXED_COST",IF(U97=0,"BREAK_EVEN_UNDEFINED_ZERO_MARGIN",IF(U97&lt;0,"BREAK_EVEN_UNDEFINED_NEGATIVE_MARGIN","NONE"))))))))))))</f>
        <v/>
      </c>
    </row>
    <row r="98">
      <c r="B98" s="8" t="inlineStr">
        <is>
          <t>Fixed Operating Cost (FC)</t>
        </is>
      </c>
      <c r="C98" s="25">
        <f>V97</f>
        <v/>
      </c>
      <c r="D98" s="21" t="n">
        <v>94500</v>
      </c>
      <c r="E98" s="26">
        <f>IF(ISNUMBER(D98),IF(ISNUMBER(V97),ABS(V97-D98),"N/A"),"N/A")</f>
        <v/>
      </c>
      <c r="F98" s="15">
        <f>IFERROR(IF(ISNUMBER(D98),IF(ISNUMBER(V97),IF(ABS(V97-D98)&lt;=0.01,"PASS","FAIL"),"FAIL"),IF(NOT(ISNUMBER(V97)),IF(V97=D98,"PASS","FAIL"),"FAIL")),"FAIL")</f>
        <v/>
      </c>
    </row>
    <row r="99">
      <c r="B99" s="8" t="inlineStr">
        <is>
          <t>Break-Even Quantity (Q_BEP)</t>
        </is>
      </c>
      <c r="C99" s="25">
        <f>W97</f>
        <v/>
      </c>
      <c r="D99" s="21" t="n">
        <v>100</v>
      </c>
      <c r="E99" s="26">
        <f>IF(ISNUMBER(D99),IF(ISNUMBER(W97),ABS(W97-D99),"N/A"),"N/A")</f>
        <v/>
      </c>
      <c r="F99" s="15">
        <f>IFERROR(IF(ISNUMBER(D99),IF(ISNUMBER(W97),IF(ABS(W97-D99)&lt;=0.01,"PASS","FAIL"),"FAIL"),IF(NOT(ISNUMBER(W97)),IF(W97=D99,"PASS","FAIL"),"FAIL")),"FAIL")</f>
        <v/>
      </c>
    </row>
    <row r="100">
      <c r="B100" s="8" t="inlineStr">
        <is>
          <t>Analysis Period Basis</t>
        </is>
      </c>
      <c r="C100" s="16">
        <f>X97</f>
        <v/>
      </c>
      <c r="D100" s="30" t="inlineStr">
        <is>
          <t>per_month</t>
        </is>
      </c>
      <c r="E100" s="26">
        <f>IF(ISNUMBER(D100),IF(ISNUMBER(X97),ABS(X97-D100),"N/A"),"N/A")</f>
        <v/>
      </c>
      <c r="F100" s="15">
        <f>IFERROR(IF(ISNUMBER(D100),IF(ISNUMBER(X97),IF(ABS(X97-D100)&lt;=0.01,"PASS","FAIL"),"FAIL"),IF(NOT(ISNUMBER(X97)),IF(X97=D100,"PASS","FAIL"),"FAIL")),"FAIL")</f>
        <v/>
      </c>
    </row>
    <row r="101">
      <c r="B101" s="8" t="inlineStr">
        <is>
          <t>Module Status Tier</t>
        </is>
      </c>
      <c r="C101" s="16">
        <f>IF(OR(U97="ERROR",V97="ERROR",W97="ERROR"),"ERROR",IF(OR(U97="UNKNOWN",V97="UNKNOWN",W97="UNKNOWN"),"INCOMPLETE","OK"))</f>
        <v/>
      </c>
      <c r="D101" s="30" t="inlineStr">
        <is>
          <t>OK</t>
        </is>
      </c>
      <c r="F101" s="15">
        <f>IF(C101=D101,"PASS","FAIL")</f>
        <v/>
      </c>
    </row>
    <row r="102">
      <c r="B102" s="8" t="inlineStr">
        <is>
          <t>Primary Warning Code (diagnostic)</t>
        </is>
      </c>
      <c r="C102" s="16">
        <f>AA97</f>
        <v/>
      </c>
      <c r="D102" s="30" t="inlineStr">
        <is>
          <t>NONE</t>
        </is>
      </c>
      <c r="F102" s="15">
        <f>IF(AA97=D102,"PASS","FAIL")</f>
        <v/>
      </c>
    </row>
    <row r="103">
      <c r="B103" s="8" t="inlineStr">
        <is>
          <t>Self-Check: |Q_BEP × CMu − FC| ≤ tol</t>
        </is>
      </c>
      <c r="C103" s="36">
        <f>IF(NOT(ISNUMBER(W97)),"SKIP",IF(ABS(W97*U97-V97)&lt;=0.01,"PASS","FAIL"))</f>
        <v/>
      </c>
      <c r="D103" s="34" t="n"/>
      <c r="F103" s="15">
        <f>IF(C103="FAIL","FAIL","PASS")</f>
        <v/>
      </c>
    </row>
    <row r="105" ht="20" customHeight="1">
      <c r="B105" s="2" t="inlineStr">
        <is>
          <t>TC11. v UNKNOWN, not needed (a=0)</t>
        </is>
      </c>
      <c r="C105" s="7" t="n"/>
      <c r="D105" s="7" t="n"/>
      <c r="E105" s="7" t="n"/>
      <c r="F105" s="7" t="n"/>
    </row>
    <row r="106">
      <c r="B106" s="4" t="inlineStr">
        <is>
          <t>Metric</t>
        </is>
      </c>
      <c r="C106" s="4" t="inlineStr">
        <is>
          <t>Excel Result</t>
        </is>
      </c>
      <c r="D106" s="4" t="inlineStr">
        <is>
          <t>Python Reference</t>
        </is>
      </c>
      <c r="E106" s="4" t="inlineStr">
        <is>
          <t>Difference</t>
        </is>
      </c>
      <c r="F106" s="4" t="inlineStr">
        <is>
          <t>PASS / FAIL</t>
        </is>
      </c>
    </row>
    <row r="107">
      <c r="B107" s="8" t="inlineStr">
        <is>
          <t>Contribution Margin per Unit (CMu)</t>
        </is>
      </c>
      <c r="C107" s="25">
        <f>U107</f>
        <v/>
      </c>
      <c r="D107" s="21" t="n">
        <v>600</v>
      </c>
      <c r="E107" s="26">
        <f>IF(ISNUMBER(D107),IF(ISNUMBER(U107),ABS(U107-D107),"N/A"),"N/A")</f>
        <v/>
      </c>
      <c r="F107" s="15">
        <f>IFERROR(IF(ISNUMBER(D107),IF(ISNUMBER(U107),IF(ABS(U107-D107)&lt;=0.01,"PASS","FAIL"),"FAIL"),IF(NOT(ISNUMBER(U107)),IF(U107=D107,"PASS","FAIL"),"FAIL")),"FAIL")</f>
        <v/>
      </c>
      <c r="I107" t="n">
        <v>1000</v>
      </c>
      <c r="J107" t="b">
        <v>0</v>
      </c>
      <c r="L107" t="n">
        <v>300</v>
      </c>
      <c r="M107" t="n">
        <v>0</v>
      </c>
      <c r="N107" t="n">
        <v>0.1</v>
      </c>
      <c r="O107" t="n">
        <v>0</v>
      </c>
      <c r="P107" t="n">
        <v>60000</v>
      </c>
      <c r="Q107" t="inlineStr">
        <is>
          <t>per_month</t>
        </is>
      </c>
      <c r="R107" t="inlineStr">
        <is>
          <t>component</t>
        </is>
      </c>
      <c r="S107" t="inlineStr">
        <is>
          <t>consistent</t>
        </is>
      </c>
      <c r="T107" t="n">
        <v>1</v>
      </c>
      <c r="U107">
        <f>IF($T$107&gt;1,"ERROR",IFERROR(IF(Y107="ERROR","ERROR",IF(OR(NOT(ISNUMBER(Y107)),ISBLANK($L$107),ISBLANK($M$107),ISBLANK($N$107),ISBLANK($O$107)),"UNKNOWN",IF($O$107&gt;0,IF(Z107="ERROR","ERROR",IF(NOT(ISNUMBER(Z107)),"UNKNOWN",Y107-$L$107-$M$107-$N$107*Y107-$O$107*Z107)),Y107-$L$107-$M$107-$N$107*Y107))),"ERROR"))</f>
        <v/>
      </c>
      <c r="V107">
        <f>IF($T$107&gt;1,"ERROR",IFERROR(IF($R$107="invalid_direct","ERROR",IF($S$107="inconsistent","ERROR",IF($R$107="none",0,IF(OR($R$107="unresolved",$R$107="blended_only"),"UNKNOWN",IF(ISBLANK($P$107),"UNKNOWN",IF($P$107&lt;0,"ERROR",$P$107)))))),"ERROR"))</f>
        <v/>
      </c>
      <c r="W107">
        <f>IF($T$107&gt;1,"ERROR",IFERROR(IF(OR(U107="ERROR",V107="ERROR"),"ERROR",IF(OR(NOT(ISNUMBER(U107)),NOT(ISNUMBER(V107))),"UNKNOWN",IF(U107&lt;=0,"NOT_APPLICABLE",V107/U107))),"ERROR"))</f>
        <v/>
      </c>
      <c r="X107">
        <f>IF($T$107&gt;1,"",IF(OR($R$107="invalid_direct",$S$107="inconsistent"),"",IF($R$107="none","",IF(OR($R$107="unresolved",$R$107="blended_only"),"",IF(ISBLANK($P$107),"",IF($P$107&lt;0,"",$Q$107))))))</f>
        <v/>
      </c>
      <c r="Y107">
        <f>IFERROR(IF(ISBLANK($I$107),"UNKNOWN",IF(ISBLANK($J$107),"UNKNOWN",IF($J$107=FALSE,$I$107,IF(ISBLANK($K$107),"UNKNOWN",$I$107/(1+$K$107))))),"ERROR")</f>
        <v/>
      </c>
      <c r="Z107">
        <f>IFERROR(IF(ISBLANK($I$107),"UNKNOWN",IF(ISBLANK($J$107),"UNKNOWN",IF($J$107=TRUE,$I$107,IF(ISBLANK($K$107),"UNKNOWN",$I$107*(1+$K$107))))),"ERROR")</f>
        <v/>
      </c>
      <c r="AA107">
        <f>IF($T$107&gt;1,"MULTI_COMPONENT_BEP_NOT_SUPPORTED",IF($R$107="invalid_direct","INVALID_ALLOCATION_CONFIGURATION",IF($S$107="inconsistent","INCONSISTENT_FIXED_COST_BASIS",IF(AND($R$107="component",NOT(ISBLANK($P$107)),$P$107&lt;0),"INVALID_NEGATIVE_COST",IF(U107="ERROR","CALCULATION_ERROR",IF($R$107="blended_only","FIXED_COST_BLENDED_ONLY_NOT_ALLOCATED",IF($R$107="unresolved","UNSUPPORTED_SHARED_COST_ALLOCATION",IF(NOT(ISNUMBER(U107)),"MISSING_DEPENDENCY",IF(AND($R$107="component",ISBLANK($P$107)),"MISSING_DEPENDENCY",IF(AND(U107=0,V107=0),"BREAK_EVEN_UNDEFINED_ZERO_MARGIN_ZERO_FIXED_COST",IF(U107=0,"BREAK_EVEN_UNDEFINED_ZERO_MARGIN",IF(U107&lt;0,"BREAK_EVEN_UNDEFINED_NEGATIVE_MARGIN","NONE"))))))))))))</f>
        <v/>
      </c>
    </row>
    <row r="108">
      <c r="B108" s="8" t="inlineStr">
        <is>
          <t>Fixed Operating Cost (FC)</t>
        </is>
      </c>
      <c r="C108" s="25">
        <f>V107</f>
        <v/>
      </c>
      <c r="D108" s="21" t="n">
        <v>60000</v>
      </c>
      <c r="E108" s="26">
        <f>IF(ISNUMBER(D108),IF(ISNUMBER(V107),ABS(V107-D108),"N/A"),"N/A")</f>
        <v/>
      </c>
      <c r="F108" s="15">
        <f>IFERROR(IF(ISNUMBER(D108),IF(ISNUMBER(V107),IF(ABS(V107-D108)&lt;=0.01,"PASS","FAIL"),"FAIL"),IF(NOT(ISNUMBER(V107)),IF(V107=D108,"PASS","FAIL"),"FAIL")),"FAIL")</f>
        <v/>
      </c>
    </row>
    <row r="109">
      <c r="B109" s="8" t="inlineStr">
        <is>
          <t>Break-Even Quantity (Q_BEP)</t>
        </is>
      </c>
      <c r="C109" s="25">
        <f>W107</f>
        <v/>
      </c>
      <c r="D109" s="21" t="n">
        <v>100</v>
      </c>
      <c r="E109" s="26">
        <f>IF(ISNUMBER(D109),IF(ISNUMBER(W107),ABS(W107-D109),"N/A"),"N/A")</f>
        <v/>
      </c>
      <c r="F109" s="15">
        <f>IFERROR(IF(ISNUMBER(D109),IF(ISNUMBER(W107),IF(ABS(W107-D109)&lt;=0.01,"PASS","FAIL"),"FAIL"),IF(NOT(ISNUMBER(W107)),IF(W107=D109,"PASS","FAIL"),"FAIL")),"FAIL")</f>
        <v/>
      </c>
    </row>
    <row r="110">
      <c r="B110" s="8" t="inlineStr">
        <is>
          <t>Analysis Period Basis</t>
        </is>
      </c>
      <c r="C110" s="16">
        <f>X107</f>
        <v/>
      </c>
      <c r="D110" s="30" t="inlineStr">
        <is>
          <t>per_month</t>
        </is>
      </c>
      <c r="E110" s="26">
        <f>IF(ISNUMBER(D110),IF(ISNUMBER(X107),ABS(X107-D110),"N/A"),"N/A")</f>
        <v/>
      </c>
      <c r="F110" s="15">
        <f>IFERROR(IF(ISNUMBER(D110),IF(ISNUMBER(X107),IF(ABS(X107-D110)&lt;=0.01,"PASS","FAIL"),"FAIL"),IF(NOT(ISNUMBER(X107)),IF(X107=D110,"PASS","FAIL"),"FAIL")),"FAIL")</f>
        <v/>
      </c>
    </row>
    <row r="111">
      <c r="B111" s="8" t="inlineStr">
        <is>
          <t>Module Status Tier</t>
        </is>
      </c>
      <c r="C111" s="16">
        <f>IF(OR(U107="ERROR",V107="ERROR",W107="ERROR"),"ERROR",IF(OR(U107="UNKNOWN",V107="UNKNOWN",W107="UNKNOWN"),"INCOMPLETE","OK"))</f>
        <v/>
      </c>
      <c r="D111" s="30" t="inlineStr">
        <is>
          <t>OK</t>
        </is>
      </c>
      <c r="F111" s="15">
        <f>IF(C111=D111,"PASS","FAIL")</f>
        <v/>
      </c>
    </row>
    <row r="112">
      <c r="B112" s="8" t="inlineStr">
        <is>
          <t>Primary Warning Code (diagnostic)</t>
        </is>
      </c>
      <c r="C112" s="16">
        <f>AA107</f>
        <v/>
      </c>
      <c r="D112" s="30" t="inlineStr">
        <is>
          <t>NONE</t>
        </is>
      </c>
      <c r="F112" s="15">
        <f>IF(AA107=D112,"PASS","FAIL")</f>
        <v/>
      </c>
    </row>
    <row r="113">
      <c r="B113" s="8" t="inlineStr">
        <is>
          <t>Self-Check: |Q_BEP × CMu − FC| ≤ tol</t>
        </is>
      </c>
      <c r="C113" s="36">
        <f>IF(NOT(ISNUMBER(W107)),"SKIP",IF(ABS(W107*U107-V107)&lt;=0.01,"PASS","FAIL"))</f>
        <v/>
      </c>
      <c r="D113" s="34" t="n"/>
      <c r="F113" s="15">
        <f>IF(C113="FAIL","FAIL","PASS")</f>
        <v/>
      </c>
    </row>
    <row r="115" ht="20" customHeight="1">
      <c r="B115" s="2" t="inlineStr">
        <is>
          <t>TC12. v UNKNOWN, required</t>
        </is>
      </c>
      <c r="C115" s="7" t="n"/>
      <c r="D115" s="7" t="n"/>
      <c r="E115" s="7" t="n"/>
      <c r="F115" s="7" t="n"/>
    </row>
    <row r="116">
      <c r="B116" s="4" t="inlineStr">
        <is>
          <t>Metric</t>
        </is>
      </c>
      <c r="C116" s="4" t="inlineStr">
        <is>
          <t>Excel Result</t>
        </is>
      </c>
      <c r="D116" s="4" t="inlineStr">
        <is>
          <t>Python Reference</t>
        </is>
      </c>
      <c r="E116" s="4" t="inlineStr">
        <is>
          <t>Difference</t>
        </is>
      </c>
      <c r="F116" s="4" t="inlineStr">
        <is>
          <t>PASS / FAIL</t>
        </is>
      </c>
    </row>
    <row r="117">
      <c r="B117" s="8" t="inlineStr">
        <is>
          <t>Contribution Margin per Unit (CMu)</t>
        </is>
      </c>
      <c r="C117" s="25">
        <f>U117</f>
        <v/>
      </c>
      <c r="D117" s="30" t="inlineStr">
        <is>
          <t>UNKNOWN</t>
        </is>
      </c>
      <c r="E117" s="26">
        <f>IF(ISNUMBER(D117),IF(ISNUMBER(U117),ABS(U117-D117),"N/A"),"N/A")</f>
        <v/>
      </c>
      <c r="F117" s="15">
        <f>IFERROR(IF(ISNUMBER(D117),IF(ISNUMBER(U117),IF(ABS(U117-D117)&lt;=0.01,"PASS","FAIL"),"FAIL"),IF(NOT(ISNUMBER(U117)),IF(U117=D117,"PASS","FAIL"),"FAIL")),"FAIL")</f>
        <v/>
      </c>
      <c r="I117" t="n">
        <v>1100</v>
      </c>
      <c r="J117" t="b">
        <v>1</v>
      </c>
      <c r="L117" t="n">
        <v>400</v>
      </c>
      <c r="M117" t="n">
        <v>100</v>
      </c>
      <c r="N117" t="n">
        <v>0</v>
      </c>
      <c r="O117" t="n">
        <v>0</v>
      </c>
      <c r="P117" t="n">
        <v>50000</v>
      </c>
      <c r="Q117" t="inlineStr">
        <is>
          <t>per_month</t>
        </is>
      </c>
      <c r="R117" t="inlineStr">
        <is>
          <t>component</t>
        </is>
      </c>
      <c r="S117" t="inlineStr">
        <is>
          <t>consistent</t>
        </is>
      </c>
      <c r="T117" t="n">
        <v>1</v>
      </c>
      <c r="U117">
        <f>IF($T$117&gt;1,"ERROR",IFERROR(IF(Y117="ERROR","ERROR",IF(OR(NOT(ISNUMBER(Y117)),ISBLANK($L$117),ISBLANK($M$117),ISBLANK($N$117),ISBLANK($O$117)),"UNKNOWN",IF($O$117&gt;0,IF(Z117="ERROR","ERROR",IF(NOT(ISNUMBER(Z117)),"UNKNOWN",Y117-$L$117-$M$117-$N$117*Y117-$O$117*Z117)),Y117-$L$117-$M$117-$N$117*Y117))),"ERROR"))</f>
        <v/>
      </c>
      <c r="V117">
        <f>IF($T$117&gt;1,"ERROR",IFERROR(IF($R$117="invalid_direct","ERROR",IF($S$117="inconsistent","ERROR",IF($R$117="none",0,IF(OR($R$117="unresolved",$R$117="blended_only"),"UNKNOWN",IF(ISBLANK($P$117),"UNKNOWN",IF($P$117&lt;0,"ERROR",$P$117)))))),"ERROR"))</f>
        <v/>
      </c>
      <c r="W117">
        <f>IF($T$117&gt;1,"ERROR",IFERROR(IF(OR(U117="ERROR",V117="ERROR"),"ERROR",IF(OR(NOT(ISNUMBER(U117)),NOT(ISNUMBER(V117))),"UNKNOWN",IF(U117&lt;=0,"NOT_APPLICABLE",V117/U117))),"ERROR"))</f>
        <v/>
      </c>
      <c r="X117">
        <f>IF($T$117&gt;1,"",IF(OR($R$117="invalid_direct",$S$117="inconsistent"),"",IF($R$117="none","",IF(OR($R$117="unresolved",$R$117="blended_only"),"",IF(ISBLANK($P$117),"",IF($P$117&lt;0,"",$Q$117))))))</f>
        <v/>
      </c>
      <c r="Y117">
        <f>IFERROR(IF(ISBLANK($I$117),"UNKNOWN",IF(ISBLANK($J$117),"UNKNOWN",IF($J$117=FALSE,$I$117,IF(ISBLANK($K$117),"UNKNOWN",$I$117/(1+$K$117))))),"ERROR")</f>
        <v/>
      </c>
      <c r="Z117">
        <f>IFERROR(IF(ISBLANK($I$117),"UNKNOWN",IF(ISBLANK($J$117),"UNKNOWN",IF($J$117=TRUE,$I$117,IF(ISBLANK($K$117),"UNKNOWN",$I$117*(1+$K$117))))),"ERROR")</f>
        <v/>
      </c>
      <c r="AA117">
        <f>IF($T$117&gt;1,"MULTI_COMPONENT_BEP_NOT_SUPPORTED",IF($R$117="invalid_direct","INVALID_ALLOCATION_CONFIGURATION",IF($S$117="inconsistent","INCONSISTENT_FIXED_COST_BASIS",IF(AND($R$117="component",NOT(ISBLANK($P$117)),$P$117&lt;0),"INVALID_NEGATIVE_COST",IF(U117="ERROR","CALCULATION_ERROR",IF($R$117="blended_only","FIXED_COST_BLENDED_ONLY_NOT_ALLOCATED",IF($R$117="unresolved","UNSUPPORTED_SHARED_COST_ALLOCATION",IF(NOT(ISNUMBER(U117)),"MISSING_DEPENDENCY",IF(AND($R$117="component",ISBLANK($P$117)),"MISSING_DEPENDENCY",IF(AND(U117=0,V117=0),"BREAK_EVEN_UNDEFINED_ZERO_MARGIN_ZERO_FIXED_COST",IF(U117=0,"BREAK_EVEN_UNDEFINED_ZERO_MARGIN",IF(U117&lt;0,"BREAK_EVEN_UNDEFINED_NEGATIVE_MARGIN","NONE"))))))))))))</f>
        <v/>
      </c>
    </row>
    <row r="118">
      <c r="B118" s="8" t="inlineStr">
        <is>
          <t>Fixed Operating Cost (FC)</t>
        </is>
      </c>
      <c r="C118" s="25">
        <f>V117</f>
        <v/>
      </c>
      <c r="D118" s="21" t="n">
        <v>50000</v>
      </c>
      <c r="E118" s="26">
        <f>IF(ISNUMBER(D118),IF(ISNUMBER(V117),ABS(V117-D118),"N/A"),"N/A")</f>
        <v/>
      </c>
      <c r="F118" s="15">
        <f>IFERROR(IF(ISNUMBER(D118),IF(ISNUMBER(V117),IF(ABS(V117-D118)&lt;=0.01,"PASS","FAIL"),"FAIL"),IF(NOT(ISNUMBER(V117)),IF(V117=D118,"PASS","FAIL"),"FAIL")),"FAIL")</f>
        <v/>
      </c>
    </row>
    <row r="119">
      <c r="B119" s="8" t="inlineStr">
        <is>
          <t>Break-Even Quantity (Q_BEP)</t>
        </is>
      </c>
      <c r="C119" s="25">
        <f>W117</f>
        <v/>
      </c>
      <c r="D119" s="30" t="inlineStr">
        <is>
          <t>UNKNOWN</t>
        </is>
      </c>
      <c r="E119" s="26">
        <f>IF(ISNUMBER(D119),IF(ISNUMBER(W117),ABS(W117-D119),"N/A"),"N/A")</f>
        <v/>
      </c>
      <c r="F119" s="15">
        <f>IFERROR(IF(ISNUMBER(D119),IF(ISNUMBER(W117),IF(ABS(W117-D119)&lt;=0.01,"PASS","FAIL"),"FAIL"),IF(NOT(ISNUMBER(W117)),IF(W117=D119,"PASS","FAIL"),"FAIL")),"FAIL")</f>
        <v/>
      </c>
    </row>
    <row r="120">
      <c r="B120" s="8" t="inlineStr">
        <is>
          <t>Analysis Period Basis</t>
        </is>
      </c>
      <c r="C120" s="16">
        <f>X117</f>
        <v/>
      </c>
      <c r="D120" s="30" t="inlineStr">
        <is>
          <t>per_month</t>
        </is>
      </c>
      <c r="E120" s="26">
        <f>IF(ISNUMBER(D120),IF(ISNUMBER(X117),ABS(X117-D120),"N/A"),"N/A")</f>
        <v/>
      </c>
      <c r="F120" s="15">
        <f>IFERROR(IF(ISNUMBER(D120),IF(ISNUMBER(X117),IF(ABS(X117-D120)&lt;=0.01,"PASS","FAIL"),"FAIL"),IF(NOT(ISNUMBER(X117)),IF(X117=D120,"PASS","FAIL"),"FAIL")),"FAIL")</f>
        <v/>
      </c>
    </row>
    <row r="121">
      <c r="B121" s="8" t="inlineStr">
        <is>
          <t>Module Status Tier</t>
        </is>
      </c>
      <c r="C121" s="16">
        <f>IF(OR(U117="ERROR",V117="ERROR",W117="ERROR"),"ERROR",IF(OR(U117="UNKNOWN",V117="UNKNOWN",W117="UNKNOWN"),"INCOMPLETE","OK"))</f>
        <v/>
      </c>
      <c r="D121" s="30" t="inlineStr">
        <is>
          <t>INCOMPLETE</t>
        </is>
      </c>
      <c r="F121" s="15">
        <f>IF(C121=D121,"PASS","FAIL")</f>
        <v/>
      </c>
    </row>
    <row r="122">
      <c r="B122" s="8" t="inlineStr">
        <is>
          <t>Primary Warning Code (diagnostic)</t>
        </is>
      </c>
      <c r="C122" s="16">
        <f>AA117</f>
        <v/>
      </c>
      <c r="D122" s="30" t="inlineStr">
        <is>
          <t>MISSING_DEPENDENCY</t>
        </is>
      </c>
      <c r="F122" s="15">
        <f>IF(AA117=D122,"PASS","FAIL")</f>
        <v/>
      </c>
    </row>
    <row r="123">
      <c r="B123" s="8" t="inlineStr">
        <is>
          <t>Self-Check: |Q_BEP × CMu − FC| ≤ tol</t>
        </is>
      </c>
      <c r="C123" s="36">
        <f>IF(NOT(ISNUMBER(W117)),"SKIP",IF(ABS(W117*U117-V117)&lt;=0.01,"PASS","FAIL"))</f>
        <v/>
      </c>
      <c r="D123" s="34" t="n"/>
      <c r="F123" s="15">
        <f>IF(C123="FAIL","FAIL","PASS")</f>
        <v/>
      </c>
    </row>
    <row r="125" ht="20" customHeight="1">
      <c r="B125" s="2" t="inlineStr">
        <is>
          <t>TC13. Unsupported currency on FC item (REFERENCE ONLY)</t>
        </is>
      </c>
      <c r="C125" s="7" t="n"/>
      <c r="D125" s="7" t="n"/>
      <c r="E125" s="7" t="n"/>
      <c r="F125" s="7" t="n"/>
    </row>
    <row r="126" ht="30" customHeight="1">
      <c r="B126" s="24" t="inlineStr">
        <is>
          <t>08_BEP_SIMULATOR에는 fixed_operating_cost 항목별 통화(currency) 입력이 없음(MODE A/B/C Excel Simulator와 동일한 단순화) — 이 케이스는 live Excel 수식으로 표현 불가능하여 Python 참조값만 기록합니다(00_GUIDE의 Hybrid HW+SaaS 참고용 블록과 동일 패턴).</t>
        </is>
      </c>
    </row>
    <row r="127">
      <c r="B127" s="8" t="inlineStr">
        <is>
          <t>Contribution Margin per Unit (CMu)</t>
        </is>
      </c>
      <c r="C127" s="21" t="n">
        <v>500</v>
      </c>
    </row>
    <row r="128">
      <c r="B128" s="8" t="inlineStr">
        <is>
          <t>Fixed Operating Cost (FC)</t>
        </is>
      </c>
      <c r="C128" s="30" t="inlineStr">
        <is>
          <t>ERROR</t>
        </is>
      </c>
    </row>
    <row r="129">
      <c r="B129" s="8" t="inlineStr">
        <is>
          <t>Break-Even Quantity (Q_BEP)</t>
        </is>
      </c>
      <c r="C129" s="30" t="inlineStr">
        <is>
          <t>ERROR</t>
        </is>
      </c>
    </row>
    <row r="130">
      <c r="B130" s="8" t="inlineStr">
        <is>
          <t>Analysis Period Basis</t>
        </is>
      </c>
      <c r="C130" s="30" t="inlineStr"/>
    </row>
    <row r="131">
      <c r="B131" s="8" t="inlineStr">
        <is>
          <t>Module Status Tier (reference)</t>
        </is>
      </c>
      <c r="C131" s="38" t="inlineStr">
        <is>
          <t>ERROR</t>
        </is>
      </c>
    </row>
    <row r="132">
      <c r="B132" s="8" t="inlineStr">
        <is>
          <t>Primary Warning Code (reference)</t>
        </is>
      </c>
      <c r="C132" s="38" t="inlineStr">
        <is>
          <t>UNSUPPORTED_CURRENCY</t>
        </is>
      </c>
    </row>
    <row r="134" ht="20" customHeight="1">
      <c r="B134" s="2" t="inlineStr">
        <is>
          <t>TC14. Shared fixed cost, unresolved</t>
        </is>
      </c>
      <c r="C134" s="7" t="n"/>
      <c r="D134" s="7" t="n"/>
      <c r="E134" s="7" t="n"/>
      <c r="F134" s="7" t="n"/>
    </row>
    <row r="135">
      <c r="B135" s="4" t="inlineStr">
        <is>
          <t>Metric</t>
        </is>
      </c>
      <c r="C135" s="4" t="inlineStr">
        <is>
          <t>Excel Result</t>
        </is>
      </c>
      <c r="D135" s="4" t="inlineStr">
        <is>
          <t>Python Reference</t>
        </is>
      </c>
      <c r="E135" s="4" t="inlineStr">
        <is>
          <t>Difference</t>
        </is>
      </c>
      <c r="F135" s="4" t="inlineStr">
        <is>
          <t>PASS / FAIL</t>
        </is>
      </c>
    </row>
    <row r="136">
      <c r="B136" s="8" t="inlineStr">
        <is>
          <t>Contribution Margin per Unit (CMu)</t>
        </is>
      </c>
      <c r="C136" s="25">
        <f>U136</f>
        <v/>
      </c>
      <c r="D136" s="21" t="n">
        <v>500</v>
      </c>
      <c r="E136" s="26">
        <f>IF(ISNUMBER(D136),IF(ISNUMBER(U136),ABS(U136-D136),"N/A"),"N/A")</f>
        <v/>
      </c>
      <c r="F136" s="15">
        <f>IFERROR(IF(ISNUMBER(D136),IF(ISNUMBER(U136),IF(ABS(U136-D136)&lt;=0.01,"PASS","FAIL"),"FAIL"),IF(NOT(ISNUMBER(U136)),IF(U136=D136,"PASS","FAIL"),"FAIL")),"FAIL")</f>
        <v/>
      </c>
      <c r="I136" t="n">
        <v>1000</v>
      </c>
      <c r="J136" t="b">
        <v>0</v>
      </c>
      <c r="L136" t="n">
        <v>400</v>
      </c>
      <c r="M136" t="n">
        <v>100</v>
      </c>
      <c r="N136" t="n">
        <v>0</v>
      </c>
      <c r="O136" t="n">
        <v>0</v>
      </c>
      <c r="Q136" t="inlineStr">
        <is>
          <t>per_month</t>
        </is>
      </c>
      <c r="R136" t="inlineStr">
        <is>
          <t>unresolved</t>
        </is>
      </c>
      <c r="S136" t="inlineStr">
        <is>
          <t>consistent</t>
        </is>
      </c>
      <c r="T136" t="n">
        <v>1</v>
      </c>
      <c r="U136">
        <f>IF($T$136&gt;1,"ERROR",IFERROR(IF(Y136="ERROR","ERROR",IF(OR(NOT(ISNUMBER(Y136)),ISBLANK($L$136),ISBLANK($M$136),ISBLANK($N$136),ISBLANK($O$136)),"UNKNOWN",IF($O$136&gt;0,IF(Z136="ERROR","ERROR",IF(NOT(ISNUMBER(Z136)),"UNKNOWN",Y136-$L$136-$M$136-$N$136*Y136-$O$136*Z136)),Y136-$L$136-$M$136-$N$136*Y136))),"ERROR"))</f>
        <v/>
      </c>
      <c r="V136">
        <f>IF($T$136&gt;1,"ERROR",IFERROR(IF($R$136="invalid_direct","ERROR",IF($S$136="inconsistent","ERROR",IF($R$136="none",0,IF(OR($R$136="unresolved",$R$136="blended_only"),"UNKNOWN",IF(ISBLANK($P$136),"UNKNOWN",IF($P$136&lt;0,"ERROR",$P$136)))))),"ERROR"))</f>
        <v/>
      </c>
      <c r="W136">
        <f>IF($T$136&gt;1,"ERROR",IFERROR(IF(OR(U136="ERROR",V136="ERROR"),"ERROR",IF(OR(NOT(ISNUMBER(U136)),NOT(ISNUMBER(V136))),"UNKNOWN",IF(U136&lt;=0,"NOT_APPLICABLE",V136/U136))),"ERROR"))</f>
        <v/>
      </c>
      <c r="X136">
        <f>IF($T$136&gt;1,"",IF(OR($R$136="invalid_direct",$S$136="inconsistent"),"",IF($R$136="none","",IF(OR($R$136="unresolved",$R$136="blended_only"),"",IF(ISBLANK($P$136),"",IF($P$136&lt;0,"",$Q$136))))))</f>
        <v/>
      </c>
      <c r="Y136">
        <f>IFERROR(IF(ISBLANK($I$136),"UNKNOWN",IF(ISBLANK($J$136),"UNKNOWN",IF($J$136=FALSE,$I$136,IF(ISBLANK($K$136),"UNKNOWN",$I$136/(1+$K$136))))),"ERROR")</f>
        <v/>
      </c>
      <c r="Z136">
        <f>IFERROR(IF(ISBLANK($I$136),"UNKNOWN",IF(ISBLANK($J$136),"UNKNOWN",IF($J$136=TRUE,$I$136,IF(ISBLANK($K$136),"UNKNOWN",$I$136*(1+$K$136))))),"ERROR")</f>
        <v/>
      </c>
      <c r="AA136">
        <f>IF($T$136&gt;1,"MULTI_COMPONENT_BEP_NOT_SUPPORTED",IF($R$136="invalid_direct","INVALID_ALLOCATION_CONFIGURATION",IF($S$136="inconsistent","INCONSISTENT_FIXED_COST_BASIS",IF(AND($R$136="component",NOT(ISBLANK($P$136)),$P$136&lt;0),"INVALID_NEGATIVE_COST",IF(U136="ERROR","CALCULATION_ERROR",IF($R$136="blended_only","FIXED_COST_BLENDED_ONLY_NOT_ALLOCATED",IF($R$136="unresolved","UNSUPPORTED_SHARED_COST_ALLOCATION",IF(NOT(ISNUMBER(U136)),"MISSING_DEPENDENCY",IF(AND($R$136="component",ISBLANK($P$136)),"MISSING_DEPENDENCY",IF(AND(U136=0,V136=0),"BREAK_EVEN_UNDEFINED_ZERO_MARGIN_ZERO_FIXED_COST",IF(U136=0,"BREAK_EVEN_UNDEFINED_ZERO_MARGIN",IF(U136&lt;0,"BREAK_EVEN_UNDEFINED_NEGATIVE_MARGIN","NONE"))))))))))))</f>
        <v/>
      </c>
    </row>
    <row r="137">
      <c r="B137" s="8" t="inlineStr">
        <is>
          <t>Fixed Operating Cost (FC)</t>
        </is>
      </c>
      <c r="C137" s="25">
        <f>V136</f>
        <v/>
      </c>
      <c r="D137" s="30" t="inlineStr">
        <is>
          <t>UNKNOWN</t>
        </is>
      </c>
      <c r="E137" s="26">
        <f>IF(ISNUMBER(D137),IF(ISNUMBER(V136),ABS(V136-D137),"N/A"),"N/A")</f>
        <v/>
      </c>
      <c r="F137" s="15">
        <f>IFERROR(IF(ISNUMBER(D137),IF(ISNUMBER(V136),IF(ABS(V136-D137)&lt;=0.01,"PASS","FAIL"),"FAIL"),IF(NOT(ISNUMBER(V136)),IF(V136=D137,"PASS","FAIL"),"FAIL")),"FAIL")</f>
        <v/>
      </c>
    </row>
    <row r="138">
      <c r="B138" s="8" t="inlineStr">
        <is>
          <t>Break-Even Quantity (Q_BEP)</t>
        </is>
      </c>
      <c r="C138" s="25">
        <f>W136</f>
        <v/>
      </c>
      <c r="D138" s="30" t="inlineStr">
        <is>
          <t>UNKNOWN</t>
        </is>
      </c>
      <c r="E138" s="26">
        <f>IF(ISNUMBER(D138),IF(ISNUMBER(W136),ABS(W136-D138),"N/A"),"N/A")</f>
        <v/>
      </c>
      <c r="F138" s="15">
        <f>IFERROR(IF(ISNUMBER(D138),IF(ISNUMBER(W136),IF(ABS(W136-D138)&lt;=0.01,"PASS","FAIL"),"FAIL"),IF(NOT(ISNUMBER(W136)),IF(W136=D138,"PASS","FAIL"),"FAIL")),"FAIL")</f>
        <v/>
      </c>
    </row>
    <row r="139">
      <c r="B139" s="8" t="inlineStr">
        <is>
          <t>Analysis Period Basis</t>
        </is>
      </c>
      <c r="C139" s="16">
        <f>X136</f>
        <v/>
      </c>
      <c r="D139" s="30" t="inlineStr"/>
      <c r="E139" s="26">
        <f>IF(ISNUMBER(D139),IF(ISNUMBER(X136),ABS(X136-D139),"N/A"),"N/A")</f>
        <v/>
      </c>
      <c r="F139" s="15">
        <f>IFERROR(IF(ISNUMBER(D139),IF(ISNUMBER(X136),IF(ABS(X136-D139)&lt;=0.01,"PASS","FAIL"),"FAIL"),IF(NOT(ISNUMBER(X136)),IF(X136=D139,"PASS","FAIL"),"FAIL")),"FAIL")</f>
        <v/>
      </c>
    </row>
    <row r="140">
      <c r="B140" s="8" t="inlineStr">
        <is>
          <t>Module Status Tier</t>
        </is>
      </c>
      <c r="C140" s="16">
        <f>IF(OR(U136="ERROR",V136="ERROR",W136="ERROR"),"ERROR",IF(OR(U136="UNKNOWN",V136="UNKNOWN",W136="UNKNOWN"),"INCOMPLETE","OK"))</f>
        <v/>
      </c>
      <c r="D140" s="30" t="inlineStr">
        <is>
          <t>INCOMPLETE</t>
        </is>
      </c>
      <c r="F140" s="15">
        <f>IF(C140=D140,"PASS","FAIL")</f>
        <v/>
      </c>
    </row>
    <row r="141">
      <c r="B141" s="8" t="inlineStr">
        <is>
          <t>Primary Warning Code (diagnostic)</t>
        </is>
      </c>
      <c r="C141" s="16">
        <f>AA136</f>
        <v/>
      </c>
      <c r="D141" s="30" t="inlineStr">
        <is>
          <t>UNSUPPORTED_SHARED_COST_ALLOCATION</t>
        </is>
      </c>
      <c r="F141" s="15">
        <f>IF(AA136=D141,"PASS","FAIL")</f>
        <v/>
      </c>
    </row>
    <row r="142">
      <c r="B142" s="8" t="inlineStr">
        <is>
          <t>Self-Check: |Q_BEP × CMu − FC| ≤ tol</t>
        </is>
      </c>
      <c r="C142" s="36">
        <f>IF(NOT(ISNUMBER(W136)),"SKIP",IF(ABS(W136*U136-V136)&lt;=0.01,"PASS","FAIL"))</f>
        <v/>
      </c>
      <c r="D142" s="34" t="n"/>
      <c r="F142" s="15">
        <f>IF(C142="FAIL","FAIL","PASS")</f>
        <v/>
      </c>
    </row>
    <row r="144" ht="20" customHeight="1">
      <c r="B144" s="2" t="inlineStr">
        <is>
          <t>TC15. Shared + direct invalid configuration</t>
        </is>
      </c>
      <c r="C144" s="7" t="n"/>
      <c r="D144" s="7" t="n"/>
      <c r="E144" s="7" t="n"/>
      <c r="F144" s="7" t="n"/>
    </row>
    <row r="145">
      <c r="B145" s="4" t="inlineStr">
        <is>
          <t>Metric</t>
        </is>
      </c>
      <c r="C145" s="4" t="inlineStr">
        <is>
          <t>Excel Result</t>
        </is>
      </c>
      <c r="D145" s="4" t="inlineStr">
        <is>
          <t>Python Reference</t>
        </is>
      </c>
      <c r="E145" s="4" t="inlineStr">
        <is>
          <t>Difference</t>
        </is>
      </c>
      <c r="F145" s="4" t="inlineStr">
        <is>
          <t>PASS / FAIL</t>
        </is>
      </c>
    </row>
    <row r="146">
      <c r="B146" s="8" t="inlineStr">
        <is>
          <t>Contribution Margin per Unit (CMu)</t>
        </is>
      </c>
      <c r="C146" s="25">
        <f>U146</f>
        <v/>
      </c>
      <c r="D146" s="21" t="n">
        <v>500</v>
      </c>
      <c r="E146" s="26">
        <f>IF(ISNUMBER(D146),IF(ISNUMBER(U146),ABS(U146-D146),"N/A"),"N/A")</f>
        <v/>
      </c>
      <c r="F146" s="15">
        <f>IFERROR(IF(ISNUMBER(D146),IF(ISNUMBER(U146),IF(ABS(U146-D146)&lt;=0.01,"PASS","FAIL"),"FAIL"),IF(NOT(ISNUMBER(U146)),IF(U146=D146,"PASS","FAIL"),"FAIL")),"FAIL")</f>
        <v/>
      </c>
      <c r="I146" t="n">
        <v>1000</v>
      </c>
      <c r="J146" t="b">
        <v>0</v>
      </c>
      <c r="L146" t="n">
        <v>400</v>
      </c>
      <c r="M146" t="n">
        <v>100</v>
      </c>
      <c r="N146" t="n">
        <v>0</v>
      </c>
      <c r="O146" t="n">
        <v>0</v>
      </c>
      <c r="Q146" t="inlineStr">
        <is>
          <t>per_month</t>
        </is>
      </c>
      <c r="R146" t="inlineStr">
        <is>
          <t>invalid_direct</t>
        </is>
      </c>
      <c r="S146" t="inlineStr">
        <is>
          <t>consistent</t>
        </is>
      </c>
      <c r="T146" t="n">
        <v>1</v>
      </c>
      <c r="U146">
        <f>IF($T$146&gt;1,"ERROR",IFERROR(IF(Y146="ERROR","ERROR",IF(OR(NOT(ISNUMBER(Y146)),ISBLANK($L$146),ISBLANK($M$146),ISBLANK($N$146),ISBLANK($O$146)),"UNKNOWN",IF($O$146&gt;0,IF(Z146="ERROR","ERROR",IF(NOT(ISNUMBER(Z146)),"UNKNOWN",Y146-$L$146-$M$146-$N$146*Y146-$O$146*Z146)),Y146-$L$146-$M$146-$N$146*Y146))),"ERROR"))</f>
        <v/>
      </c>
      <c r="V146">
        <f>IF($T$146&gt;1,"ERROR",IFERROR(IF($R$146="invalid_direct","ERROR",IF($S$146="inconsistent","ERROR",IF($R$146="none",0,IF(OR($R$146="unresolved",$R$146="blended_only"),"UNKNOWN",IF(ISBLANK($P$146),"UNKNOWN",IF($P$146&lt;0,"ERROR",$P$146)))))),"ERROR"))</f>
        <v/>
      </c>
      <c r="W146">
        <f>IF($T$146&gt;1,"ERROR",IFERROR(IF(OR(U146="ERROR",V146="ERROR"),"ERROR",IF(OR(NOT(ISNUMBER(U146)),NOT(ISNUMBER(V146))),"UNKNOWN",IF(U146&lt;=0,"NOT_APPLICABLE",V146/U146))),"ERROR"))</f>
        <v/>
      </c>
      <c r="X146">
        <f>IF($T$146&gt;1,"",IF(OR($R$146="invalid_direct",$S$146="inconsistent"),"",IF($R$146="none","",IF(OR($R$146="unresolved",$R$146="blended_only"),"",IF(ISBLANK($P$146),"",IF($P$146&lt;0,"",$Q$146))))))</f>
        <v/>
      </c>
      <c r="Y146">
        <f>IFERROR(IF(ISBLANK($I$146),"UNKNOWN",IF(ISBLANK($J$146),"UNKNOWN",IF($J$146=FALSE,$I$146,IF(ISBLANK($K$146),"UNKNOWN",$I$146/(1+$K$146))))),"ERROR")</f>
        <v/>
      </c>
      <c r="Z146">
        <f>IFERROR(IF(ISBLANK($I$146),"UNKNOWN",IF(ISBLANK($J$146),"UNKNOWN",IF($J$146=TRUE,$I$146,IF(ISBLANK($K$146),"UNKNOWN",$I$146*(1+$K$146))))),"ERROR")</f>
        <v/>
      </c>
      <c r="AA146">
        <f>IF($T$146&gt;1,"MULTI_COMPONENT_BEP_NOT_SUPPORTED",IF($R$146="invalid_direct","INVALID_ALLOCATION_CONFIGURATION",IF($S$146="inconsistent","INCONSISTENT_FIXED_COST_BASIS",IF(AND($R$146="component",NOT(ISBLANK($P$146)),$P$146&lt;0),"INVALID_NEGATIVE_COST",IF(U146="ERROR","CALCULATION_ERROR",IF($R$146="blended_only","FIXED_COST_BLENDED_ONLY_NOT_ALLOCATED",IF($R$146="unresolved","UNSUPPORTED_SHARED_COST_ALLOCATION",IF(NOT(ISNUMBER(U146)),"MISSING_DEPENDENCY",IF(AND($R$146="component",ISBLANK($P$146)),"MISSING_DEPENDENCY",IF(AND(U146=0,V146=0),"BREAK_EVEN_UNDEFINED_ZERO_MARGIN_ZERO_FIXED_COST",IF(U146=0,"BREAK_EVEN_UNDEFINED_ZERO_MARGIN",IF(U146&lt;0,"BREAK_EVEN_UNDEFINED_NEGATIVE_MARGIN","NONE"))))))))))))</f>
        <v/>
      </c>
    </row>
    <row r="147">
      <c r="B147" s="8" t="inlineStr">
        <is>
          <t>Fixed Operating Cost (FC)</t>
        </is>
      </c>
      <c r="C147" s="25">
        <f>V146</f>
        <v/>
      </c>
      <c r="D147" s="30" t="inlineStr">
        <is>
          <t>ERROR</t>
        </is>
      </c>
      <c r="E147" s="26">
        <f>IF(ISNUMBER(D147),IF(ISNUMBER(V146),ABS(V146-D147),"N/A"),"N/A")</f>
        <v/>
      </c>
      <c r="F147" s="15">
        <f>IFERROR(IF(ISNUMBER(D147),IF(ISNUMBER(V146),IF(ABS(V146-D147)&lt;=0.01,"PASS","FAIL"),"FAIL"),IF(NOT(ISNUMBER(V146)),IF(V146=D147,"PASS","FAIL"),"FAIL")),"FAIL")</f>
        <v/>
      </c>
    </row>
    <row r="148">
      <c r="B148" s="8" t="inlineStr">
        <is>
          <t>Break-Even Quantity (Q_BEP)</t>
        </is>
      </c>
      <c r="C148" s="25">
        <f>W146</f>
        <v/>
      </c>
      <c r="D148" s="30" t="inlineStr">
        <is>
          <t>ERROR</t>
        </is>
      </c>
      <c r="E148" s="26">
        <f>IF(ISNUMBER(D148),IF(ISNUMBER(W146),ABS(W146-D148),"N/A"),"N/A")</f>
        <v/>
      </c>
      <c r="F148" s="15">
        <f>IFERROR(IF(ISNUMBER(D148),IF(ISNUMBER(W146),IF(ABS(W146-D148)&lt;=0.01,"PASS","FAIL"),"FAIL"),IF(NOT(ISNUMBER(W146)),IF(W146=D148,"PASS","FAIL"),"FAIL")),"FAIL")</f>
        <v/>
      </c>
    </row>
    <row r="149">
      <c r="B149" s="8" t="inlineStr">
        <is>
          <t>Analysis Period Basis</t>
        </is>
      </c>
      <c r="C149" s="16">
        <f>X146</f>
        <v/>
      </c>
      <c r="D149" s="30" t="inlineStr"/>
      <c r="E149" s="26">
        <f>IF(ISNUMBER(D149),IF(ISNUMBER(X146),ABS(X146-D149),"N/A"),"N/A")</f>
        <v/>
      </c>
      <c r="F149" s="15">
        <f>IFERROR(IF(ISNUMBER(D149),IF(ISNUMBER(X146),IF(ABS(X146-D149)&lt;=0.01,"PASS","FAIL"),"FAIL"),IF(NOT(ISNUMBER(X146)),IF(X146=D149,"PASS","FAIL"),"FAIL")),"FAIL")</f>
        <v/>
      </c>
    </row>
    <row r="150">
      <c r="B150" s="8" t="inlineStr">
        <is>
          <t>Module Status Tier</t>
        </is>
      </c>
      <c r="C150" s="16">
        <f>IF(OR(U146="ERROR",V146="ERROR",W146="ERROR"),"ERROR",IF(OR(U146="UNKNOWN",V146="UNKNOWN",W146="UNKNOWN"),"INCOMPLETE","OK"))</f>
        <v/>
      </c>
      <c r="D150" s="30" t="inlineStr">
        <is>
          <t>ERROR</t>
        </is>
      </c>
      <c r="F150" s="15">
        <f>IF(C150=D150,"PASS","FAIL")</f>
        <v/>
      </c>
    </row>
    <row r="151">
      <c r="B151" s="8" t="inlineStr">
        <is>
          <t>Primary Warning Code (diagnostic)</t>
        </is>
      </c>
      <c r="C151" s="16">
        <f>AA146</f>
        <v/>
      </c>
      <c r="D151" s="30" t="inlineStr">
        <is>
          <t>INVALID_ALLOCATION_CONFIGURATION</t>
        </is>
      </c>
      <c r="F151" s="15">
        <f>IF(AA146=D151,"PASS","FAIL")</f>
        <v/>
      </c>
    </row>
    <row r="152">
      <c r="B152" s="8" t="inlineStr">
        <is>
          <t>Self-Check: |Q_BEP × CMu − FC| ≤ tol</t>
        </is>
      </c>
      <c r="C152" s="36">
        <f>IF(NOT(ISNUMBER(W146)),"SKIP",IF(ABS(W146*U146-V146)&lt;=0.01,"PASS","FAIL"))</f>
        <v/>
      </c>
      <c r="D152" s="34" t="n"/>
      <c r="F152" s="15">
        <f>IF(C152="FAIL","FAIL","PASS")</f>
        <v/>
      </c>
    </row>
    <row r="154" ht="20" customHeight="1">
      <c r="B154" s="2" t="inlineStr">
        <is>
          <t>TC16. Explicit zero rate</t>
        </is>
      </c>
      <c r="C154" s="7" t="n"/>
      <c r="D154" s="7" t="n"/>
      <c r="E154" s="7" t="n"/>
      <c r="F154" s="7" t="n"/>
    </row>
    <row r="155">
      <c r="B155" s="4" t="inlineStr">
        <is>
          <t>Metric</t>
        </is>
      </c>
      <c r="C155" s="4" t="inlineStr">
        <is>
          <t>Excel Result</t>
        </is>
      </c>
      <c r="D155" s="4" t="inlineStr">
        <is>
          <t>Python Reference</t>
        </is>
      </c>
      <c r="E155" s="4" t="inlineStr">
        <is>
          <t>Difference</t>
        </is>
      </c>
      <c r="F155" s="4" t="inlineStr">
        <is>
          <t>PASS / FAIL</t>
        </is>
      </c>
    </row>
    <row r="156">
      <c r="B156" s="8" t="inlineStr">
        <is>
          <t>Contribution Margin per Unit (CMu)</t>
        </is>
      </c>
      <c r="C156" s="25">
        <f>U156</f>
        <v/>
      </c>
      <c r="D156" s="21" t="n">
        <v>545</v>
      </c>
      <c r="E156" s="26">
        <f>IF(ISNUMBER(D156),IF(ISNUMBER(U156),ABS(U156-D156),"N/A"),"N/A")</f>
        <v/>
      </c>
      <c r="F156" s="15">
        <f>IFERROR(IF(ISNUMBER(D156),IF(ISNUMBER(U156),IF(ABS(U156-D156)&lt;=0.01,"PASS","FAIL"),"FAIL"),IF(NOT(ISNUMBER(U156)),IF(U156=D156,"PASS","FAIL"),"FAIL")),"FAIL")</f>
        <v/>
      </c>
      <c r="I156" t="n">
        <v>1000</v>
      </c>
      <c r="J156" t="b">
        <v>0</v>
      </c>
      <c r="K156" t="n">
        <v>0.1</v>
      </c>
      <c r="L156" t="n">
        <v>400</v>
      </c>
      <c r="M156" t="n">
        <v>0</v>
      </c>
      <c r="N156" t="n">
        <v>0</v>
      </c>
      <c r="O156" t="n">
        <v>0.05</v>
      </c>
      <c r="P156" t="n">
        <v>60000</v>
      </c>
      <c r="Q156" t="inlineStr">
        <is>
          <t>per_month</t>
        </is>
      </c>
      <c r="R156" t="inlineStr">
        <is>
          <t>component</t>
        </is>
      </c>
      <c r="S156" t="inlineStr">
        <is>
          <t>consistent</t>
        </is>
      </c>
      <c r="T156" t="n">
        <v>1</v>
      </c>
      <c r="U156">
        <f>IF($T$156&gt;1,"ERROR",IFERROR(IF(Y156="ERROR","ERROR",IF(OR(NOT(ISNUMBER(Y156)),ISBLANK($L$156),ISBLANK($M$156),ISBLANK($N$156),ISBLANK($O$156)),"UNKNOWN",IF($O$156&gt;0,IF(Z156="ERROR","ERROR",IF(NOT(ISNUMBER(Z156)),"UNKNOWN",Y156-$L$156-$M$156-$N$156*Y156-$O$156*Z156)),Y156-$L$156-$M$156-$N$156*Y156))),"ERROR"))</f>
        <v/>
      </c>
      <c r="V156">
        <f>IF($T$156&gt;1,"ERROR",IFERROR(IF($R$156="invalid_direct","ERROR",IF($S$156="inconsistent","ERROR",IF($R$156="none",0,IF(OR($R$156="unresolved",$R$156="blended_only"),"UNKNOWN",IF(ISBLANK($P$156),"UNKNOWN",IF($P$156&lt;0,"ERROR",$P$156)))))),"ERROR"))</f>
        <v/>
      </c>
      <c r="W156">
        <f>IF($T$156&gt;1,"ERROR",IFERROR(IF(OR(U156="ERROR",V156="ERROR"),"ERROR",IF(OR(NOT(ISNUMBER(U156)),NOT(ISNUMBER(V156))),"UNKNOWN",IF(U156&lt;=0,"NOT_APPLICABLE",V156/U156))),"ERROR"))</f>
        <v/>
      </c>
      <c r="X156">
        <f>IF($T$156&gt;1,"",IF(OR($R$156="invalid_direct",$S$156="inconsistent"),"",IF($R$156="none","",IF(OR($R$156="unresolved",$R$156="blended_only"),"",IF(ISBLANK($P$156),"",IF($P$156&lt;0,"",$Q$156))))))</f>
        <v/>
      </c>
      <c r="Y156">
        <f>IFERROR(IF(ISBLANK($I$156),"UNKNOWN",IF(ISBLANK($J$156),"UNKNOWN",IF($J$156=FALSE,$I$156,IF(ISBLANK($K$156),"UNKNOWN",$I$156/(1+$K$156))))),"ERROR")</f>
        <v/>
      </c>
      <c r="Z156">
        <f>IFERROR(IF(ISBLANK($I$156),"UNKNOWN",IF(ISBLANK($J$156),"UNKNOWN",IF($J$156=TRUE,$I$156,IF(ISBLANK($K$156),"UNKNOWN",$I$156*(1+$K$156))))),"ERROR")</f>
        <v/>
      </c>
      <c r="AA156">
        <f>IF($T$156&gt;1,"MULTI_COMPONENT_BEP_NOT_SUPPORTED",IF($R$156="invalid_direct","INVALID_ALLOCATION_CONFIGURATION",IF($S$156="inconsistent","INCONSISTENT_FIXED_COST_BASIS",IF(AND($R$156="component",NOT(ISBLANK($P$156)),$P$156&lt;0),"INVALID_NEGATIVE_COST",IF(U156="ERROR","CALCULATION_ERROR",IF($R$156="blended_only","FIXED_COST_BLENDED_ONLY_NOT_ALLOCATED",IF($R$156="unresolved","UNSUPPORTED_SHARED_COST_ALLOCATION",IF(NOT(ISNUMBER(U156)),"MISSING_DEPENDENCY",IF(AND($R$156="component",ISBLANK($P$156)),"MISSING_DEPENDENCY",IF(AND(U156=0,V156=0),"BREAK_EVEN_UNDEFINED_ZERO_MARGIN_ZERO_FIXED_COST",IF(U156=0,"BREAK_EVEN_UNDEFINED_ZERO_MARGIN",IF(U156&lt;0,"BREAK_EVEN_UNDEFINED_NEGATIVE_MARGIN","NONE"))))))))))))</f>
        <v/>
      </c>
    </row>
    <row r="157">
      <c r="B157" s="8" t="inlineStr">
        <is>
          <t>Fixed Operating Cost (FC)</t>
        </is>
      </c>
      <c r="C157" s="25">
        <f>V156</f>
        <v/>
      </c>
      <c r="D157" s="21" t="n">
        <v>60000</v>
      </c>
      <c r="E157" s="26">
        <f>IF(ISNUMBER(D157),IF(ISNUMBER(V156),ABS(V156-D157),"N/A"),"N/A")</f>
        <v/>
      </c>
      <c r="F157" s="15">
        <f>IFERROR(IF(ISNUMBER(D157),IF(ISNUMBER(V156),IF(ABS(V156-D157)&lt;=0.01,"PASS","FAIL"),"FAIL"),IF(NOT(ISNUMBER(V156)),IF(V156=D157,"PASS","FAIL"),"FAIL")),"FAIL")</f>
        <v/>
      </c>
    </row>
    <row r="158">
      <c r="B158" s="8" t="inlineStr">
        <is>
          <t>Break-Even Quantity (Q_BEP)</t>
        </is>
      </c>
      <c r="C158" s="25">
        <f>W156</f>
        <v/>
      </c>
      <c r="D158" s="21" t="n">
        <v>110.0917431192661</v>
      </c>
      <c r="E158" s="26">
        <f>IF(ISNUMBER(D158),IF(ISNUMBER(W156),ABS(W156-D158),"N/A"),"N/A")</f>
        <v/>
      </c>
      <c r="F158" s="15">
        <f>IFERROR(IF(ISNUMBER(D158),IF(ISNUMBER(W156),IF(ABS(W156-D158)&lt;=0.01,"PASS","FAIL"),"FAIL"),IF(NOT(ISNUMBER(W156)),IF(W156=D158,"PASS","FAIL"),"FAIL")),"FAIL")</f>
        <v/>
      </c>
    </row>
    <row r="159">
      <c r="B159" s="8" t="inlineStr">
        <is>
          <t>Analysis Period Basis</t>
        </is>
      </c>
      <c r="C159" s="16">
        <f>X156</f>
        <v/>
      </c>
      <c r="D159" s="30" t="inlineStr">
        <is>
          <t>per_month</t>
        </is>
      </c>
      <c r="E159" s="26">
        <f>IF(ISNUMBER(D159),IF(ISNUMBER(X156),ABS(X156-D159),"N/A"),"N/A")</f>
        <v/>
      </c>
      <c r="F159" s="15">
        <f>IFERROR(IF(ISNUMBER(D159),IF(ISNUMBER(X156),IF(ABS(X156-D159)&lt;=0.01,"PASS","FAIL"),"FAIL"),IF(NOT(ISNUMBER(X156)),IF(X156=D159,"PASS","FAIL"),"FAIL")),"FAIL")</f>
        <v/>
      </c>
    </row>
    <row r="160">
      <c r="B160" s="8" t="inlineStr">
        <is>
          <t>Module Status Tier</t>
        </is>
      </c>
      <c r="C160" s="16">
        <f>IF(OR(U156="ERROR",V156="ERROR",W156="ERROR"),"ERROR",IF(OR(U156="UNKNOWN",V156="UNKNOWN",W156="UNKNOWN"),"INCOMPLETE","OK"))</f>
        <v/>
      </c>
      <c r="D160" s="30" t="inlineStr">
        <is>
          <t>OK</t>
        </is>
      </c>
      <c r="F160" s="15">
        <f>IF(C160=D160,"PASS","FAIL")</f>
        <v/>
      </c>
    </row>
    <row r="161">
      <c r="B161" s="8" t="inlineStr">
        <is>
          <t>Primary Warning Code (diagnostic)</t>
        </is>
      </c>
      <c r="C161" s="16">
        <f>AA156</f>
        <v/>
      </c>
      <c r="D161" s="30" t="inlineStr">
        <is>
          <t>NONE</t>
        </is>
      </c>
      <c r="F161" s="15">
        <f>IF(AA156=D161,"PASS","FAIL")</f>
        <v/>
      </c>
    </row>
    <row r="162">
      <c r="B162" s="8" t="inlineStr">
        <is>
          <t>Self-Check: |Q_BEP × CMu − FC| ≤ tol</t>
        </is>
      </c>
      <c r="C162" s="36">
        <f>IF(NOT(ISNUMBER(W156)),"SKIP",IF(ABS(W156*U156-V156)&lt;=0.01,"PASS","FAIL"))</f>
        <v/>
      </c>
      <c r="D162" s="34" t="n"/>
      <c r="F162" s="15">
        <f>IF(C162="FAIL","FAIL","PASS")</f>
        <v/>
      </c>
    </row>
    <row r="164" ht="20" customHeight="1">
      <c r="B164" s="2" t="inlineStr">
        <is>
          <t>TC17. Non-integer break-even quantity</t>
        </is>
      </c>
      <c r="C164" s="7" t="n"/>
      <c r="D164" s="7" t="n"/>
      <c r="E164" s="7" t="n"/>
      <c r="F164" s="7" t="n"/>
    </row>
    <row r="165">
      <c r="B165" s="4" t="inlineStr">
        <is>
          <t>Metric</t>
        </is>
      </c>
      <c r="C165" s="4" t="inlineStr">
        <is>
          <t>Excel Result</t>
        </is>
      </c>
      <c r="D165" s="4" t="inlineStr">
        <is>
          <t>Python Reference</t>
        </is>
      </c>
      <c r="E165" s="4" t="inlineStr">
        <is>
          <t>Difference</t>
        </is>
      </c>
      <c r="F165" s="4" t="inlineStr">
        <is>
          <t>PASS / FAIL</t>
        </is>
      </c>
    </row>
    <row r="166">
      <c r="B166" s="8" t="inlineStr">
        <is>
          <t>Contribution Margin per Unit (CMu)</t>
        </is>
      </c>
      <c r="C166" s="25">
        <f>U166</f>
        <v/>
      </c>
      <c r="D166" s="21" t="n">
        <v>500</v>
      </c>
      <c r="E166" s="26">
        <f>IF(ISNUMBER(D166),IF(ISNUMBER(U166),ABS(U166-D166),"N/A"),"N/A")</f>
        <v/>
      </c>
      <c r="F166" s="15">
        <f>IFERROR(IF(ISNUMBER(D166),IF(ISNUMBER(U166),IF(ABS(U166-D166)&lt;=0.01,"PASS","FAIL"),"FAIL"),IF(NOT(ISNUMBER(U166)),IF(U166=D166,"PASS","FAIL"),"FAIL")),"FAIL")</f>
        <v/>
      </c>
      <c r="I166" t="n">
        <v>1000</v>
      </c>
      <c r="J166" t="b">
        <v>0</v>
      </c>
      <c r="L166" t="n">
        <v>400</v>
      </c>
      <c r="M166" t="n">
        <v>100</v>
      </c>
      <c r="N166" t="n">
        <v>0</v>
      </c>
      <c r="O166" t="n">
        <v>0</v>
      </c>
      <c r="P166" t="n">
        <v>52340</v>
      </c>
      <c r="Q166" t="inlineStr">
        <is>
          <t>per_month</t>
        </is>
      </c>
      <c r="R166" t="inlineStr">
        <is>
          <t>component</t>
        </is>
      </c>
      <c r="S166" t="inlineStr">
        <is>
          <t>consistent</t>
        </is>
      </c>
      <c r="T166" t="n">
        <v>1</v>
      </c>
      <c r="U166">
        <f>IF($T$166&gt;1,"ERROR",IFERROR(IF(Y166="ERROR","ERROR",IF(OR(NOT(ISNUMBER(Y166)),ISBLANK($L$166),ISBLANK($M$166),ISBLANK($N$166),ISBLANK($O$166)),"UNKNOWN",IF($O$166&gt;0,IF(Z166="ERROR","ERROR",IF(NOT(ISNUMBER(Z166)),"UNKNOWN",Y166-$L$166-$M$166-$N$166*Y166-$O$166*Z166)),Y166-$L$166-$M$166-$N$166*Y166))),"ERROR"))</f>
        <v/>
      </c>
      <c r="V166">
        <f>IF($T$166&gt;1,"ERROR",IFERROR(IF($R$166="invalid_direct","ERROR",IF($S$166="inconsistent","ERROR",IF($R$166="none",0,IF(OR($R$166="unresolved",$R$166="blended_only"),"UNKNOWN",IF(ISBLANK($P$166),"UNKNOWN",IF($P$166&lt;0,"ERROR",$P$166)))))),"ERROR"))</f>
        <v/>
      </c>
      <c r="W166">
        <f>IF($T$166&gt;1,"ERROR",IFERROR(IF(OR(U166="ERROR",V166="ERROR"),"ERROR",IF(OR(NOT(ISNUMBER(U166)),NOT(ISNUMBER(V166))),"UNKNOWN",IF(U166&lt;=0,"NOT_APPLICABLE",V166/U166))),"ERROR"))</f>
        <v/>
      </c>
      <c r="X166">
        <f>IF($T$166&gt;1,"",IF(OR($R$166="invalid_direct",$S$166="inconsistent"),"",IF($R$166="none","",IF(OR($R$166="unresolved",$R$166="blended_only"),"",IF(ISBLANK($P$166),"",IF($P$166&lt;0,"",$Q$166))))))</f>
        <v/>
      </c>
      <c r="Y166">
        <f>IFERROR(IF(ISBLANK($I$166),"UNKNOWN",IF(ISBLANK($J$166),"UNKNOWN",IF($J$166=FALSE,$I$166,IF(ISBLANK($K$166),"UNKNOWN",$I$166/(1+$K$166))))),"ERROR")</f>
        <v/>
      </c>
      <c r="Z166">
        <f>IFERROR(IF(ISBLANK($I$166),"UNKNOWN",IF(ISBLANK($J$166),"UNKNOWN",IF($J$166=TRUE,$I$166,IF(ISBLANK($K$166),"UNKNOWN",$I$166*(1+$K$166))))),"ERROR")</f>
        <v/>
      </c>
      <c r="AA166">
        <f>IF($T$166&gt;1,"MULTI_COMPONENT_BEP_NOT_SUPPORTED",IF($R$166="invalid_direct","INVALID_ALLOCATION_CONFIGURATION",IF($S$166="inconsistent","INCONSISTENT_FIXED_COST_BASIS",IF(AND($R$166="component",NOT(ISBLANK($P$166)),$P$166&lt;0),"INVALID_NEGATIVE_COST",IF(U166="ERROR","CALCULATION_ERROR",IF($R$166="blended_only","FIXED_COST_BLENDED_ONLY_NOT_ALLOCATED",IF($R$166="unresolved","UNSUPPORTED_SHARED_COST_ALLOCATION",IF(NOT(ISNUMBER(U166)),"MISSING_DEPENDENCY",IF(AND($R$166="component",ISBLANK($P$166)),"MISSING_DEPENDENCY",IF(AND(U166=0,V166=0),"BREAK_EVEN_UNDEFINED_ZERO_MARGIN_ZERO_FIXED_COST",IF(U166=0,"BREAK_EVEN_UNDEFINED_ZERO_MARGIN",IF(U166&lt;0,"BREAK_EVEN_UNDEFINED_NEGATIVE_MARGIN","NONE"))))))))))))</f>
        <v/>
      </c>
    </row>
    <row r="167">
      <c r="B167" s="8" t="inlineStr">
        <is>
          <t>Fixed Operating Cost (FC)</t>
        </is>
      </c>
      <c r="C167" s="25">
        <f>V166</f>
        <v/>
      </c>
      <c r="D167" s="21" t="n">
        <v>52340</v>
      </c>
      <c r="E167" s="26">
        <f>IF(ISNUMBER(D167),IF(ISNUMBER(V166),ABS(V166-D167),"N/A"),"N/A")</f>
        <v/>
      </c>
      <c r="F167" s="15">
        <f>IFERROR(IF(ISNUMBER(D167),IF(ISNUMBER(V166),IF(ABS(V166-D167)&lt;=0.01,"PASS","FAIL"),"FAIL"),IF(NOT(ISNUMBER(V166)),IF(V166=D167,"PASS","FAIL"),"FAIL")),"FAIL")</f>
        <v/>
      </c>
    </row>
    <row r="168">
      <c r="B168" s="8" t="inlineStr">
        <is>
          <t>Break-Even Quantity (Q_BEP)</t>
        </is>
      </c>
      <c r="C168" s="25">
        <f>W166</f>
        <v/>
      </c>
      <c r="D168" s="21" t="n">
        <v>104.68</v>
      </c>
      <c r="E168" s="26">
        <f>IF(ISNUMBER(D168),IF(ISNUMBER(W166),ABS(W166-D168),"N/A"),"N/A")</f>
        <v/>
      </c>
      <c r="F168" s="15">
        <f>IFERROR(IF(ISNUMBER(D168),IF(ISNUMBER(W166),IF(ABS(W166-D168)&lt;=0.01,"PASS","FAIL"),"FAIL"),IF(NOT(ISNUMBER(W166)),IF(W166=D168,"PASS","FAIL"),"FAIL")),"FAIL")</f>
        <v/>
      </c>
    </row>
    <row r="169">
      <c r="B169" s="8" t="inlineStr">
        <is>
          <t>Analysis Period Basis</t>
        </is>
      </c>
      <c r="C169" s="16">
        <f>X166</f>
        <v/>
      </c>
      <c r="D169" s="30" t="inlineStr">
        <is>
          <t>per_month</t>
        </is>
      </c>
      <c r="E169" s="26">
        <f>IF(ISNUMBER(D169),IF(ISNUMBER(X166),ABS(X166-D169),"N/A"),"N/A")</f>
        <v/>
      </c>
      <c r="F169" s="15">
        <f>IFERROR(IF(ISNUMBER(D169),IF(ISNUMBER(X166),IF(ABS(X166-D169)&lt;=0.01,"PASS","FAIL"),"FAIL"),IF(NOT(ISNUMBER(X166)),IF(X166=D169,"PASS","FAIL"),"FAIL")),"FAIL")</f>
        <v/>
      </c>
    </row>
    <row r="170">
      <c r="B170" s="8" t="inlineStr">
        <is>
          <t>Module Status Tier</t>
        </is>
      </c>
      <c r="C170" s="16">
        <f>IF(OR(U166="ERROR",V166="ERROR",W166="ERROR"),"ERROR",IF(OR(U166="UNKNOWN",V166="UNKNOWN",W166="UNKNOWN"),"INCOMPLETE","OK"))</f>
        <v/>
      </c>
      <c r="D170" s="30" t="inlineStr">
        <is>
          <t>OK</t>
        </is>
      </c>
      <c r="F170" s="15">
        <f>IF(C170=D170,"PASS","FAIL")</f>
        <v/>
      </c>
    </row>
    <row r="171">
      <c r="B171" s="8" t="inlineStr">
        <is>
          <t>Primary Warning Code (diagnostic)</t>
        </is>
      </c>
      <c r="C171" s="16">
        <f>AA166</f>
        <v/>
      </c>
      <c r="D171" s="30" t="inlineStr">
        <is>
          <t>NONE</t>
        </is>
      </c>
      <c r="F171" s="15">
        <f>IF(AA166=D171,"PASS","FAIL")</f>
        <v/>
      </c>
    </row>
    <row r="172">
      <c r="B172" s="8" t="inlineStr">
        <is>
          <t>Self-Check: |Q_BEP × CMu − FC| ≤ tol</t>
        </is>
      </c>
      <c r="C172" s="36">
        <f>IF(NOT(ISNUMBER(W166)),"SKIP",IF(ABS(W166*U166-V166)&lt;=0.01,"PASS","FAIL"))</f>
        <v/>
      </c>
      <c r="D172" s="34" t="n"/>
      <c r="F172" s="15">
        <f>IF(C172="FAIL","FAIL","PASS")</f>
        <v/>
      </c>
    </row>
    <row r="174" ht="20" customHeight="1">
      <c r="B174" s="2" t="inlineStr">
        <is>
          <t>TC18. Multi-component, component-specific FC (refused)</t>
        </is>
      </c>
      <c r="C174" s="7" t="n"/>
      <c r="D174" s="7" t="n"/>
      <c r="E174" s="7" t="n"/>
      <c r="F174" s="7" t="n"/>
    </row>
    <row r="175">
      <c r="B175" s="4" t="inlineStr">
        <is>
          <t>Metric</t>
        </is>
      </c>
      <c r="C175" s="4" t="inlineStr">
        <is>
          <t>Excel Result</t>
        </is>
      </c>
      <c r="D175" s="4" t="inlineStr">
        <is>
          <t>Python Reference</t>
        </is>
      </c>
      <c r="E175" s="4" t="inlineStr">
        <is>
          <t>Difference</t>
        </is>
      </c>
      <c r="F175" s="4" t="inlineStr">
        <is>
          <t>PASS / FAIL</t>
        </is>
      </c>
    </row>
    <row r="176">
      <c r="B176" s="8" t="inlineStr">
        <is>
          <t>Contribution Margin per Unit (CMu)</t>
        </is>
      </c>
      <c r="C176" s="25">
        <f>U176</f>
        <v/>
      </c>
      <c r="D176" s="30" t="inlineStr">
        <is>
          <t>ERROR</t>
        </is>
      </c>
      <c r="E176" s="26">
        <f>IF(ISNUMBER(D176),IF(ISNUMBER(U176),ABS(U176-D176),"N/A"),"N/A")</f>
        <v/>
      </c>
      <c r="F176" s="15">
        <f>IFERROR(IF(ISNUMBER(D176),IF(ISNUMBER(U176),IF(ABS(U176-D176)&lt;=0.01,"PASS","FAIL"),"FAIL"),IF(NOT(ISNUMBER(U176)),IF(U176=D176,"PASS","FAIL"),"FAIL")),"FAIL")</f>
        <v/>
      </c>
      <c r="I176" t="n">
        <v>1000</v>
      </c>
      <c r="J176" t="b">
        <v>0</v>
      </c>
      <c r="L176" t="n">
        <v>400</v>
      </c>
      <c r="M176" t="n">
        <v>100</v>
      </c>
      <c r="N176" t="n">
        <v>0</v>
      </c>
      <c r="O176" t="n">
        <v>0</v>
      </c>
      <c r="P176" t="n">
        <v>50000</v>
      </c>
      <c r="Q176" t="inlineStr">
        <is>
          <t>per_month</t>
        </is>
      </c>
      <c r="R176" t="inlineStr">
        <is>
          <t>component</t>
        </is>
      </c>
      <c r="S176" t="inlineStr">
        <is>
          <t>consistent</t>
        </is>
      </c>
      <c r="T176" t="n">
        <v>2</v>
      </c>
      <c r="U176">
        <f>IF($T$176&gt;1,"ERROR",IFERROR(IF(Y176="ERROR","ERROR",IF(OR(NOT(ISNUMBER(Y176)),ISBLANK($L$176),ISBLANK($M$176),ISBLANK($N$176),ISBLANK($O$176)),"UNKNOWN",IF($O$176&gt;0,IF(Z176="ERROR","ERROR",IF(NOT(ISNUMBER(Z176)),"UNKNOWN",Y176-$L$176-$M$176-$N$176*Y176-$O$176*Z176)),Y176-$L$176-$M$176-$N$176*Y176))),"ERROR"))</f>
        <v/>
      </c>
      <c r="V176">
        <f>IF($T$176&gt;1,"ERROR",IFERROR(IF($R$176="invalid_direct","ERROR",IF($S$176="inconsistent","ERROR",IF($R$176="none",0,IF(OR($R$176="unresolved",$R$176="blended_only"),"UNKNOWN",IF(ISBLANK($P$176),"UNKNOWN",IF($P$176&lt;0,"ERROR",$P$176)))))),"ERROR"))</f>
        <v/>
      </c>
      <c r="W176">
        <f>IF($T$176&gt;1,"ERROR",IFERROR(IF(OR(U176="ERROR",V176="ERROR"),"ERROR",IF(OR(NOT(ISNUMBER(U176)),NOT(ISNUMBER(V176))),"UNKNOWN",IF(U176&lt;=0,"NOT_APPLICABLE",V176/U176))),"ERROR"))</f>
        <v/>
      </c>
      <c r="X176">
        <f>IF($T$176&gt;1,"",IF(OR($R$176="invalid_direct",$S$176="inconsistent"),"",IF($R$176="none","",IF(OR($R$176="unresolved",$R$176="blended_only"),"",IF(ISBLANK($P$176),"",IF($P$176&lt;0,"",$Q$176))))))</f>
        <v/>
      </c>
      <c r="Y176">
        <f>IFERROR(IF(ISBLANK($I$176),"UNKNOWN",IF(ISBLANK($J$176),"UNKNOWN",IF($J$176=FALSE,$I$176,IF(ISBLANK($K$176),"UNKNOWN",$I$176/(1+$K$176))))),"ERROR")</f>
        <v/>
      </c>
      <c r="Z176">
        <f>IFERROR(IF(ISBLANK($I$176),"UNKNOWN",IF(ISBLANK($J$176),"UNKNOWN",IF($J$176=TRUE,$I$176,IF(ISBLANK($K$176),"UNKNOWN",$I$176*(1+$K$176))))),"ERROR")</f>
        <v/>
      </c>
      <c r="AA176">
        <f>IF($T$176&gt;1,"MULTI_COMPONENT_BEP_NOT_SUPPORTED",IF($R$176="invalid_direct","INVALID_ALLOCATION_CONFIGURATION",IF($S$176="inconsistent","INCONSISTENT_FIXED_COST_BASIS",IF(AND($R$176="component",NOT(ISBLANK($P$176)),$P$176&lt;0),"INVALID_NEGATIVE_COST",IF(U176="ERROR","CALCULATION_ERROR",IF($R$176="blended_only","FIXED_COST_BLENDED_ONLY_NOT_ALLOCATED",IF($R$176="unresolved","UNSUPPORTED_SHARED_COST_ALLOCATION",IF(NOT(ISNUMBER(U176)),"MISSING_DEPENDENCY",IF(AND($R$176="component",ISBLANK($P$176)),"MISSING_DEPENDENCY",IF(AND(U176=0,V176=0),"BREAK_EVEN_UNDEFINED_ZERO_MARGIN_ZERO_FIXED_COST",IF(U176=0,"BREAK_EVEN_UNDEFINED_ZERO_MARGIN",IF(U176&lt;0,"BREAK_EVEN_UNDEFINED_NEGATIVE_MARGIN","NONE"))))))))))))</f>
        <v/>
      </c>
    </row>
    <row r="177">
      <c r="B177" s="8" t="inlineStr">
        <is>
          <t>Fixed Operating Cost (FC)</t>
        </is>
      </c>
      <c r="C177" s="25">
        <f>V176</f>
        <v/>
      </c>
      <c r="D177" s="30" t="inlineStr">
        <is>
          <t>ERROR</t>
        </is>
      </c>
      <c r="E177" s="26">
        <f>IF(ISNUMBER(D177),IF(ISNUMBER(V176),ABS(V176-D177),"N/A"),"N/A")</f>
        <v/>
      </c>
      <c r="F177" s="15">
        <f>IFERROR(IF(ISNUMBER(D177),IF(ISNUMBER(V176),IF(ABS(V176-D177)&lt;=0.01,"PASS","FAIL"),"FAIL"),IF(NOT(ISNUMBER(V176)),IF(V176=D177,"PASS","FAIL"),"FAIL")),"FAIL")</f>
        <v/>
      </c>
    </row>
    <row r="178">
      <c r="B178" s="8" t="inlineStr">
        <is>
          <t>Break-Even Quantity (Q_BEP)</t>
        </is>
      </c>
      <c r="C178" s="25">
        <f>W176</f>
        <v/>
      </c>
      <c r="D178" s="30" t="inlineStr">
        <is>
          <t>ERROR</t>
        </is>
      </c>
      <c r="E178" s="26">
        <f>IF(ISNUMBER(D178),IF(ISNUMBER(W176),ABS(W176-D178),"N/A"),"N/A")</f>
        <v/>
      </c>
      <c r="F178" s="15">
        <f>IFERROR(IF(ISNUMBER(D178),IF(ISNUMBER(W176),IF(ABS(W176-D178)&lt;=0.01,"PASS","FAIL"),"FAIL"),IF(NOT(ISNUMBER(W176)),IF(W176=D178,"PASS","FAIL"),"FAIL")),"FAIL")</f>
        <v/>
      </c>
    </row>
    <row r="179">
      <c r="B179" s="8" t="inlineStr">
        <is>
          <t>Analysis Period Basis</t>
        </is>
      </c>
      <c r="C179" s="16">
        <f>X176</f>
        <v/>
      </c>
      <c r="D179" s="30" t="inlineStr"/>
      <c r="E179" s="26">
        <f>IF(ISNUMBER(D179),IF(ISNUMBER(X176),ABS(X176-D179),"N/A"),"N/A")</f>
        <v/>
      </c>
      <c r="F179" s="15">
        <f>IFERROR(IF(ISNUMBER(D179),IF(ISNUMBER(X176),IF(ABS(X176-D179)&lt;=0.01,"PASS","FAIL"),"FAIL"),IF(NOT(ISNUMBER(X176)),IF(X176=D179,"PASS","FAIL"),"FAIL")),"FAIL")</f>
        <v/>
      </c>
    </row>
    <row r="180">
      <c r="B180" s="8" t="inlineStr">
        <is>
          <t>Module Status Tier</t>
        </is>
      </c>
      <c r="C180" s="16">
        <f>IF(OR(U176="ERROR",V176="ERROR",W176="ERROR"),"ERROR",IF(OR(U176="UNKNOWN",V176="UNKNOWN",W176="UNKNOWN"),"INCOMPLETE","OK"))</f>
        <v/>
      </c>
      <c r="D180" s="30" t="inlineStr">
        <is>
          <t>ERROR</t>
        </is>
      </c>
      <c r="F180" s="15">
        <f>IF(C180=D180,"PASS","FAIL")</f>
        <v/>
      </c>
    </row>
    <row r="181">
      <c r="B181" s="8" t="inlineStr">
        <is>
          <t>Primary Warning Code (diagnostic)</t>
        </is>
      </c>
      <c r="C181" s="16">
        <f>AA176</f>
        <v/>
      </c>
      <c r="D181" s="30" t="inlineStr">
        <is>
          <t>MULTI_COMPONENT_BEP_NOT_SUPPORTED</t>
        </is>
      </c>
      <c r="F181" s="15">
        <f>IF(AA176=D181,"PASS","FAIL")</f>
        <v/>
      </c>
    </row>
    <row r="182">
      <c r="B182" s="8" t="inlineStr">
        <is>
          <t>Self-Check: |Q_BEP × CMu − FC| ≤ tol</t>
        </is>
      </c>
      <c r="C182" s="36">
        <f>IF(NOT(ISNUMBER(W176)),"SKIP",IF(ABS(W176*U176-V176)&lt;=0.01,"PASS","FAIL"))</f>
        <v/>
      </c>
      <c r="D182" s="34" t="n"/>
      <c r="F182" s="15">
        <f>IF(C182="FAIL","FAIL","PASS")</f>
        <v/>
      </c>
    </row>
    <row r="184" ht="20" customHeight="1">
      <c r="B184" s="2" t="inlineStr">
        <is>
          <t>TC19. Multi-component + shared FC (still refused)</t>
        </is>
      </c>
      <c r="C184" s="7" t="n"/>
      <c r="D184" s="7" t="n"/>
      <c r="E184" s="7" t="n"/>
      <c r="F184" s="7" t="n"/>
    </row>
    <row r="185">
      <c r="B185" s="4" t="inlineStr">
        <is>
          <t>Metric</t>
        </is>
      </c>
      <c r="C185" s="4" t="inlineStr">
        <is>
          <t>Excel Result</t>
        </is>
      </c>
      <c r="D185" s="4" t="inlineStr">
        <is>
          <t>Python Reference</t>
        </is>
      </c>
      <c r="E185" s="4" t="inlineStr">
        <is>
          <t>Difference</t>
        </is>
      </c>
      <c r="F185" s="4" t="inlineStr">
        <is>
          <t>PASS / FAIL</t>
        </is>
      </c>
    </row>
    <row r="186">
      <c r="B186" s="8" t="inlineStr">
        <is>
          <t>Contribution Margin per Unit (CMu)</t>
        </is>
      </c>
      <c r="C186" s="25">
        <f>U186</f>
        <v/>
      </c>
      <c r="D186" s="30" t="inlineStr">
        <is>
          <t>ERROR</t>
        </is>
      </c>
      <c r="E186" s="26">
        <f>IF(ISNUMBER(D186),IF(ISNUMBER(U186),ABS(U186-D186),"N/A"),"N/A")</f>
        <v/>
      </c>
      <c r="F186" s="15">
        <f>IFERROR(IF(ISNUMBER(D186),IF(ISNUMBER(U186),IF(ABS(U186-D186)&lt;=0.01,"PASS","FAIL"),"FAIL"),IF(NOT(ISNUMBER(U186)),IF(U186=D186,"PASS","FAIL"),"FAIL")),"FAIL")</f>
        <v/>
      </c>
      <c r="I186" t="n">
        <v>1000</v>
      </c>
      <c r="J186" t="b">
        <v>0</v>
      </c>
      <c r="L186" t="n">
        <v>400</v>
      </c>
      <c r="M186" t="n">
        <v>100</v>
      </c>
      <c r="N186" t="n">
        <v>0</v>
      </c>
      <c r="O186" t="n">
        <v>0</v>
      </c>
      <c r="Q186" t="inlineStr">
        <is>
          <t>per_month</t>
        </is>
      </c>
      <c r="R186" t="inlineStr">
        <is>
          <t>blended_only</t>
        </is>
      </c>
      <c r="S186" t="inlineStr">
        <is>
          <t>consistent</t>
        </is>
      </c>
      <c r="T186" t="n">
        <v>2</v>
      </c>
      <c r="U186">
        <f>IF($T$186&gt;1,"ERROR",IFERROR(IF(Y186="ERROR","ERROR",IF(OR(NOT(ISNUMBER(Y186)),ISBLANK($L$186),ISBLANK($M$186),ISBLANK($N$186),ISBLANK($O$186)),"UNKNOWN",IF($O$186&gt;0,IF(Z186="ERROR","ERROR",IF(NOT(ISNUMBER(Z186)),"UNKNOWN",Y186-$L$186-$M$186-$N$186*Y186-$O$186*Z186)),Y186-$L$186-$M$186-$N$186*Y186))),"ERROR"))</f>
        <v/>
      </c>
      <c r="V186">
        <f>IF($T$186&gt;1,"ERROR",IFERROR(IF($R$186="invalid_direct","ERROR",IF($S$186="inconsistent","ERROR",IF($R$186="none",0,IF(OR($R$186="unresolved",$R$186="blended_only"),"UNKNOWN",IF(ISBLANK($P$186),"UNKNOWN",IF($P$186&lt;0,"ERROR",$P$186)))))),"ERROR"))</f>
        <v/>
      </c>
      <c r="W186">
        <f>IF($T$186&gt;1,"ERROR",IFERROR(IF(OR(U186="ERROR",V186="ERROR"),"ERROR",IF(OR(NOT(ISNUMBER(U186)),NOT(ISNUMBER(V186))),"UNKNOWN",IF(U186&lt;=0,"NOT_APPLICABLE",V186/U186))),"ERROR"))</f>
        <v/>
      </c>
      <c r="X186">
        <f>IF($T$186&gt;1,"",IF(OR($R$186="invalid_direct",$S$186="inconsistent"),"",IF($R$186="none","",IF(OR($R$186="unresolved",$R$186="blended_only"),"",IF(ISBLANK($P$186),"",IF($P$186&lt;0,"",$Q$186))))))</f>
        <v/>
      </c>
      <c r="Y186">
        <f>IFERROR(IF(ISBLANK($I$186),"UNKNOWN",IF(ISBLANK($J$186),"UNKNOWN",IF($J$186=FALSE,$I$186,IF(ISBLANK($K$186),"UNKNOWN",$I$186/(1+$K$186))))),"ERROR")</f>
        <v/>
      </c>
      <c r="Z186">
        <f>IFERROR(IF(ISBLANK($I$186),"UNKNOWN",IF(ISBLANK($J$186),"UNKNOWN",IF($J$186=TRUE,$I$186,IF(ISBLANK($K$186),"UNKNOWN",$I$186*(1+$K$186))))),"ERROR")</f>
        <v/>
      </c>
      <c r="AA186">
        <f>IF($T$186&gt;1,"MULTI_COMPONENT_BEP_NOT_SUPPORTED",IF($R$186="invalid_direct","INVALID_ALLOCATION_CONFIGURATION",IF($S$186="inconsistent","INCONSISTENT_FIXED_COST_BASIS",IF(AND($R$186="component",NOT(ISBLANK($P$186)),$P$186&lt;0),"INVALID_NEGATIVE_COST",IF(U186="ERROR","CALCULATION_ERROR",IF($R$186="blended_only","FIXED_COST_BLENDED_ONLY_NOT_ALLOCATED",IF($R$186="unresolved","UNSUPPORTED_SHARED_COST_ALLOCATION",IF(NOT(ISNUMBER(U186)),"MISSING_DEPENDENCY",IF(AND($R$186="component",ISBLANK($P$186)),"MISSING_DEPENDENCY",IF(AND(U186=0,V186=0),"BREAK_EVEN_UNDEFINED_ZERO_MARGIN_ZERO_FIXED_COST",IF(U186=0,"BREAK_EVEN_UNDEFINED_ZERO_MARGIN",IF(U186&lt;0,"BREAK_EVEN_UNDEFINED_NEGATIVE_MARGIN","NONE"))))))))))))</f>
        <v/>
      </c>
    </row>
    <row r="187">
      <c r="B187" s="8" t="inlineStr">
        <is>
          <t>Fixed Operating Cost (FC)</t>
        </is>
      </c>
      <c r="C187" s="25">
        <f>V186</f>
        <v/>
      </c>
      <c r="D187" s="30" t="inlineStr">
        <is>
          <t>ERROR</t>
        </is>
      </c>
      <c r="E187" s="26">
        <f>IF(ISNUMBER(D187),IF(ISNUMBER(V186),ABS(V186-D187),"N/A"),"N/A")</f>
        <v/>
      </c>
      <c r="F187" s="15">
        <f>IFERROR(IF(ISNUMBER(D187),IF(ISNUMBER(V186),IF(ABS(V186-D187)&lt;=0.01,"PASS","FAIL"),"FAIL"),IF(NOT(ISNUMBER(V186)),IF(V186=D187,"PASS","FAIL"),"FAIL")),"FAIL")</f>
        <v/>
      </c>
    </row>
    <row r="188">
      <c r="B188" s="8" t="inlineStr">
        <is>
          <t>Break-Even Quantity (Q_BEP)</t>
        </is>
      </c>
      <c r="C188" s="25">
        <f>W186</f>
        <v/>
      </c>
      <c r="D188" s="30" t="inlineStr">
        <is>
          <t>ERROR</t>
        </is>
      </c>
      <c r="E188" s="26">
        <f>IF(ISNUMBER(D188),IF(ISNUMBER(W186),ABS(W186-D188),"N/A"),"N/A")</f>
        <v/>
      </c>
      <c r="F188" s="15">
        <f>IFERROR(IF(ISNUMBER(D188),IF(ISNUMBER(W186),IF(ABS(W186-D188)&lt;=0.01,"PASS","FAIL"),"FAIL"),IF(NOT(ISNUMBER(W186)),IF(W186=D188,"PASS","FAIL"),"FAIL")),"FAIL")</f>
        <v/>
      </c>
    </row>
    <row r="189">
      <c r="B189" s="8" t="inlineStr">
        <is>
          <t>Analysis Period Basis</t>
        </is>
      </c>
      <c r="C189" s="16">
        <f>X186</f>
        <v/>
      </c>
      <c r="D189" s="30" t="inlineStr"/>
      <c r="E189" s="26">
        <f>IF(ISNUMBER(D189),IF(ISNUMBER(X186),ABS(X186-D189),"N/A"),"N/A")</f>
        <v/>
      </c>
      <c r="F189" s="15">
        <f>IFERROR(IF(ISNUMBER(D189),IF(ISNUMBER(X186),IF(ABS(X186-D189)&lt;=0.01,"PASS","FAIL"),"FAIL"),IF(NOT(ISNUMBER(X186)),IF(X186=D189,"PASS","FAIL"),"FAIL")),"FAIL")</f>
        <v/>
      </c>
    </row>
    <row r="190">
      <c r="B190" s="8" t="inlineStr">
        <is>
          <t>Module Status Tier</t>
        </is>
      </c>
      <c r="C190" s="16">
        <f>IF(OR(U186="ERROR",V186="ERROR",W186="ERROR"),"ERROR",IF(OR(U186="UNKNOWN",V186="UNKNOWN",W186="UNKNOWN"),"INCOMPLETE","OK"))</f>
        <v/>
      </c>
      <c r="D190" s="30" t="inlineStr">
        <is>
          <t>ERROR</t>
        </is>
      </c>
      <c r="F190" s="15">
        <f>IF(C190=D190,"PASS","FAIL")</f>
        <v/>
      </c>
    </row>
    <row r="191">
      <c r="B191" s="8" t="inlineStr">
        <is>
          <t>Primary Warning Code (diagnostic)</t>
        </is>
      </c>
      <c r="C191" s="16">
        <f>AA186</f>
        <v/>
      </c>
      <c r="D191" s="30" t="inlineStr">
        <is>
          <t>MULTI_COMPONENT_BEP_NOT_SUPPORTED</t>
        </is>
      </c>
      <c r="F191" s="15">
        <f>IF(AA186=D191,"PASS","FAIL")</f>
        <v/>
      </c>
    </row>
    <row r="192">
      <c r="B192" s="8" t="inlineStr">
        <is>
          <t>Self-Check: |Q_BEP × CMu − FC| ≤ tol</t>
        </is>
      </c>
      <c r="C192" s="36">
        <f>IF(NOT(ISNUMBER(W186)),"SKIP",IF(ABS(W186*U186-V186)&lt;=0.01,"PASS","FAIL"))</f>
        <v/>
      </c>
      <c r="D192" s="34" t="n"/>
      <c r="F192" s="15">
        <f>IF(C192="FAIL","FAIL","PASS")</f>
        <v/>
      </c>
    </row>
    <row r="194" ht="20" customHeight="1">
      <c r="B194" s="2" t="inlineStr">
        <is>
          <t>TC20. CM input UNKNOWN (direct cost missing), FC isolated</t>
        </is>
      </c>
      <c r="C194" s="7" t="n"/>
      <c r="D194" s="7" t="n"/>
      <c r="E194" s="7" t="n"/>
      <c r="F194" s="7" t="n"/>
    </row>
    <row r="195">
      <c r="B195" s="4" t="inlineStr">
        <is>
          <t>Metric</t>
        </is>
      </c>
      <c r="C195" s="4" t="inlineStr">
        <is>
          <t>Excel Result</t>
        </is>
      </c>
      <c r="D195" s="4" t="inlineStr">
        <is>
          <t>Python Reference</t>
        </is>
      </c>
      <c r="E195" s="4" t="inlineStr">
        <is>
          <t>Difference</t>
        </is>
      </c>
      <c r="F195" s="4" t="inlineStr">
        <is>
          <t>PASS / FAIL</t>
        </is>
      </c>
    </row>
    <row r="196">
      <c r="B196" s="8" t="inlineStr">
        <is>
          <t>Contribution Margin per Unit (CMu)</t>
        </is>
      </c>
      <c r="C196" s="25">
        <f>U196</f>
        <v/>
      </c>
      <c r="D196" s="30" t="inlineStr">
        <is>
          <t>UNKNOWN</t>
        </is>
      </c>
      <c r="E196" s="26">
        <f>IF(ISNUMBER(D196),IF(ISNUMBER(U196),ABS(U196-D196),"N/A"),"N/A")</f>
        <v/>
      </c>
      <c r="F196" s="15">
        <f>IFERROR(IF(ISNUMBER(D196),IF(ISNUMBER(U196),IF(ABS(U196-D196)&lt;=0.01,"PASS","FAIL"),"FAIL"),IF(NOT(ISNUMBER(U196)),IF(U196=D196,"PASS","FAIL"),"FAIL")),"FAIL")</f>
        <v/>
      </c>
      <c r="I196" t="n">
        <v>1000</v>
      </c>
      <c r="J196" t="b">
        <v>0</v>
      </c>
      <c r="M196" t="n">
        <v>100</v>
      </c>
      <c r="N196" t="n">
        <v>0</v>
      </c>
      <c r="O196" t="n">
        <v>0</v>
      </c>
      <c r="P196" t="n">
        <v>50000</v>
      </c>
      <c r="Q196" t="inlineStr">
        <is>
          <t>per_month</t>
        </is>
      </c>
      <c r="R196" t="inlineStr">
        <is>
          <t>component</t>
        </is>
      </c>
      <c r="S196" t="inlineStr">
        <is>
          <t>consistent</t>
        </is>
      </c>
      <c r="T196" t="n">
        <v>1</v>
      </c>
      <c r="U196">
        <f>IF($T$196&gt;1,"ERROR",IFERROR(IF(Y196="ERROR","ERROR",IF(OR(NOT(ISNUMBER(Y196)),ISBLANK($L$196),ISBLANK($M$196),ISBLANK($N$196),ISBLANK($O$196)),"UNKNOWN",IF($O$196&gt;0,IF(Z196="ERROR","ERROR",IF(NOT(ISNUMBER(Z196)),"UNKNOWN",Y196-$L$196-$M$196-$N$196*Y196-$O$196*Z196)),Y196-$L$196-$M$196-$N$196*Y196))),"ERROR"))</f>
        <v/>
      </c>
      <c r="V196">
        <f>IF($T$196&gt;1,"ERROR",IFERROR(IF($R$196="invalid_direct","ERROR",IF($S$196="inconsistent","ERROR",IF($R$196="none",0,IF(OR($R$196="unresolved",$R$196="blended_only"),"UNKNOWN",IF(ISBLANK($P$196),"UNKNOWN",IF($P$196&lt;0,"ERROR",$P$196)))))),"ERROR"))</f>
        <v/>
      </c>
      <c r="W196">
        <f>IF($T$196&gt;1,"ERROR",IFERROR(IF(OR(U196="ERROR",V196="ERROR"),"ERROR",IF(OR(NOT(ISNUMBER(U196)),NOT(ISNUMBER(V196))),"UNKNOWN",IF(U196&lt;=0,"NOT_APPLICABLE",V196/U196))),"ERROR"))</f>
        <v/>
      </c>
      <c r="X196">
        <f>IF($T$196&gt;1,"",IF(OR($R$196="invalid_direct",$S$196="inconsistent"),"",IF($R$196="none","",IF(OR($R$196="unresolved",$R$196="blended_only"),"",IF(ISBLANK($P$196),"",IF($P$196&lt;0,"",$Q$196))))))</f>
        <v/>
      </c>
      <c r="Y196">
        <f>IFERROR(IF(ISBLANK($I$196),"UNKNOWN",IF(ISBLANK($J$196),"UNKNOWN",IF($J$196=FALSE,$I$196,IF(ISBLANK($K$196),"UNKNOWN",$I$196/(1+$K$196))))),"ERROR")</f>
        <v/>
      </c>
      <c r="Z196">
        <f>IFERROR(IF(ISBLANK($I$196),"UNKNOWN",IF(ISBLANK($J$196),"UNKNOWN",IF($J$196=TRUE,$I$196,IF(ISBLANK($K$196),"UNKNOWN",$I$196*(1+$K$196))))),"ERROR")</f>
        <v/>
      </c>
      <c r="AA196">
        <f>IF($T$196&gt;1,"MULTI_COMPONENT_BEP_NOT_SUPPORTED",IF($R$196="invalid_direct","INVALID_ALLOCATION_CONFIGURATION",IF($S$196="inconsistent","INCONSISTENT_FIXED_COST_BASIS",IF(AND($R$196="component",NOT(ISBLANK($P$196)),$P$196&lt;0),"INVALID_NEGATIVE_COST",IF(U196="ERROR","CALCULATION_ERROR",IF($R$196="blended_only","FIXED_COST_BLENDED_ONLY_NOT_ALLOCATED",IF($R$196="unresolved","UNSUPPORTED_SHARED_COST_ALLOCATION",IF(NOT(ISNUMBER(U196)),"MISSING_DEPENDENCY",IF(AND($R$196="component",ISBLANK($P$196)),"MISSING_DEPENDENCY",IF(AND(U196=0,V196=0),"BREAK_EVEN_UNDEFINED_ZERO_MARGIN_ZERO_FIXED_COST",IF(U196=0,"BREAK_EVEN_UNDEFINED_ZERO_MARGIN",IF(U196&lt;0,"BREAK_EVEN_UNDEFINED_NEGATIVE_MARGIN","NONE"))))))))))))</f>
        <v/>
      </c>
    </row>
    <row r="197">
      <c r="B197" s="8" t="inlineStr">
        <is>
          <t>Fixed Operating Cost (FC)</t>
        </is>
      </c>
      <c r="C197" s="25">
        <f>V196</f>
        <v/>
      </c>
      <c r="D197" s="21" t="n">
        <v>50000</v>
      </c>
      <c r="E197" s="26">
        <f>IF(ISNUMBER(D197),IF(ISNUMBER(V196),ABS(V196-D197),"N/A"),"N/A")</f>
        <v/>
      </c>
      <c r="F197" s="15">
        <f>IFERROR(IF(ISNUMBER(D197),IF(ISNUMBER(V196),IF(ABS(V196-D197)&lt;=0.01,"PASS","FAIL"),"FAIL"),IF(NOT(ISNUMBER(V196)),IF(V196=D197,"PASS","FAIL"),"FAIL")),"FAIL")</f>
        <v/>
      </c>
    </row>
    <row r="198">
      <c r="B198" s="8" t="inlineStr">
        <is>
          <t>Break-Even Quantity (Q_BEP)</t>
        </is>
      </c>
      <c r="C198" s="25">
        <f>W196</f>
        <v/>
      </c>
      <c r="D198" s="30" t="inlineStr">
        <is>
          <t>UNKNOWN</t>
        </is>
      </c>
      <c r="E198" s="26">
        <f>IF(ISNUMBER(D198),IF(ISNUMBER(W196),ABS(W196-D198),"N/A"),"N/A")</f>
        <v/>
      </c>
      <c r="F198" s="15">
        <f>IFERROR(IF(ISNUMBER(D198),IF(ISNUMBER(W196),IF(ABS(W196-D198)&lt;=0.01,"PASS","FAIL"),"FAIL"),IF(NOT(ISNUMBER(W196)),IF(W196=D198,"PASS","FAIL"),"FAIL")),"FAIL")</f>
        <v/>
      </c>
    </row>
    <row r="199">
      <c r="B199" s="8" t="inlineStr">
        <is>
          <t>Analysis Period Basis</t>
        </is>
      </c>
      <c r="C199" s="16">
        <f>X196</f>
        <v/>
      </c>
      <c r="D199" s="30" t="inlineStr">
        <is>
          <t>per_month</t>
        </is>
      </c>
      <c r="E199" s="26">
        <f>IF(ISNUMBER(D199),IF(ISNUMBER(X196),ABS(X196-D199),"N/A"),"N/A")</f>
        <v/>
      </c>
      <c r="F199" s="15">
        <f>IFERROR(IF(ISNUMBER(D199),IF(ISNUMBER(X196),IF(ABS(X196-D199)&lt;=0.01,"PASS","FAIL"),"FAIL"),IF(NOT(ISNUMBER(X196)),IF(X196=D199,"PASS","FAIL"),"FAIL")),"FAIL")</f>
        <v/>
      </c>
    </row>
    <row r="200">
      <c r="B200" s="8" t="inlineStr">
        <is>
          <t>Module Status Tier</t>
        </is>
      </c>
      <c r="C200" s="16">
        <f>IF(OR(U196="ERROR",V196="ERROR",W196="ERROR"),"ERROR",IF(OR(U196="UNKNOWN",V196="UNKNOWN",W196="UNKNOWN"),"INCOMPLETE","OK"))</f>
        <v/>
      </c>
      <c r="D200" s="30" t="inlineStr">
        <is>
          <t>INCOMPLETE</t>
        </is>
      </c>
      <c r="F200" s="15">
        <f>IF(C200=D200,"PASS","FAIL")</f>
        <v/>
      </c>
    </row>
    <row r="201">
      <c r="B201" s="8" t="inlineStr">
        <is>
          <t>Primary Warning Code (diagnostic)</t>
        </is>
      </c>
      <c r="C201" s="16">
        <f>AA196</f>
        <v/>
      </c>
      <c r="D201" s="30" t="inlineStr">
        <is>
          <t>MISSING_DEPENDENCY</t>
        </is>
      </c>
      <c r="F201" s="15">
        <f>IF(AA196=D201,"PASS","FAIL")</f>
        <v/>
      </c>
    </row>
    <row r="202">
      <c r="B202" s="8" t="inlineStr">
        <is>
          <t>Self-Check: |Q_BEP × CMu − FC| ≤ tol</t>
        </is>
      </c>
      <c r="C202" s="36">
        <f>IF(NOT(ISNUMBER(W196)),"SKIP",IF(ABS(W196*U196-V196)&lt;=0.01,"PASS","FAIL"))</f>
        <v/>
      </c>
      <c r="D202" s="34" t="n"/>
      <c r="F202" s="15">
        <f>IF(C202="FAIL","FAIL","PASS")</f>
        <v/>
      </c>
    </row>
    <row r="204" ht="20" customHeight="1">
      <c r="B204" s="2" t="inlineStr">
        <is>
          <t>TC21. FC = 0, CM = 0</t>
        </is>
      </c>
      <c r="C204" s="7" t="n"/>
      <c r="D204" s="7" t="n"/>
      <c r="E204" s="7" t="n"/>
      <c r="F204" s="7" t="n"/>
    </row>
    <row r="205">
      <c r="B205" s="4" t="inlineStr">
        <is>
          <t>Metric</t>
        </is>
      </c>
      <c r="C205" s="4" t="inlineStr">
        <is>
          <t>Excel Result</t>
        </is>
      </c>
      <c r="D205" s="4" t="inlineStr">
        <is>
          <t>Python Reference</t>
        </is>
      </c>
      <c r="E205" s="4" t="inlineStr">
        <is>
          <t>Difference</t>
        </is>
      </c>
      <c r="F205" s="4" t="inlineStr">
        <is>
          <t>PASS / FAIL</t>
        </is>
      </c>
    </row>
    <row r="206">
      <c r="B206" s="8" t="inlineStr">
        <is>
          <t>Contribution Margin per Unit (CMu)</t>
        </is>
      </c>
      <c r="C206" s="25">
        <f>U206</f>
        <v/>
      </c>
      <c r="D206" s="21" t="n">
        <v>0</v>
      </c>
      <c r="E206" s="26">
        <f>IF(ISNUMBER(D206),IF(ISNUMBER(U206),ABS(U206-D206),"N/A"),"N/A")</f>
        <v/>
      </c>
      <c r="F206" s="15">
        <f>IFERROR(IF(ISNUMBER(D206),IF(ISNUMBER(U206),IF(ABS(U206-D206)&lt;=0.01,"PASS","FAIL"),"FAIL"),IF(NOT(ISNUMBER(U206)),IF(U206=D206,"PASS","FAIL"),"FAIL")),"FAIL")</f>
        <v/>
      </c>
      <c r="I206" t="n">
        <v>1000</v>
      </c>
      <c r="J206" t="b">
        <v>0</v>
      </c>
      <c r="L206" t="n">
        <v>600</v>
      </c>
      <c r="M206" t="n">
        <v>400</v>
      </c>
      <c r="N206" t="n">
        <v>0</v>
      </c>
      <c r="O206" t="n">
        <v>0</v>
      </c>
      <c r="P206" t="n">
        <v>0</v>
      </c>
      <c r="Q206" t="inlineStr">
        <is>
          <t>per_month</t>
        </is>
      </c>
      <c r="R206" t="inlineStr">
        <is>
          <t>component</t>
        </is>
      </c>
      <c r="S206" t="inlineStr">
        <is>
          <t>consistent</t>
        </is>
      </c>
      <c r="T206" t="n">
        <v>1</v>
      </c>
      <c r="U206">
        <f>IF($T$206&gt;1,"ERROR",IFERROR(IF(Y206="ERROR","ERROR",IF(OR(NOT(ISNUMBER(Y206)),ISBLANK($L$206),ISBLANK($M$206),ISBLANK($N$206),ISBLANK($O$206)),"UNKNOWN",IF($O$206&gt;0,IF(Z206="ERROR","ERROR",IF(NOT(ISNUMBER(Z206)),"UNKNOWN",Y206-$L$206-$M$206-$N$206*Y206-$O$206*Z206)),Y206-$L$206-$M$206-$N$206*Y206))),"ERROR"))</f>
        <v/>
      </c>
      <c r="V206">
        <f>IF($T$206&gt;1,"ERROR",IFERROR(IF($R$206="invalid_direct","ERROR",IF($S$206="inconsistent","ERROR",IF($R$206="none",0,IF(OR($R$206="unresolved",$R$206="blended_only"),"UNKNOWN",IF(ISBLANK($P$206),"UNKNOWN",IF($P$206&lt;0,"ERROR",$P$206)))))),"ERROR"))</f>
        <v/>
      </c>
      <c r="W206">
        <f>IF($T$206&gt;1,"ERROR",IFERROR(IF(OR(U206="ERROR",V206="ERROR"),"ERROR",IF(OR(NOT(ISNUMBER(U206)),NOT(ISNUMBER(V206))),"UNKNOWN",IF(U206&lt;=0,"NOT_APPLICABLE",V206/U206))),"ERROR"))</f>
        <v/>
      </c>
      <c r="X206">
        <f>IF($T$206&gt;1,"",IF(OR($R$206="invalid_direct",$S$206="inconsistent"),"",IF($R$206="none","",IF(OR($R$206="unresolved",$R$206="blended_only"),"",IF(ISBLANK($P$206),"",IF($P$206&lt;0,"",$Q$206))))))</f>
        <v/>
      </c>
      <c r="Y206">
        <f>IFERROR(IF(ISBLANK($I$206),"UNKNOWN",IF(ISBLANK($J$206),"UNKNOWN",IF($J$206=FALSE,$I$206,IF(ISBLANK($K$206),"UNKNOWN",$I$206/(1+$K$206))))),"ERROR")</f>
        <v/>
      </c>
      <c r="Z206">
        <f>IFERROR(IF(ISBLANK($I$206),"UNKNOWN",IF(ISBLANK($J$206),"UNKNOWN",IF($J$206=TRUE,$I$206,IF(ISBLANK($K$206),"UNKNOWN",$I$206*(1+$K$206))))),"ERROR")</f>
        <v/>
      </c>
      <c r="AA206">
        <f>IF($T$206&gt;1,"MULTI_COMPONENT_BEP_NOT_SUPPORTED",IF($R$206="invalid_direct","INVALID_ALLOCATION_CONFIGURATION",IF($S$206="inconsistent","INCONSISTENT_FIXED_COST_BASIS",IF(AND($R$206="component",NOT(ISBLANK($P$206)),$P$206&lt;0),"INVALID_NEGATIVE_COST",IF(U206="ERROR","CALCULATION_ERROR",IF($R$206="blended_only","FIXED_COST_BLENDED_ONLY_NOT_ALLOCATED",IF($R$206="unresolved","UNSUPPORTED_SHARED_COST_ALLOCATION",IF(NOT(ISNUMBER(U206)),"MISSING_DEPENDENCY",IF(AND($R$206="component",ISBLANK($P$206)),"MISSING_DEPENDENCY",IF(AND(U206=0,V206=0),"BREAK_EVEN_UNDEFINED_ZERO_MARGIN_ZERO_FIXED_COST",IF(U206=0,"BREAK_EVEN_UNDEFINED_ZERO_MARGIN",IF(U206&lt;0,"BREAK_EVEN_UNDEFINED_NEGATIVE_MARGIN","NONE"))))))))))))</f>
        <v/>
      </c>
    </row>
    <row r="207">
      <c r="B207" s="8" t="inlineStr">
        <is>
          <t>Fixed Operating Cost (FC)</t>
        </is>
      </c>
      <c r="C207" s="25">
        <f>V206</f>
        <v/>
      </c>
      <c r="D207" s="21" t="n">
        <v>0</v>
      </c>
      <c r="E207" s="26">
        <f>IF(ISNUMBER(D207),IF(ISNUMBER(V206),ABS(V206-D207),"N/A"),"N/A")</f>
        <v/>
      </c>
      <c r="F207" s="15">
        <f>IFERROR(IF(ISNUMBER(D207),IF(ISNUMBER(V206),IF(ABS(V206-D207)&lt;=0.01,"PASS","FAIL"),"FAIL"),IF(NOT(ISNUMBER(V206)),IF(V206=D207,"PASS","FAIL"),"FAIL")),"FAIL")</f>
        <v/>
      </c>
    </row>
    <row r="208">
      <c r="B208" s="8" t="inlineStr">
        <is>
          <t>Break-Even Quantity (Q_BEP)</t>
        </is>
      </c>
      <c r="C208" s="25">
        <f>W206</f>
        <v/>
      </c>
      <c r="D208" s="30" t="inlineStr">
        <is>
          <t>NOT_APPLICABLE</t>
        </is>
      </c>
      <c r="E208" s="26">
        <f>IF(ISNUMBER(D208),IF(ISNUMBER(W206),ABS(W206-D208),"N/A"),"N/A")</f>
        <v/>
      </c>
      <c r="F208" s="15">
        <f>IFERROR(IF(ISNUMBER(D208),IF(ISNUMBER(W206),IF(ABS(W206-D208)&lt;=0.01,"PASS","FAIL"),"FAIL"),IF(NOT(ISNUMBER(W206)),IF(W206=D208,"PASS","FAIL"),"FAIL")),"FAIL")</f>
        <v/>
      </c>
    </row>
    <row r="209">
      <c r="B209" s="8" t="inlineStr">
        <is>
          <t>Analysis Period Basis</t>
        </is>
      </c>
      <c r="C209" s="16">
        <f>X206</f>
        <v/>
      </c>
      <c r="D209" s="30" t="inlineStr">
        <is>
          <t>per_month</t>
        </is>
      </c>
      <c r="E209" s="26">
        <f>IF(ISNUMBER(D209),IF(ISNUMBER(X206),ABS(X206-D209),"N/A"),"N/A")</f>
        <v/>
      </c>
      <c r="F209" s="15">
        <f>IFERROR(IF(ISNUMBER(D209),IF(ISNUMBER(X206),IF(ABS(X206-D209)&lt;=0.01,"PASS","FAIL"),"FAIL"),IF(NOT(ISNUMBER(X206)),IF(X206=D209,"PASS","FAIL"),"FAIL")),"FAIL")</f>
        <v/>
      </c>
    </row>
    <row r="210">
      <c r="B210" s="8" t="inlineStr">
        <is>
          <t>Module Status Tier</t>
        </is>
      </c>
      <c r="C210" s="16">
        <f>IF(OR(U206="ERROR",V206="ERROR",W206="ERROR"),"ERROR",IF(OR(U206="UNKNOWN",V206="UNKNOWN",W206="UNKNOWN"),"INCOMPLETE","OK"))</f>
        <v/>
      </c>
      <c r="D210" s="30" t="inlineStr">
        <is>
          <t>OK</t>
        </is>
      </c>
      <c r="F210" s="15">
        <f>IF(C210=D210,"PASS","FAIL")</f>
        <v/>
      </c>
    </row>
    <row r="211">
      <c r="B211" s="8" t="inlineStr">
        <is>
          <t>Primary Warning Code (diagnostic)</t>
        </is>
      </c>
      <c r="C211" s="16">
        <f>AA206</f>
        <v/>
      </c>
      <c r="D211" s="30" t="inlineStr">
        <is>
          <t>BREAK_EVEN_UNDEFINED_ZERO_MARGIN_ZERO_FIXED_COST</t>
        </is>
      </c>
      <c r="F211" s="15">
        <f>IF(AA206=D211,"PASS","FAIL")</f>
        <v/>
      </c>
    </row>
    <row r="212">
      <c r="B212" s="8" t="inlineStr">
        <is>
          <t>Self-Check: |Q_BEP × CMu − FC| ≤ tol</t>
        </is>
      </c>
      <c r="C212" s="36">
        <f>IF(NOT(ISNUMBER(W206)),"SKIP",IF(ABS(W206*U206-V206)&lt;=0.01,"PASS","FAIL"))</f>
        <v/>
      </c>
      <c r="D212" s="34" t="n"/>
      <c r="F212" s="15">
        <f>IF(C212="FAIL","FAIL","PASS")</f>
        <v/>
      </c>
    </row>
    <row r="214" ht="20" customHeight="1">
      <c r="B214" s="2" t="inlineStr">
        <is>
          <t>TC22. FC = 0, CM &lt; 0</t>
        </is>
      </c>
      <c r="C214" s="7" t="n"/>
      <c r="D214" s="7" t="n"/>
      <c r="E214" s="7" t="n"/>
      <c r="F214" s="7" t="n"/>
    </row>
    <row r="215">
      <c r="B215" s="4" t="inlineStr">
        <is>
          <t>Metric</t>
        </is>
      </c>
      <c r="C215" s="4" t="inlineStr">
        <is>
          <t>Excel Result</t>
        </is>
      </c>
      <c r="D215" s="4" t="inlineStr">
        <is>
          <t>Python Reference</t>
        </is>
      </c>
      <c r="E215" s="4" t="inlineStr">
        <is>
          <t>Difference</t>
        </is>
      </c>
      <c r="F215" s="4" t="inlineStr">
        <is>
          <t>PASS / FAIL</t>
        </is>
      </c>
    </row>
    <row r="216">
      <c r="B216" s="8" t="inlineStr">
        <is>
          <t>Contribution Margin per Unit (CMu)</t>
        </is>
      </c>
      <c r="C216" s="25">
        <f>U216</f>
        <v/>
      </c>
      <c r="D216" s="21" t="n">
        <v>-100</v>
      </c>
      <c r="E216" s="26">
        <f>IF(ISNUMBER(D216),IF(ISNUMBER(U216),ABS(U216-D216),"N/A"),"N/A")</f>
        <v/>
      </c>
      <c r="F216" s="15">
        <f>IFERROR(IF(ISNUMBER(D216),IF(ISNUMBER(U216),IF(ABS(U216-D216)&lt;=0.01,"PASS","FAIL"),"FAIL"),IF(NOT(ISNUMBER(U216)),IF(U216=D216,"PASS","FAIL"),"FAIL")),"FAIL")</f>
        <v/>
      </c>
      <c r="I216" t="n">
        <v>1000</v>
      </c>
      <c r="J216" t="b">
        <v>0</v>
      </c>
      <c r="L216" t="n">
        <v>700</v>
      </c>
      <c r="M216" t="n">
        <v>400</v>
      </c>
      <c r="N216" t="n">
        <v>0</v>
      </c>
      <c r="O216" t="n">
        <v>0</v>
      </c>
      <c r="P216" t="n">
        <v>0</v>
      </c>
      <c r="Q216" t="inlineStr">
        <is>
          <t>per_month</t>
        </is>
      </c>
      <c r="R216" t="inlineStr">
        <is>
          <t>component</t>
        </is>
      </c>
      <c r="S216" t="inlineStr">
        <is>
          <t>consistent</t>
        </is>
      </c>
      <c r="T216" t="n">
        <v>1</v>
      </c>
      <c r="U216">
        <f>IF($T$216&gt;1,"ERROR",IFERROR(IF(Y216="ERROR","ERROR",IF(OR(NOT(ISNUMBER(Y216)),ISBLANK($L$216),ISBLANK($M$216),ISBLANK($N$216),ISBLANK($O$216)),"UNKNOWN",IF($O$216&gt;0,IF(Z216="ERROR","ERROR",IF(NOT(ISNUMBER(Z216)),"UNKNOWN",Y216-$L$216-$M$216-$N$216*Y216-$O$216*Z216)),Y216-$L$216-$M$216-$N$216*Y216))),"ERROR"))</f>
        <v/>
      </c>
      <c r="V216">
        <f>IF($T$216&gt;1,"ERROR",IFERROR(IF($R$216="invalid_direct","ERROR",IF($S$216="inconsistent","ERROR",IF($R$216="none",0,IF(OR($R$216="unresolved",$R$216="blended_only"),"UNKNOWN",IF(ISBLANK($P$216),"UNKNOWN",IF($P$216&lt;0,"ERROR",$P$216)))))),"ERROR"))</f>
        <v/>
      </c>
      <c r="W216">
        <f>IF($T$216&gt;1,"ERROR",IFERROR(IF(OR(U216="ERROR",V216="ERROR"),"ERROR",IF(OR(NOT(ISNUMBER(U216)),NOT(ISNUMBER(V216))),"UNKNOWN",IF(U216&lt;=0,"NOT_APPLICABLE",V216/U216))),"ERROR"))</f>
        <v/>
      </c>
      <c r="X216">
        <f>IF($T$216&gt;1,"",IF(OR($R$216="invalid_direct",$S$216="inconsistent"),"",IF($R$216="none","",IF(OR($R$216="unresolved",$R$216="blended_only"),"",IF(ISBLANK($P$216),"",IF($P$216&lt;0,"",$Q$216))))))</f>
        <v/>
      </c>
      <c r="Y216">
        <f>IFERROR(IF(ISBLANK($I$216),"UNKNOWN",IF(ISBLANK($J$216),"UNKNOWN",IF($J$216=FALSE,$I$216,IF(ISBLANK($K$216),"UNKNOWN",$I$216/(1+$K$216))))),"ERROR")</f>
        <v/>
      </c>
      <c r="Z216">
        <f>IFERROR(IF(ISBLANK($I$216),"UNKNOWN",IF(ISBLANK($J$216),"UNKNOWN",IF($J$216=TRUE,$I$216,IF(ISBLANK($K$216),"UNKNOWN",$I$216*(1+$K$216))))),"ERROR")</f>
        <v/>
      </c>
      <c r="AA216">
        <f>IF($T$216&gt;1,"MULTI_COMPONENT_BEP_NOT_SUPPORTED",IF($R$216="invalid_direct","INVALID_ALLOCATION_CONFIGURATION",IF($S$216="inconsistent","INCONSISTENT_FIXED_COST_BASIS",IF(AND($R$216="component",NOT(ISBLANK($P$216)),$P$216&lt;0),"INVALID_NEGATIVE_COST",IF(U216="ERROR","CALCULATION_ERROR",IF($R$216="blended_only","FIXED_COST_BLENDED_ONLY_NOT_ALLOCATED",IF($R$216="unresolved","UNSUPPORTED_SHARED_COST_ALLOCATION",IF(NOT(ISNUMBER(U216)),"MISSING_DEPENDENCY",IF(AND($R$216="component",ISBLANK($P$216)),"MISSING_DEPENDENCY",IF(AND(U216=0,V216=0),"BREAK_EVEN_UNDEFINED_ZERO_MARGIN_ZERO_FIXED_COST",IF(U216=0,"BREAK_EVEN_UNDEFINED_ZERO_MARGIN",IF(U216&lt;0,"BREAK_EVEN_UNDEFINED_NEGATIVE_MARGIN","NONE"))))))))))))</f>
        <v/>
      </c>
    </row>
    <row r="217">
      <c r="B217" s="8" t="inlineStr">
        <is>
          <t>Fixed Operating Cost (FC)</t>
        </is>
      </c>
      <c r="C217" s="25">
        <f>V216</f>
        <v/>
      </c>
      <c r="D217" s="21" t="n">
        <v>0</v>
      </c>
      <c r="E217" s="26">
        <f>IF(ISNUMBER(D217),IF(ISNUMBER(V216),ABS(V216-D217),"N/A"),"N/A")</f>
        <v/>
      </c>
      <c r="F217" s="15">
        <f>IFERROR(IF(ISNUMBER(D217),IF(ISNUMBER(V216),IF(ABS(V216-D217)&lt;=0.01,"PASS","FAIL"),"FAIL"),IF(NOT(ISNUMBER(V216)),IF(V216=D217,"PASS","FAIL"),"FAIL")),"FAIL")</f>
        <v/>
      </c>
    </row>
    <row r="218">
      <c r="B218" s="8" t="inlineStr">
        <is>
          <t>Break-Even Quantity (Q_BEP)</t>
        </is>
      </c>
      <c r="C218" s="25">
        <f>W216</f>
        <v/>
      </c>
      <c r="D218" s="30" t="inlineStr">
        <is>
          <t>NOT_APPLICABLE</t>
        </is>
      </c>
      <c r="E218" s="26">
        <f>IF(ISNUMBER(D218),IF(ISNUMBER(W216),ABS(W216-D218),"N/A"),"N/A")</f>
        <v/>
      </c>
      <c r="F218" s="15">
        <f>IFERROR(IF(ISNUMBER(D218),IF(ISNUMBER(W216),IF(ABS(W216-D218)&lt;=0.01,"PASS","FAIL"),"FAIL"),IF(NOT(ISNUMBER(W216)),IF(W216=D218,"PASS","FAIL"),"FAIL")),"FAIL")</f>
        <v/>
      </c>
    </row>
    <row r="219">
      <c r="B219" s="8" t="inlineStr">
        <is>
          <t>Analysis Period Basis</t>
        </is>
      </c>
      <c r="C219" s="16">
        <f>X216</f>
        <v/>
      </c>
      <c r="D219" s="30" t="inlineStr">
        <is>
          <t>per_month</t>
        </is>
      </c>
      <c r="E219" s="26">
        <f>IF(ISNUMBER(D219),IF(ISNUMBER(X216),ABS(X216-D219),"N/A"),"N/A")</f>
        <v/>
      </c>
      <c r="F219" s="15">
        <f>IFERROR(IF(ISNUMBER(D219),IF(ISNUMBER(X216),IF(ABS(X216-D219)&lt;=0.01,"PASS","FAIL"),"FAIL"),IF(NOT(ISNUMBER(X216)),IF(X216=D219,"PASS","FAIL"),"FAIL")),"FAIL")</f>
        <v/>
      </c>
    </row>
    <row r="220">
      <c r="B220" s="8" t="inlineStr">
        <is>
          <t>Module Status Tier</t>
        </is>
      </c>
      <c r="C220" s="16">
        <f>IF(OR(U216="ERROR",V216="ERROR",W216="ERROR"),"ERROR",IF(OR(U216="UNKNOWN",V216="UNKNOWN",W216="UNKNOWN"),"INCOMPLETE","OK"))</f>
        <v/>
      </c>
      <c r="D220" s="30" t="inlineStr">
        <is>
          <t>OK</t>
        </is>
      </c>
      <c r="F220" s="15">
        <f>IF(C220=D220,"PASS","FAIL")</f>
        <v/>
      </c>
    </row>
    <row r="221">
      <c r="B221" s="8" t="inlineStr">
        <is>
          <t>Primary Warning Code (diagnostic)</t>
        </is>
      </c>
      <c r="C221" s="16">
        <f>AA216</f>
        <v/>
      </c>
      <c r="D221" s="30" t="inlineStr">
        <is>
          <t>BREAK_EVEN_UNDEFINED_NEGATIVE_MARGIN</t>
        </is>
      </c>
      <c r="F221" s="15">
        <f>IF(AA216=D221,"PASS","FAIL")</f>
        <v/>
      </c>
    </row>
    <row r="222">
      <c r="B222" s="8" t="inlineStr">
        <is>
          <t>Self-Check: |Q_BEP × CMu − FC| ≤ tol</t>
        </is>
      </c>
      <c r="C222" s="36">
        <f>IF(NOT(ISNUMBER(W216)),"SKIP",IF(ABS(W216*U216-V216)&lt;=0.01,"PASS","FAIL"))</f>
        <v/>
      </c>
      <c r="D222" s="34" t="n"/>
      <c r="F222" s="15">
        <f>IF(C222="FAIL","FAIL","PASS")</f>
        <v/>
      </c>
    </row>
    <row r="224" ht="20" customHeight="1">
      <c r="B224" s="2" t="inlineStr">
        <is>
          <t>TC23. Negative fixed-cost amount</t>
        </is>
      </c>
      <c r="C224" s="7" t="n"/>
      <c r="D224" s="7" t="n"/>
      <c r="E224" s="7" t="n"/>
      <c r="F224" s="7" t="n"/>
    </row>
    <row r="225">
      <c r="B225" s="4" t="inlineStr">
        <is>
          <t>Metric</t>
        </is>
      </c>
      <c r="C225" s="4" t="inlineStr">
        <is>
          <t>Excel Result</t>
        </is>
      </c>
      <c r="D225" s="4" t="inlineStr">
        <is>
          <t>Python Reference</t>
        </is>
      </c>
      <c r="E225" s="4" t="inlineStr">
        <is>
          <t>Difference</t>
        </is>
      </c>
      <c r="F225" s="4" t="inlineStr">
        <is>
          <t>PASS / FAIL</t>
        </is>
      </c>
    </row>
    <row r="226">
      <c r="B226" s="8" t="inlineStr">
        <is>
          <t>Contribution Margin per Unit (CMu)</t>
        </is>
      </c>
      <c r="C226" s="25">
        <f>U226</f>
        <v/>
      </c>
      <c r="D226" s="21" t="n">
        <v>500</v>
      </c>
      <c r="E226" s="26">
        <f>IF(ISNUMBER(D226),IF(ISNUMBER(U226),ABS(U226-D226),"N/A"),"N/A")</f>
        <v/>
      </c>
      <c r="F226" s="15">
        <f>IFERROR(IF(ISNUMBER(D226),IF(ISNUMBER(U226),IF(ABS(U226-D226)&lt;=0.01,"PASS","FAIL"),"FAIL"),IF(NOT(ISNUMBER(U226)),IF(U226=D226,"PASS","FAIL"),"FAIL")),"FAIL")</f>
        <v/>
      </c>
      <c r="I226" t="n">
        <v>1000</v>
      </c>
      <c r="J226" t="b">
        <v>0</v>
      </c>
      <c r="L226" t="n">
        <v>400</v>
      </c>
      <c r="M226" t="n">
        <v>100</v>
      </c>
      <c r="N226" t="n">
        <v>0</v>
      </c>
      <c r="O226" t="n">
        <v>0</v>
      </c>
      <c r="P226" t="n">
        <v>-10000</v>
      </c>
      <c r="Q226" t="inlineStr">
        <is>
          <t>per_month</t>
        </is>
      </c>
      <c r="R226" t="inlineStr">
        <is>
          <t>component</t>
        </is>
      </c>
      <c r="S226" t="inlineStr">
        <is>
          <t>consistent</t>
        </is>
      </c>
      <c r="T226" t="n">
        <v>1</v>
      </c>
      <c r="U226">
        <f>IF($T$226&gt;1,"ERROR",IFERROR(IF(Y226="ERROR","ERROR",IF(OR(NOT(ISNUMBER(Y226)),ISBLANK($L$226),ISBLANK($M$226),ISBLANK($N$226),ISBLANK($O$226)),"UNKNOWN",IF($O$226&gt;0,IF(Z226="ERROR","ERROR",IF(NOT(ISNUMBER(Z226)),"UNKNOWN",Y226-$L$226-$M$226-$N$226*Y226-$O$226*Z226)),Y226-$L$226-$M$226-$N$226*Y226))),"ERROR"))</f>
        <v/>
      </c>
      <c r="V226">
        <f>IF($T$226&gt;1,"ERROR",IFERROR(IF($R$226="invalid_direct","ERROR",IF($S$226="inconsistent","ERROR",IF($R$226="none",0,IF(OR($R$226="unresolved",$R$226="blended_only"),"UNKNOWN",IF(ISBLANK($P$226),"UNKNOWN",IF($P$226&lt;0,"ERROR",$P$226)))))),"ERROR"))</f>
        <v/>
      </c>
      <c r="W226">
        <f>IF($T$226&gt;1,"ERROR",IFERROR(IF(OR(U226="ERROR",V226="ERROR"),"ERROR",IF(OR(NOT(ISNUMBER(U226)),NOT(ISNUMBER(V226))),"UNKNOWN",IF(U226&lt;=0,"NOT_APPLICABLE",V226/U226))),"ERROR"))</f>
        <v/>
      </c>
      <c r="X226">
        <f>IF($T$226&gt;1,"",IF(OR($R$226="invalid_direct",$S$226="inconsistent"),"",IF($R$226="none","",IF(OR($R$226="unresolved",$R$226="blended_only"),"",IF(ISBLANK($P$226),"",IF($P$226&lt;0,"",$Q$226))))))</f>
        <v/>
      </c>
      <c r="Y226">
        <f>IFERROR(IF(ISBLANK($I$226),"UNKNOWN",IF(ISBLANK($J$226),"UNKNOWN",IF($J$226=FALSE,$I$226,IF(ISBLANK($K$226),"UNKNOWN",$I$226/(1+$K$226))))),"ERROR")</f>
        <v/>
      </c>
      <c r="Z226">
        <f>IFERROR(IF(ISBLANK($I$226),"UNKNOWN",IF(ISBLANK($J$226),"UNKNOWN",IF($J$226=TRUE,$I$226,IF(ISBLANK($K$226),"UNKNOWN",$I$226*(1+$K$226))))),"ERROR")</f>
        <v/>
      </c>
      <c r="AA226">
        <f>IF($T$226&gt;1,"MULTI_COMPONENT_BEP_NOT_SUPPORTED",IF($R$226="invalid_direct","INVALID_ALLOCATION_CONFIGURATION",IF($S$226="inconsistent","INCONSISTENT_FIXED_COST_BASIS",IF(AND($R$226="component",NOT(ISBLANK($P$226)),$P$226&lt;0),"INVALID_NEGATIVE_COST",IF(U226="ERROR","CALCULATION_ERROR",IF($R$226="blended_only","FIXED_COST_BLENDED_ONLY_NOT_ALLOCATED",IF($R$226="unresolved","UNSUPPORTED_SHARED_COST_ALLOCATION",IF(NOT(ISNUMBER(U226)),"MISSING_DEPENDENCY",IF(AND($R$226="component",ISBLANK($P$226)),"MISSING_DEPENDENCY",IF(AND(U226=0,V226=0),"BREAK_EVEN_UNDEFINED_ZERO_MARGIN_ZERO_FIXED_COST",IF(U226=0,"BREAK_EVEN_UNDEFINED_ZERO_MARGIN",IF(U226&lt;0,"BREAK_EVEN_UNDEFINED_NEGATIVE_MARGIN","NONE"))))))))))))</f>
        <v/>
      </c>
    </row>
    <row r="227">
      <c r="B227" s="8" t="inlineStr">
        <is>
          <t>Fixed Operating Cost (FC)</t>
        </is>
      </c>
      <c r="C227" s="25">
        <f>V226</f>
        <v/>
      </c>
      <c r="D227" s="30" t="inlineStr">
        <is>
          <t>ERROR</t>
        </is>
      </c>
      <c r="E227" s="26">
        <f>IF(ISNUMBER(D227),IF(ISNUMBER(V226),ABS(V226-D227),"N/A"),"N/A")</f>
        <v/>
      </c>
      <c r="F227" s="15">
        <f>IFERROR(IF(ISNUMBER(D227),IF(ISNUMBER(V226),IF(ABS(V226-D227)&lt;=0.01,"PASS","FAIL"),"FAIL"),IF(NOT(ISNUMBER(V226)),IF(V226=D227,"PASS","FAIL"),"FAIL")),"FAIL")</f>
        <v/>
      </c>
    </row>
    <row r="228">
      <c r="B228" s="8" t="inlineStr">
        <is>
          <t>Break-Even Quantity (Q_BEP)</t>
        </is>
      </c>
      <c r="C228" s="25">
        <f>W226</f>
        <v/>
      </c>
      <c r="D228" s="30" t="inlineStr">
        <is>
          <t>ERROR</t>
        </is>
      </c>
      <c r="E228" s="26">
        <f>IF(ISNUMBER(D228),IF(ISNUMBER(W226),ABS(W226-D228),"N/A"),"N/A")</f>
        <v/>
      </c>
      <c r="F228" s="15">
        <f>IFERROR(IF(ISNUMBER(D228),IF(ISNUMBER(W226),IF(ABS(W226-D228)&lt;=0.01,"PASS","FAIL"),"FAIL"),IF(NOT(ISNUMBER(W226)),IF(W226=D228,"PASS","FAIL"),"FAIL")),"FAIL")</f>
        <v/>
      </c>
    </row>
    <row r="229">
      <c r="B229" s="8" t="inlineStr">
        <is>
          <t>Analysis Period Basis</t>
        </is>
      </c>
      <c r="C229" s="16">
        <f>X226</f>
        <v/>
      </c>
      <c r="D229" s="30" t="inlineStr"/>
      <c r="E229" s="26">
        <f>IF(ISNUMBER(D229),IF(ISNUMBER(X226),ABS(X226-D229),"N/A"),"N/A")</f>
        <v/>
      </c>
      <c r="F229" s="15">
        <f>IFERROR(IF(ISNUMBER(D229),IF(ISNUMBER(X226),IF(ABS(X226-D229)&lt;=0.01,"PASS","FAIL"),"FAIL"),IF(NOT(ISNUMBER(X226)),IF(X226=D229,"PASS","FAIL"),"FAIL")),"FAIL")</f>
        <v/>
      </c>
    </row>
    <row r="230">
      <c r="B230" s="8" t="inlineStr">
        <is>
          <t>Module Status Tier</t>
        </is>
      </c>
      <c r="C230" s="16">
        <f>IF(OR(U226="ERROR",V226="ERROR",W226="ERROR"),"ERROR",IF(OR(U226="UNKNOWN",V226="UNKNOWN",W226="UNKNOWN"),"INCOMPLETE","OK"))</f>
        <v/>
      </c>
      <c r="D230" s="30" t="inlineStr">
        <is>
          <t>ERROR</t>
        </is>
      </c>
      <c r="F230" s="15">
        <f>IF(C230=D230,"PASS","FAIL")</f>
        <v/>
      </c>
    </row>
    <row r="231">
      <c r="B231" s="8" t="inlineStr">
        <is>
          <t>Primary Warning Code (diagnostic)</t>
        </is>
      </c>
      <c r="C231" s="16">
        <f>AA226</f>
        <v/>
      </c>
      <c r="D231" s="30" t="inlineStr">
        <is>
          <t>INVALID_NEGATIVE_COST</t>
        </is>
      </c>
      <c r="F231" s="15">
        <f>IF(AA226=D231,"PASS","FAIL")</f>
        <v/>
      </c>
    </row>
    <row r="232">
      <c r="B232" s="8" t="inlineStr">
        <is>
          <t>Self-Check: |Q_BEP × CMu − FC| ≤ tol</t>
        </is>
      </c>
      <c r="C232" s="36">
        <f>IF(NOT(ISNUMBER(W226)),"SKIP",IF(ABS(W226*U226-V226)&lt;=0.01,"PASS","FAIL"))</f>
        <v/>
      </c>
      <c r="D232" s="34" t="n"/>
      <c r="F232" s="15">
        <f>IF(C232="FAIL","FAIL","PASS")</f>
        <v/>
      </c>
    </row>
    <row r="234" ht="20" customHeight="1">
      <c r="B234" s="2" t="inlineStr">
        <is>
          <t>TC24. Inconsistent fixed-cost basis</t>
        </is>
      </c>
      <c r="C234" s="7" t="n"/>
      <c r="D234" s="7" t="n"/>
      <c r="E234" s="7" t="n"/>
      <c r="F234" s="7" t="n"/>
    </row>
    <row r="235">
      <c r="B235" s="4" t="inlineStr">
        <is>
          <t>Metric</t>
        </is>
      </c>
      <c r="C235" s="4" t="inlineStr">
        <is>
          <t>Excel Result</t>
        </is>
      </c>
      <c r="D235" s="4" t="inlineStr">
        <is>
          <t>Python Reference</t>
        </is>
      </c>
      <c r="E235" s="4" t="inlineStr">
        <is>
          <t>Difference</t>
        </is>
      </c>
      <c r="F235" s="4" t="inlineStr">
        <is>
          <t>PASS / FAIL</t>
        </is>
      </c>
    </row>
    <row r="236">
      <c r="B236" s="8" t="inlineStr">
        <is>
          <t>Contribution Margin per Unit (CMu)</t>
        </is>
      </c>
      <c r="C236" s="25">
        <f>U236</f>
        <v/>
      </c>
      <c r="D236" s="21" t="n">
        <v>500</v>
      </c>
      <c r="E236" s="26">
        <f>IF(ISNUMBER(D236),IF(ISNUMBER(U236),ABS(U236-D236),"N/A"),"N/A")</f>
        <v/>
      </c>
      <c r="F236" s="15">
        <f>IFERROR(IF(ISNUMBER(D236),IF(ISNUMBER(U236),IF(ABS(U236-D236)&lt;=0.01,"PASS","FAIL"),"FAIL"),IF(NOT(ISNUMBER(U236)),IF(U236=D236,"PASS","FAIL"),"FAIL")),"FAIL")</f>
        <v/>
      </c>
      <c r="I236" t="n">
        <v>1000</v>
      </c>
      <c r="J236" t="b">
        <v>0</v>
      </c>
      <c r="L236" t="n">
        <v>400</v>
      </c>
      <c r="M236" t="n">
        <v>100</v>
      </c>
      <c r="N236" t="n">
        <v>0</v>
      </c>
      <c r="O236" t="n">
        <v>0</v>
      </c>
      <c r="P236" t="n">
        <v>50000</v>
      </c>
      <c r="Q236" t="inlineStr">
        <is>
          <t>per_month</t>
        </is>
      </c>
      <c r="R236" t="inlineStr">
        <is>
          <t>component</t>
        </is>
      </c>
      <c r="S236" t="inlineStr">
        <is>
          <t>inconsistent</t>
        </is>
      </c>
      <c r="T236" t="n">
        <v>1</v>
      </c>
      <c r="U236">
        <f>IF($T$236&gt;1,"ERROR",IFERROR(IF(Y236="ERROR","ERROR",IF(OR(NOT(ISNUMBER(Y236)),ISBLANK($L$236),ISBLANK($M$236),ISBLANK($N$236),ISBLANK($O$236)),"UNKNOWN",IF($O$236&gt;0,IF(Z236="ERROR","ERROR",IF(NOT(ISNUMBER(Z236)),"UNKNOWN",Y236-$L$236-$M$236-$N$236*Y236-$O$236*Z236)),Y236-$L$236-$M$236-$N$236*Y236))),"ERROR"))</f>
        <v/>
      </c>
      <c r="V236">
        <f>IF($T$236&gt;1,"ERROR",IFERROR(IF($R$236="invalid_direct","ERROR",IF($S$236="inconsistent","ERROR",IF($R$236="none",0,IF(OR($R$236="unresolved",$R$236="blended_only"),"UNKNOWN",IF(ISBLANK($P$236),"UNKNOWN",IF($P$236&lt;0,"ERROR",$P$236)))))),"ERROR"))</f>
        <v/>
      </c>
      <c r="W236">
        <f>IF($T$236&gt;1,"ERROR",IFERROR(IF(OR(U236="ERROR",V236="ERROR"),"ERROR",IF(OR(NOT(ISNUMBER(U236)),NOT(ISNUMBER(V236))),"UNKNOWN",IF(U236&lt;=0,"NOT_APPLICABLE",V236/U236))),"ERROR"))</f>
        <v/>
      </c>
      <c r="X236">
        <f>IF($T$236&gt;1,"",IF(OR($R$236="invalid_direct",$S$236="inconsistent"),"",IF($R$236="none","",IF(OR($R$236="unresolved",$R$236="blended_only"),"",IF(ISBLANK($P$236),"",IF($P$236&lt;0,"",$Q$236))))))</f>
        <v/>
      </c>
      <c r="Y236">
        <f>IFERROR(IF(ISBLANK($I$236),"UNKNOWN",IF(ISBLANK($J$236),"UNKNOWN",IF($J$236=FALSE,$I$236,IF(ISBLANK($K$236),"UNKNOWN",$I$236/(1+$K$236))))),"ERROR")</f>
        <v/>
      </c>
      <c r="Z236">
        <f>IFERROR(IF(ISBLANK($I$236),"UNKNOWN",IF(ISBLANK($J$236),"UNKNOWN",IF($J$236=TRUE,$I$236,IF(ISBLANK($K$236),"UNKNOWN",$I$236*(1+$K$236))))),"ERROR")</f>
        <v/>
      </c>
      <c r="AA236">
        <f>IF($T$236&gt;1,"MULTI_COMPONENT_BEP_NOT_SUPPORTED",IF($R$236="invalid_direct","INVALID_ALLOCATION_CONFIGURATION",IF($S$236="inconsistent","INCONSISTENT_FIXED_COST_BASIS",IF(AND($R$236="component",NOT(ISBLANK($P$236)),$P$236&lt;0),"INVALID_NEGATIVE_COST",IF(U236="ERROR","CALCULATION_ERROR",IF($R$236="blended_only","FIXED_COST_BLENDED_ONLY_NOT_ALLOCATED",IF($R$236="unresolved","UNSUPPORTED_SHARED_COST_ALLOCATION",IF(NOT(ISNUMBER(U236)),"MISSING_DEPENDENCY",IF(AND($R$236="component",ISBLANK($P$236)),"MISSING_DEPENDENCY",IF(AND(U236=0,V236=0),"BREAK_EVEN_UNDEFINED_ZERO_MARGIN_ZERO_FIXED_COST",IF(U236=0,"BREAK_EVEN_UNDEFINED_ZERO_MARGIN",IF(U236&lt;0,"BREAK_EVEN_UNDEFINED_NEGATIVE_MARGIN","NONE"))))))))))))</f>
        <v/>
      </c>
    </row>
    <row r="237">
      <c r="B237" s="8" t="inlineStr">
        <is>
          <t>Fixed Operating Cost (FC)</t>
        </is>
      </c>
      <c r="C237" s="25">
        <f>V236</f>
        <v/>
      </c>
      <c r="D237" s="30" t="inlineStr">
        <is>
          <t>ERROR</t>
        </is>
      </c>
      <c r="E237" s="26">
        <f>IF(ISNUMBER(D237),IF(ISNUMBER(V236),ABS(V236-D237),"N/A"),"N/A")</f>
        <v/>
      </c>
      <c r="F237" s="15">
        <f>IFERROR(IF(ISNUMBER(D237),IF(ISNUMBER(V236),IF(ABS(V236-D237)&lt;=0.01,"PASS","FAIL"),"FAIL"),IF(NOT(ISNUMBER(V236)),IF(V236=D237,"PASS","FAIL"),"FAIL")),"FAIL")</f>
        <v/>
      </c>
    </row>
    <row r="238">
      <c r="B238" s="8" t="inlineStr">
        <is>
          <t>Break-Even Quantity (Q_BEP)</t>
        </is>
      </c>
      <c r="C238" s="25">
        <f>W236</f>
        <v/>
      </c>
      <c r="D238" s="30" t="inlineStr">
        <is>
          <t>ERROR</t>
        </is>
      </c>
      <c r="E238" s="26">
        <f>IF(ISNUMBER(D238),IF(ISNUMBER(W236),ABS(W236-D238),"N/A"),"N/A")</f>
        <v/>
      </c>
      <c r="F238" s="15">
        <f>IFERROR(IF(ISNUMBER(D238),IF(ISNUMBER(W236),IF(ABS(W236-D238)&lt;=0.01,"PASS","FAIL"),"FAIL"),IF(NOT(ISNUMBER(W236)),IF(W236=D238,"PASS","FAIL"),"FAIL")),"FAIL")</f>
        <v/>
      </c>
    </row>
    <row r="239">
      <c r="B239" s="8" t="inlineStr">
        <is>
          <t>Analysis Period Basis</t>
        </is>
      </c>
      <c r="C239" s="16">
        <f>X236</f>
        <v/>
      </c>
      <c r="D239" s="30" t="inlineStr"/>
      <c r="E239" s="26">
        <f>IF(ISNUMBER(D239),IF(ISNUMBER(X236),ABS(X236-D239),"N/A"),"N/A")</f>
        <v/>
      </c>
      <c r="F239" s="15">
        <f>IFERROR(IF(ISNUMBER(D239),IF(ISNUMBER(X236),IF(ABS(X236-D239)&lt;=0.01,"PASS","FAIL"),"FAIL"),IF(NOT(ISNUMBER(X236)),IF(X236=D239,"PASS","FAIL"),"FAIL")),"FAIL")</f>
        <v/>
      </c>
    </row>
    <row r="240">
      <c r="B240" s="8" t="inlineStr">
        <is>
          <t>Module Status Tier</t>
        </is>
      </c>
      <c r="C240" s="16">
        <f>IF(OR(U236="ERROR",V236="ERROR",W236="ERROR"),"ERROR",IF(OR(U236="UNKNOWN",V236="UNKNOWN",W236="UNKNOWN"),"INCOMPLETE","OK"))</f>
        <v/>
      </c>
      <c r="D240" s="30" t="inlineStr">
        <is>
          <t>ERROR</t>
        </is>
      </c>
      <c r="F240" s="15">
        <f>IF(C240=D240,"PASS","FAIL")</f>
        <v/>
      </c>
    </row>
    <row r="241">
      <c r="B241" s="8" t="inlineStr">
        <is>
          <t>Primary Warning Code (diagnostic)</t>
        </is>
      </c>
      <c r="C241" s="16">
        <f>AA236</f>
        <v/>
      </c>
      <c r="D241" s="30" t="inlineStr">
        <is>
          <t>INCONSISTENT_FIXED_COST_BASIS</t>
        </is>
      </c>
      <c r="F241" s="15">
        <f>IF(AA236=D241,"PASS","FAIL")</f>
        <v/>
      </c>
    </row>
    <row r="242">
      <c r="B242" s="8" t="inlineStr">
        <is>
          <t>Self-Check: |Q_BEP × CMu − FC| ≤ tol</t>
        </is>
      </c>
      <c r="C242" s="36">
        <f>IF(NOT(ISNUMBER(W236)),"SKIP",IF(ABS(W236*U236-V236)&lt;=0.01,"PASS","FAIL"))</f>
        <v/>
      </c>
      <c r="D242" s="34" t="n"/>
      <c r="F242" s="15">
        <f>IF(C242="FAIL","FAIL","PASS")</f>
        <v/>
      </c>
    </row>
    <row r="244" ht="20" customHeight="1">
      <c r="B244" s="2" t="inlineStr">
        <is>
          <t>TC25. NOT_APPLICABLE keeps module status OK</t>
        </is>
      </c>
      <c r="C244" s="7" t="n"/>
      <c r="D244" s="7" t="n"/>
      <c r="E244" s="7" t="n"/>
      <c r="F244" s="7" t="n"/>
    </row>
    <row r="245">
      <c r="B245" s="4" t="inlineStr">
        <is>
          <t>Metric</t>
        </is>
      </c>
      <c r="C245" s="4" t="inlineStr">
        <is>
          <t>Excel Result</t>
        </is>
      </c>
      <c r="D245" s="4" t="inlineStr">
        <is>
          <t>Python Reference</t>
        </is>
      </c>
      <c r="E245" s="4" t="inlineStr">
        <is>
          <t>Difference</t>
        </is>
      </c>
      <c r="F245" s="4" t="inlineStr">
        <is>
          <t>PASS / FAIL</t>
        </is>
      </c>
    </row>
    <row r="246">
      <c r="B246" s="8" t="inlineStr">
        <is>
          <t>Contribution Margin per Unit (CMu)</t>
        </is>
      </c>
      <c r="C246" s="25">
        <f>U246</f>
        <v/>
      </c>
      <c r="D246" s="21" t="n">
        <v>-100</v>
      </c>
      <c r="E246" s="26">
        <f>IF(ISNUMBER(D246),IF(ISNUMBER(U246),ABS(U246-D246),"N/A"),"N/A")</f>
        <v/>
      </c>
      <c r="F246" s="15">
        <f>IFERROR(IF(ISNUMBER(D246),IF(ISNUMBER(U246),IF(ABS(U246-D246)&lt;=0.01,"PASS","FAIL"),"FAIL"),IF(NOT(ISNUMBER(U246)),IF(U246=D246,"PASS","FAIL"),"FAIL")),"FAIL")</f>
        <v/>
      </c>
      <c r="I246" t="n">
        <v>1000</v>
      </c>
      <c r="J246" t="b">
        <v>0</v>
      </c>
      <c r="L246" t="n">
        <v>700</v>
      </c>
      <c r="M246" t="n">
        <v>400</v>
      </c>
      <c r="N246" t="n">
        <v>0</v>
      </c>
      <c r="O246" t="n">
        <v>0</v>
      </c>
      <c r="P246" t="n">
        <v>50000</v>
      </c>
      <c r="Q246" t="inlineStr">
        <is>
          <t>per_month</t>
        </is>
      </c>
      <c r="R246" t="inlineStr">
        <is>
          <t>component</t>
        </is>
      </c>
      <c r="S246" t="inlineStr">
        <is>
          <t>consistent</t>
        </is>
      </c>
      <c r="T246" t="n">
        <v>1</v>
      </c>
      <c r="U246">
        <f>IF($T$246&gt;1,"ERROR",IFERROR(IF(Y246="ERROR","ERROR",IF(OR(NOT(ISNUMBER(Y246)),ISBLANK($L$246),ISBLANK($M$246),ISBLANK($N$246),ISBLANK($O$246)),"UNKNOWN",IF($O$246&gt;0,IF(Z246="ERROR","ERROR",IF(NOT(ISNUMBER(Z246)),"UNKNOWN",Y246-$L$246-$M$246-$N$246*Y246-$O$246*Z246)),Y246-$L$246-$M$246-$N$246*Y246))),"ERROR"))</f>
        <v/>
      </c>
      <c r="V246">
        <f>IF($T$246&gt;1,"ERROR",IFERROR(IF($R$246="invalid_direct","ERROR",IF($S$246="inconsistent","ERROR",IF($R$246="none",0,IF(OR($R$246="unresolved",$R$246="blended_only"),"UNKNOWN",IF(ISBLANK($P$246),"UNKNOWN",IF($P$246&lt;0,"ERROR",$P$246)))))),"ERROR"))</f>
        <v/>
      </c>
      <c r="W246">
        <f>IF($T$246&gt;1,"ERROR",IFERROR(IF(OR(U246="ERROR",V246="ERROR"),"ERROR",IF(OR(NOT(ISNUMBER(U246)),NOT(ISNUMBER(V246))),"UNKNOWN",IF(U246&lt;=0,"NOT_APPLICABLE",V246/U246))),"ERROR"))</f>
        <v/>
      </c>
      <c r="X246">
        <f>IF($T$246&gt;1,"",IF(OR($R$246="invalid_direct",$S$246="inconsistent"),"",IF($R$246="none","",IF(OR($R$246="unresolved",$R$246="blended_only"),"",IF(ISBLANK($P$246),"",IF($P$246&lt;0,"",$Q$246))))))</f>
        <v/>
      </c>
      <c r="Y246">
        <f>IFERROR(IF(ISBLANK($I$246),"UNKNOWN",IF(ISBLANK($J$246),"UNKNOWN",IF($J$246=FALSE,$I$246,IF(ISBLANK($K$246),"UNKNOWN",$I$246/(1+$K$246))))),"ERROR")</f>
        <v/>
      </c>
      <c r="Z246">
        <f>IFERROR(IF(ISBLANK($I$246),"UNKNOWN",IF(ISBLANK($J$246),"UNKNOWN",IF($J$246=TRUE,$I$246,IF(ISBLANK($K$246),"UNKNOWN",$I$246*(1+$K$246))))),"ERROR")</f>
        <v/>
      </c>
      <c r="AA246">
        <f>IF($T$246&gt;1,"MULTI_COMPONENT_BEP_NOT_SUPPORTED",IF($R$246="invalid_direct","INVALID_ALLOCATION_CONFIGURATION",IF($S$246="inconsistent","INCONSISTENT_FIXED_COST_BASIS",IF(AND($R$246="component",NOT(ISBLANK($P$246)),$P$246&lt;0),"INVALID_NEGATIVE_COST",IF(U246="ERROR","CALCULATION_ERROR",IF($R$246="blended_only","FIXED_COST_BLENDED_ONLY_NOT_ALLOCATED",IF($R$246="unresolved","UNSUPPORTED_SHARED_COST_ALLOCATION",IF(NOT(ISNUMBER(U246)),"MISSING_DEPENDENCY",IF(AND($R$246="component",ISBLANK($P$246)),"MISSING_DEPENDENCY",IF(AND(U246=0,V246=0),"BREAK_EVEN_UNDEFINED_ZERO_MARGIN_ZERO_FIXED_COST",IF(U246=0,"BREAK_EVEN_UNDEFINED_ZERO_MARGIN",IF(U246&lt;0,"BREAK_EVEN_UNDEFINED_NEGATIVE_MARGIN","NONE"))))))))))))</f>
        <v/>
      </c>
    </row>
    <row r="247">
      <c r="B247" s="8" t="inlineStr">
        <is>
          <t>Fixed Operating Cost (FC)</t>
        </is>
      </c>
      <c r="C247" s="25">
        <f>V246</f>
        <v/>
      </c>
      <c r="D247" s="21" t="n">
        <v>50000</v>
      </c>
      <c r="E247" s="26">
        <f>IF(ISNUMBER(D247),IF(ISNUMBER(V246),ABS(V246-D247),"N/A"),"N/A")</f>
        <v/>
      </c>
      <c r="F247" s="15">
        <f>IFERROR(IF(ISNUMBER(D247),IF(ISNUMBER(V246),IF(ABS(V246-D247)&lt;=0.01,"PASS","FAIL"),"FAIL"),IF(NOT(ISNUMBER(V246)),IF(V246=D247,"PASS","FAIL"),"FAIL")),"FAIL")</f>
        <v/>
      </c>
    </row>
    <row r="248">
      <c r="B248" s="8" t="inlineStr">
        <is>
          <t>Break-Even Quantity (Q_BEP)</t>
        </is>
      </c>
      <c r="C248" s="25">
        <f>W246</f>
        <v/>
      </c>
      <c r="D248" s="30" t="inlineStr">
        <is>
          <t>NOT_APPLICABLE</t>
        </is>
      </c>
      <c r="E248" s="26">
        <f>IF(ISNUMBER(D248),IF(ISNUMBER(W246),ABS(W246-D248),"N/A"),"N/A")</f>
        <v/>
      </c>
      <c r="F248" s="15">
        <f>IFERROR(IF(ISNUMBER(D248),IF(ISNUMBER(W246),IF(ABS(W246-D248)&lt;=0.01,"PASS","FAIL"),"FAIL"),IF(NOT(ISNUMBER(W246)),IF(W246=D248,"PASS","FAIL"),"FAIL")),"FAIL")</f>
        <v/>
      </c>
    </row>
    <row r="249">
      <c r="B249" s="8" t="inlineStr">
        <is>
          <t>Analysis Period Basis</t>
        </is>
      </c>
      <c r="C249" s="16">
        <f>X246</f>
        <v/>
      </c>
      <c r="D249" s="30" t="inlineStr">
        <is>
          <t>per_month</t>
        </is>
      </c>
      <c r="E249" s="26">
        <f>IF(ISNUMBER(D249),IF(ISNUMBER(X246),ABS(X246-D249),"N/A"),"N/A")</f>
        <v/>
      </c>
      <c r="F249" s="15">
        <f>IFERROR(IF(ISNUMBER(D249),IF(ISNUMBER(X246),IF(ABS(X246-D249)&lt;=0.01,"PASS","FAIL"),"FAIL"),IF(NOT(ISNUMBER(X246)),IF(X246=D249,"PASS","FAIL"),"FAIL")),"FAIL")</f>
        <v/>
      </c>
    </row>
    <row r="250">
      <c r="B250" s="8" t="inlineStr">
        <is>
          <t>Module Status Tier</t>
        </is>
      </c>
      <c r="C250" s="16">
        <f>IF(OR(U246="ERROR",V246="ERROR",W246="ERROR"),"ERROR",IF(OR(U246="UNKNOWN",V246="UNKNOWN",W246="UNKNOWN"),"INCOMPLETE","OK"))</f>
        <v/>
      </c>
      <c r="D250" s="30" t="inlineStr">
        <is>
          <t>OK</t>
        </is>
      </c>
      <c r="F250" s="15">
        <f>IF(C250=D250,"PASS","FAIL")</f>
        <v/>
      </c>
    </row>
    <row r="251">
      <c r="B251" s="8" t="inlineStr">
        <is>
          <t>Primary Warning Code (diagnostic)</t>
        </is>
      </c>
      <c r="C251" s="16">
        <f>AA246</f>
        <v/>
      </c>
      <c r="D251" s="30" t="inlineStr">
        <is>
          <t>BREAK_EVEN_UNDEFINED_NEGATIVE_MARGIN</t>
        </is>
      </c>
      <c r="F251" s="15">
        <f>IF(AA246=D251,"PASS","FAIL")</f>
        <v/>
      </c>
    </row>
    <row r="252">
      <c r="B252" s="8" t="inlineStr">
        <is>
          <t>Self-Check: |Q_BEP × CMu − FC| ≤ tol</t>
        </is>
      </c>
      <c r="C252" s="36">
        <f>IF(NOT(ISNUMBER(W246)),"SKIP",IF(ABS(W246*U246-V246)&lt;=0.01,"PASS","FAIL"))</f>
        <v/>
      </c>
      <c r="D252" s="34" t="n"/>
      <c r="F252" s="15">
        <f>IF(C252="FAIL","FAIL","PASS")</f>
        <v/>
      </c>
    </row>
    <row r="254" ht="20" customHeight="1">
      <c r="B254" s="2" t="inlineStr">
        <is>
          <t>TC26. Multi-component gate beats basis-inconsistency error</t>
        </is>
      </c>
      <c r="C254" s="7" t="n"/>
      <c r="D254" s="7" t="n"/>
      <c r="E254" s="7" t="n"/>
      <c r="F254" s="7" t="n"/>
    </row>
    <row r="255">
      <c r="B255" s="4" t="inlineStr">
        <is>
          <t>Metric</t>
        </is>
      </c>
      <c r="C255" s="4" t="inlineStr">
        <is>
          <t>Excel Result</t>
        </is>
      </c>
      <c r="D255" s="4" t="inlineStr">
        <is>
          <t>Python Reference</t>
        </is>
      </c>
      <c r="E255" s="4" t="inlineStr">
        <is>
          <t>Difference</t>
        </is>
      </c>
      <c r="F255" s="4" t="inlineStr">
        <is>
          <t>PASS / FAIL</t>
        </is>
      </c>
    </row>
    <row r="256">
      <c r="B256" s="8" t="inlineStr">
        <is>
          <t>Contribution Margin per Unit (CMu)</t>
        </is>
      </c>
      <c r="C256" s="25">
        <f>U256</f>
        <v/>
      </c>
      <c r="D256" s="30" t="inlineStr">
        <is>
          <t>ERROR</t>
        </is>
      </c>
      <c r="E256" s="26">
        <f>IF(ISNUMBER(D256),IF(ISNUMBER(U256),ABS(U256-D256),"N/A"),"N/A")</f>
        <v/>
      </c>
      <c r="F256" s="15">
        <f>IFERROR(IF(ISNUMBER(D256),IF(ISNUMBER(U256),IF(ABS(U256-D256)&lt;=0.01,"PASS","FAIL"),"FAIL"),IF(NOT(ISNUMBER(U256)),IF(U256=D256,"PASS","FAIL"),"FAIL")),"FAIL")</f>
        <v/>
      </c>
      <c r="I256" t="n">
        <v>1000</v>
      </c>
      <c r="J256" t="b">
        <v>0</v>
      </c>
      <c r="L256" t="n">
        <v>400</v>
      </c>
      <c r="M256" t="n">
        <v>100</v>
      </c>
      <c r="N256" t="n">
        <v>0</v>
      </c>
      <c r="O256" t="n">
        <v>0</v>
      </c>
      <c r="P256" t="n">
        <v>50000</v>
      </c>
      <c r="Q256" t="inlineStr">
        <is>
          <t>per_month</t>
        </is>
      </c>
      <c r="R256" t="inlineStr">
        <is>
          <t>component</t>
        </is>
      </c>
      <c r="S256" t="inlineStr">
        <is>
          <t>inconsistent</t>
        </is>
      </c>
      <c r="T256" t="n">
        <v>2</v>
      </c>
      <c r="U256">
        <f>IF($T$256&gt;1,"ERROR",IFERROR(IF(Y256="ERROR","ERROR",IF(OR(NOT(ISNUMBER(Y256)),ISBLANK($L$256),ISBLANK($M$256),ISBLANK($N$256),ISBLANK($O$256)),"UNKNOWN",IF($O$256&gt;0,IF(Z256="ERROR","ERROR",IF(NOT(ISNUMBER(Z256)),"UNKNOWN",Y256-$L$256-$M$256-$N$256*Y256-$O$256*Z256)),Y256-$L$256-$M$256-$N$256*Y256))),"ERROR"))</f>
        <v/>
      </c>
      <c r="V256">
        <f>IF($T$256&gt;1,"ERROR",IFERROR(IF($R$256="invalid_direct","ERROR",IF($S$256="inconsistent","ERROR",IF($R$256="none",0,IF(OR($R$256="unresolved",$R$256="blended_only"),"UNKNOWN",IF(ISBLANK($P$256),"UNKNOWN",IF($P$256&lt;0,"ERROR",$P$256)))))),"ERROR"))</f>
        <v/>
      </c>
      <c r="W256">
        <f>IF($T$256&gt;1,"ERROR",IFERROR(IF(OR(U256="ERROR",V256="ERROR"),"ERROR",IF(OR(NOT(ISNUMBER(U256)),NOT(ISNUMBER(V256))),"UNKNOWN",IF(U256&lt;=0,"NOT_APPLICABLE",V256/U256))),"ERROR"))</f>
        <v/>
      </c>
      <c r="X256">
        <f>IF($T$256&gt;1,"",IF(OR($R$256="invalid_direct",$S$256="inconsistent"),"",IF($R$256="none","",IF(OR($R$256="unresolved",$R$256="blended_only"),"",IF(ISBLANK($P$256),"",IF($P$256&lt;0,"",$Q$256))))))</f>
        <v/>
      </c>
      <c r="Y256">
        <f>IFERROR(IF(ISBLANK($I$256),"UNKNOWN",IF(ISBLANK($J$256),"UNKNOWN",IF($J$256=FALSE,$I$256,IF(ISBLANK($K$256),"UNKNOWN",$I$256/(1+$K$256))))),"ERROR")</f>
        <v/>
      </c>
      <c r="Z256">
        <f>IFERROR(IF(ISBLANK($I$256),"UNKNOWN",IF(ISBLANK($J$256),"UNKNOWN",IF($J$256=TRUE,$I$256,IF(ISBLANK($K$256),"UNKNOWN",$I$256*(1+$K$256))))),"ERROR")</f>
        <v/>
      </c>
      <c r="AA256">
        <f>IF($T$256&gt;1,"MULTI_COMPONENT_BEP_NOT_SUPPORTED",IF($R$256="invalid_direct","INVALID_ALLOCATION_CONFIGURATION",IF($S$256="inconsistent","INCONSISTENT_FIXED_COST_BASIS",IF(AND($R$256="component",NOT(ISBLANK($P$256)),$P$256&lt;0),"INVALID_NEGATIVE_COST",IF(U256="ERROR","CALCULATION_ERROR",IF($R$256="blended_only","FIXED_COST_BLENDED_ONLY_NOT_ALLOCATED",IF($R$256="unresolved","UNSUPPORTED_SHARED_COST_ALLOCATION",IF(NOT(ISNUMBER(U256)),"MISSING_DEPENDENCY",IF(AND($R$256="component",ISBLANK($P$256)),"MISSING_DEPENDENCY",IF(AND(U256=0,V256=0),"BREAK_EVEN_UNDEFINED_ZERO_MARGIN_ZERO_FIXED_COST",IF(U256=0,"BREAK_EVEN_UNDEFINED_ZERO_MARGIN",IF(U256&lt;0,"BREAK_EVEN_UNDEFINED_NEGATIVE_MARGIN","NONE"))))))))))))</f>
        <v/>
      </c>
    </row>
    <row r="257">
      <c r="B257" s="8" t="inlineStr">
        <is>
          <t>Fixed Operating Cost (FC)</t>
        </is>
      </c>
      <c r="C257" s="25">
        <f>V256</f>
        <v/>
      </c>
      <c r="D257" s="30" t="inlineStr">
        <is>
          <t>ERROR</t>
        </is>
      </c>
      <c r="E257" s="26">
        <f>IF(ISNUMBER(D257),IF(ISNUMBER(V256),ABS(V256-D257),"N/A"),"N/A")</f>
        <v/>
      </c>
      <c r="F257" s="15">
        <f>IFERROR(IF(ISNUMBER(D257),IF(ISNUMBER(V256),IF(ABS(V256-D257)&lt;=0.01,"PASS","FAIL"),"FAIL"),IF(NOT(ISNUMBER(V256)),IF(V256=D257,"PASS","FAIL"),"FAIL")),"FAIL")</f>
        <v/>
      </c>
    </row>
    <row r="258">
      <c r="B258" s="8" t="inlineStr">
        <is>
          <t>Break-Even Quantity (Q_BEP)</t>
        </is>
      </c>
      <c r="C258" s="25">
        <f>W256</f>
        <v/>
      </c>
      <c r="D258" s="30" t="inlineStr">
        <is>
          <t>ERROR</t>
        </is>
      </c>
      <c r="E258" s="26">
        <f>IF(ISNUMBER(D258),IF(ISNUMBER(W256),ABS(W256-D258),"N/A"),"N/A")</f>
        <v/>
      </c>
      <c r="F258" s="15">
        <f>IFERROR(IF(ISNUMBER(D258),IF(ISNUMBER(W256),IF(ABS(W256-D258)&lt;=0.01,"PASS","FAIL"),"FAIL"),IF(NOT(ISNUMBER(W256)),IF(W256=D258,"PASS","FAIL"),"FAIL")),"FAIL")</f>
        <v/>
      </c>
    </row>
    <row r="259">
      <c r="B259" s="8" t="inlineStr">
        <is>
          <t>Analysis Period Basis</t>
        </is>
      </c>
      <c r="C259" s="16">
        <f>X256</f>
        <v/>
      </c>
      <c r="D259" s="30" t="inlineStr"/>
      <c r="E259" s="26">
        <f>IF(ISNUMBER(D259),IF(ISNUMBER(X256),ABS(X256-D259),"N/A"),"N/A")</f>
        <v/>
      </c>
      <c r="F259" s="15">
        <f>IFERROR(IF(ISNUMBER(D259),IF(ISNUMBER(X256),IF(ABS(X256-D259)&lt;=0.01,"PASS","FAIL"),"FAIL"),IF(NOT(ISNUMBER(X256)),IF(X256=D259,"PASS","FAIL"),"FAIL")),"FAIL")</f>
        <v/>
      </c>
    </row>
    <row r="260">
      <c r="B260" s="8" t="inlineStr">
        <is>
          <t>Module Status Tier</t>
        </is>
      </c>
      <c r="C260" s="16">
        <f>IF(OR(U256="ERROR",V256="ERROR",W256="ERROR"),"ERROR",IF(OR(U256="UNKNOWN",V256="UNKNOWN",W256="UNKNOWN"),"INCOMPLETE","OK"))</f>
        <v/>
      </c>
      <c r="D260" s="30" t="inlineStr">
        <is>
          <t>ERROR</t>
        </is>
      </c>
      <c r="F260" s="15">
        <f>IF(C260=D260,"PASS","FAIL")</f>
        <v/>
      </c>
    </row>
    <row r="261">
      <c r="B261" s="8" t="inlineStr">
        <is>
          <t>Primary Warning Code (diagnostic)</t>
        </is>
      </c>
      <c r="C261" s="16">
        <f>AA256</f>
        <v/>
      </c>
      <c r="D261" s="30" t="inlineStr">
        <is>
          <t>MULTI_COMPONENT_BEP_NOT_SUPPORTED</t>
        </is>
      </c>
      <c r="F261" s="15">
        <f>IF(AA256=D261,"PASS","FAIL")</f>
        <v/>
      </c>
    </row>
    <row r="262">
      <c r="B262" s="8" t="inlineStr">
        <is>
          <t>Self-Check: |Q_BEP × CMu − FC| ≤ tol</t>
        </is>
      </c>
      <c r="C262" s="36">
        <f>IF(NOT(ISNUMBER(W256)),"SKIP",IF(ABS(W256*U256-V256)&lt;=0.01,"PASS","FAIL"))</f>
        <v/>
      </c>
      <c r="D262" s="34" t="n"/>
      <c r="F262" s="15">
        <f>IF(C262="FAIL","FAIL","PASS")</f>
        <v/>
      </c>
    </row>
    <row r="264" ht="20" customHeight="1">
      <c r="B264" s="2" t="inlineStr">
        <is>
          <t>Overall (25/26 scenarios live Excel evaluation — TC13 reference-only, no FC currency input in the flat model)</t>
        </is>
      </c>
      <c r="C264" s="7" t="n"/>
    </row>
    <row r="265">
      <c r="B265" s="8" t="inlineStr">
        <is>
          <t>All metrics/status/code/self-check PASS?</t>
        </is>
      </c>
      <c r="C265" s="15">
        <f>IF(COUNTIF(F7:F262,"FAIL")=0,"ALL PASS","SOME FAILED")</f>
        <v/>
      </c>
    </row>
  </sheetData>
  <mergeCells count="55">
    <mergeCell ref="C83:D83"/>
    <mergeCell ref="B2:G2"/>
    <mergeCell ref="B75:F75"/>
    <mergeCell ref="B144:F144"/>
    <mergeCell ref="B224:F224"/>
    <mergeCell ref="B194:F194"/>
    <mergeCell ref="C33:D33"/>
    <mergeCell ref="B125:F125"/>
    <mergeCell ref="B25:F25"/>
    <mergeCell ref="B134:F134"/>
    <mergeCell ref="B264:C264"/>
    <mergeCell ref="C172:D172"/>
    <mergeCell ref="B115:F115"/>
    <mergeCell ref="B184:F184"/>
    <mergeCell ref="B214:F214"/>
    <mergeCell ref="C73:D73"/>
    <mergeCell ref="C162:D162"/>
    <mergeCell ref="B105:F105"/>
    <mergeCell ref="C113:D113"/>
    <mergeCell ref="C152:D152"/>
    <mergeCell ref="C63:D63"/>
    <mergeCell ref="C103:D103"/>
    <mergeCell ref="C212:D212"/>
    <mergeCell ref="B244:F244"/>
    <mergeCell ref="C93:D93"/>
    <mergeCell ref="C202:D202"/>
    <mergeCell ref="C242:D242"/>
    <mergeCell ref="C142:D142"/>
    <mergeCell ref="C192:D192"/>
    <mergeCell ref="C43:D43"/>
    <mergeCell ref="C232:D232"/>
    <mergeCell ref="C252:D252"/>
    <mergeCell ref="C222:D222"/>
    <mergeCell ref="B234:F234"/>
    <mergeCell ref="C182:D182"/>
    <mergeCell ref="C123:D123"/>
    <mergeCell ref="B126:G126"/>
    <mergeCell ref="B174:F174"/>
    <mergeCell ref="C23:D23"/>
    <mergeCell ref="B3:G3"/>
    <mergeCell ref="B65:F65"/>
    <mergeCell ref="B254:F254"/>
    <mergeCell ref="C262:D262"/>
    <mergeCell ref="B55:F55"/>
    <mergeCell ref="B164:F164"/>
    <mergeCell ref="B95:F95"/>
    <mergeCell ref="B15:F15"/>
    <mergeCell ref="B5:F5"/>
    <mergeCell ref="B204:F204"/>
    <mergeCell ref="B45:F45"/>
    <mergeCell ref="C13:D13"/>
    <mergeCell ref="B85:F85"/>
    <mergeCell ref="B154:F154"/>
    <mergeCell ref="C53:D53"/>
    <mergeCell ref="B35:F35"/>
  </mergeCells>
  <conditionalFormatting sqref="F7">
    <cfRule type="expression" priority="1" dxfId="0">
      <formula>F7="FAIL"</formula>
    </cfRule>
    <cfRule type="expression" priority="2" dxfId="1">
      <formula>F7="PASS"</formula>
    </cfRule>
  </conditionalFormatting>
  <conditionalFormatting sqref="F8">
    <cfRule type="expression" priority="3" dxfId="0">
      <formula>F8="FAIL"</formula>
    </cfRule>
    <cfRule type="expression" priority="4" dxfId="1">
      <formula>F8="PASS"</formula>
    </cfRule>
  </conditionalFormatting>
  <conditionalFormatting sqref="F9">
    <cfRule type="expression" priority="5" dxfId="0">
      <formula>F9="FAIL"</formula>
    </cfRule>
    <cfRule type="expression" priority="6" dxfId="1">
      <formula>F9="PASS"</formula>
    </cfRule>
  </conditionalFormatting>
  <conditionalFormatting sqref="F10">
    <cfRule type="expression" priority="7" dxfId="0">
      <formula>F10="FAIL"</formula>
    </cfRule>
    <cfRule type="expression" priority="8" dxfId="1">
      <formula>F10="PASS"</formula>
    </cfRule>
  </conditionalFormatting>
  <conditionalFormatting sqref="F11">
    <cfRule type="expression" priority="9" dxfId="0">
      <formula>F11="FAIL"</formula>
    </cfRule>
    <cfRule type="expression" priority="10" dxfId="1">
      <formula>F11="PASS"</formula>
    </cfRule>
  </conditionalFormatting>
  <conditionalFormatting sqref="F12">
    <cfRule type="expression" priority="11" dxfId="0">
      <formula>F12="FAIL"</formula>
    </cfRule>
    <cfRule type="expression" priority="12" dxfId="1">
      <formula>F12="PASS"</formula>
    </cfRule>
  </conditionalFormatting>
  <conditionalFormatting sqref="F13">
    <cfRule type="expression" priority="13" dxfId="0">
      <formula>F13="FAIL"</formula>
    </cfRule>
    <cfRule type="expression" priority="14" dxfId="1">
      <formula>F13="PASS"</formula>
    </cfRule>
  </conditionalFormatting>
  <conditionalFormatting sqref="F17">
    <cfRule type="expression" priority="15" dxfId="0">
      <formula>F17="FAIL"</formula>
    </cfRule>
    <cfRule type="expression" priority="16" dxfId="1">
      <formula>F17="PASS"</formula>
    </cfRule>
  </conditionalFormatting>
  <conditionalFormatting sqref="F18">
    <cfRule type="expression" priority="17" dxfId="0">
      <formula>F18="FAIL"</formula>
    </cfRule>
    <cfRule type="expression" priority="18" dxfId="1">
      <formula>F18="PASS"</formula>
    </cfRule>
  </conditionalFormatting>
  <conditionalFormatting sqref="F19">
    <cfRule type="expression" priority="19" dxfId="0">
      <formula>F19="FAIL"</formula>
    </cfRule>
    <cfRule type="expression" priority="20" dxfId="1">
      <formula>F19="PASS"</formula>
    </cfRule>
  </conditionalFormatting>
  <conditionalFormatting sqref="F20">
    <cfRule type="expression" priority="21" dxfId="0">
      <formula>F20="FAIL"</formula>
    </cfRule>
    <cfRule type="expression" priority="22" dxfId="1">
      <formula>F20="PASS"</formula>
    </cfRule>
  </conditionalFormatting>
  <conditionalFormatting sqref="F21">
    <cfRule type="expression" priority="23" dxfId="0">
      <formula>F21="FAIL"</formula>
    </cfRule>
    <cfRule type="expression" priority="24" dxfId="1">
      <formula>F21="PASS"</formula>
    </cfRule>
  </conditionalFormatting>
  <conditionalFormatting sqref="F22">
    <cfRule type="expression" priority="25" dxfId="0">
      <formula>F22="FAIL"</formula>
    </cfRule>
    <cfRule type="expression" priority="26" dxfId="1">
      <formula>F22="PASS"</formula>
    </cfRule>
  </conditionalFormatting>
  <conditionalFormatting sqref="F23">
    <cfRule type="expression" priority="27" dxfId="0">
      <formula>F23="FAIL"</formula>
    </cfRule>
    <cfRule type="expression" priority="28" dxfId="1">
      <formula>F23="PASS"</formula>
    </cfRule>
  </conditionalFormatting>
  <conditionalFormatting sqref="F27">
    <cfRule type="expression" priority="29" dxfId="0">
      <formula>F27="FAIL"</formula>
    </cfRule>
    <cfRule type="expression" priority="30" dxfId="1">
      <formula>F27="PASS"</formula>
    </cfRule>
  </conditionalFormatting>
  <conditionalFormatting sqref="F28">
    <cfRule type="expression" priority="31" dxfId="0">
      <formula>F28="FAIL"</formula>
    </cfRule>
    <cfRule type="expression" priority="32" dxfId="1">
      <formula>F28="PASS"</formula>
    </cfRule>
  </conditionalFormatting>
  <conditionalFormatting sqref="F29">
    <cfRule type="expression" priority="33" dxfId="0">
      <formula>F29="FAIL"</formula>
    </cfRule>
    <cfRule type="expression" priority="34" dxfId="1">
      <formula>F29="PASS"</formula>
    </cfRule>
  </conditionalFormatting>
  <conditionalFormatting sqref="F30">
    <cfRule type="expression" priority="35" dxfId="0">
      <formula>F30="FAIL"</formula>
    </cfRule>
    <cfRule type="expression" priority="36" dxfId="1">
      <formula>F30="PASS"</formula>
    </cfRule>
  </conditionalFormatting>
  <conditionalFormatting sqref="F31">
    <cfRule type="expression" priority="37" dxfId="0">
      <formula>F31="FAIL"</formula>
    </cfRule>
    <cfRule type="expression" priority="38" dxfId="1">
      <formula>F31="PASS"</formula>
    </cfRule>
  </conditionalFormatting>
  <conditionalFormatting sqref="F32">
    <cfRule type="expression" priority="39" dxfId="0">
      <formula>F32="FAIL"</formula>
    </cfRule>
    <cfRule type="expression" priority="40" dxfId="1">
      <formula>F32="PASS"</formula>
    </cfRule>
  </conditionalFormatting>
  <conditionalFormatting sqref="F33">
    <cfRule type="expression" priority="41" dxfId="0">
      <formula>F33="FAIL"</formula>
    </cfRule>
    <cfRule type="expression" priority="42" dxfId="1">
      <formula>F33="PASS"</formula>
    </cfRule>
  </conditionalFormatting>
  <conditionalFormatting sqref="F37">
    <cfRule type="expression" priority="43" dxfId="0">
      <formula>F37="FAIL"</formula>
    </cfRule>
    <cfRule type="expression" priority="44" dxfId="1">
      <formula>F37="PASS"</formula>
    </cfRule>
  </conditionalFormatting>
  <conditionalFormatting sqref="F38">
    <cfRule type="expression" priority="45" dxfId="0">
      <formula>F38="FAIL"</formula>
    </cfRule>
    <cfRule type="expression" priority="46" dxfId="1">
      <formula>F38="PASS"</formula>
    </cfRule>
  </conditionalFormatting>
  <conditionalFormatting sqref="F39">
    <cfRule type="expression" priority="47" dxfId="0">
      <formula>F39="FAIL"</formula>
    </cfRule>
    <cfRule type="expression" priority="48" dxfId="1">
      <formula>F39="PASS"</formula>
    </cfRule>
  </conditionalFormatting>
  <conditionalFormatting sqref="F40">
    <cfRule type="expression" priority="49" dxfId="0">
      <formula>F40="FAIL"</formula>
    </cfRule>
    <cfRule type="expression" priority="50" dxfId="1">
      <formula>F40="PASS"</formula>
    </cfRule>
  </conditionalFormatting>
  <conditionalFormatting sqref="F41">
    <cfRule type="expression" priority="51" dxfId="0">
      <formula>F41="FAIL"</formula>
    </cfRule>
    <cfRule type="expression" priority="52" dxfId="1">
      <formula>F41="PASS"</formula>
    </cfRule>
  </conditionalFormatting>
  <conditionalFormatting sqref="F42">
    <cfRule type="expression" priority="53" dxfId="0">
      <formula>F42="FAIL"</formula>
    </cfRule>
    <cfRule type="expression" priority="54" dxfId="1">
      <formula>F42="PASS"</formula>
    </cfRule>
  </conditionalFormatting>
  <conditionalFormatting sqref="F43">
    <cfRule type="expression" priority="55" dxfId="0">
      <formula>F43="FAIL"</formula>
    </cfRule>
    <cfRule type="expression" priority="56" dxfId="1">
      <formula>F43="PASS"</formula>
    </cfRule>
  </conditionalFormatting>
  <conditionalFormatting sqref="F47">
    <cfRule type="expression" priority="57" dxfId="0">
      <formula>F47="FAIL"</formula>
    </cfRule>
    <cfRule type="expression" priority="58" dxfId="1">
      <formula>F47="PASS"</formula>
    </cfRule>
  </conditionalFormatting>
  <conditionalFormatting sqref="F48">
    <cfRule type="expression" priority="59" dxfId="0">
      <formula>F48="FAIL"</formula>
    </cfRule>
    <cfRule type="expression" priority="60" dxfId="1">
      <formula>F48="PASS"</formula>
    </cfRule>
  </conditionalFormatting>
  <conditionalFormatting sqref="F49">
    <cfRule type="expression" priority="61" dxfId="0">
      <formula>F49="FAIL"</formula>
    </cfRule>
    <cfRule type="expression" priority="62" dxfId="1">
      <formula>F49="PASS"</formula>
    </cfRule>
  </conditionalFormatting>
  <conditionalFormatting sqref="F50">
    <cfRule type="expression" priority="63" dxfId="0">
      <formula>F50="FAIL"</formula>
    </cfRule>
    <cfRule type="expression" priority="64" dxfId="1">
      <formula>F50="PASS"</formula>
    </cfRule>
  </conditionalFormatting>
  <conditionalFormatting sqref="F51">
    <cfRule type="expression" priority="65" dxfId="0">
      <formula>F51="FAIL"</formula>
    </cfRule>
    <cfRule type="expression" priority="66" dxfId="1">
      <formula>F51="PASS"</formula>
    </cfRule>
  </conditionalFormatting>
  <conditionalFormatting sqref="F52">
    <cfRule type="expression" priority="67" dxfId="0">
      <formula>F52="FAIL"</formula>
    </cfRule>
    <cfRule type="expression" priority="68" dxfId="1">
      <formula>F52="PASS"</formula>
    </cfRule>
  </conditionalFormatting>
  <conditionalFormatting sqref="F53">
    <cfRule type="expression" priority="69" dxfId="0">
      <formula>F53="FAIL"</formula>
    </cfRule>
    <cfRule type="expression" priority="70" dxfId="1">
      <formula>F53="PASS"</formula>
    </cfRule>
  </conditionalFormatting>
  <conditionalFormatting sqref="F57">
    <cfRule type="expression" priority="71" dxfId="0">
      <formula>F57="FAIL"</formula>
    </cfRule>
    <cfRule type="expression" priority="72" dxfId="1">
      <formula>F57="PASS"</formula>
    </cfRule>
  </conditionalFormatting>
  <conditionalFormatting sqref="F58">
    <cfRule type="expression" priority="73" dxfId="0">
      <formula>F58="FAIL"</formula>
    </cfRule>
    <cfRule type="expression" priority="74" dxfId="1">
      <formula>F58="PASS"</formula>
    </cfRule>
  </conditionalFormatting>
  <conditionalFormatting sqref="F59">
    <cfRule type="expression" priority="75" dxfId="0">
      <formula>F59="FAIL"</formula>
    </cfRule>
    <cfRule type="expression" priority="76" dxfId="1">
      <formula>F59="PASS"</formula>
    </cfRule>
  </conditionalFormatting>
  <conditionalFormatting sqref="F60">
    <cfRule type="expression" priority="77" dxfId="0">
      <formula>F60="FAIL"</formula>
    </cfRule>
    <cfRule type="expression" priority="78" dxfId="1">
      <formula>F60="PASS"</formula>
    </cfRule>
  </conditionalFormatting>
  <conditionalFormatting sqref="F61">
    <cfRule type="expression" priority="79" dxfId="0">
      <formula>F61="FAIL"</formula>
    </cfRule>
    <cfRule type="expression" priority="80" dxfId="1">
      <formula>F61="PASS"</formula>
    </cfRule>
  </conditionalFormatting>
  <conditionalFormatting sqref="F62">
    <cfRule type="expression" priority="81" dxfId="0">
      <formula>F62="FAIL"</formula>
    </cfRule>
    <cfRule type="expression" priority="82" dxfId="1">
      <formula>F62="PASS"</formula>
    </cfRule>
  </conditionalFormatting>
  <conditionalFormatting sqref="F63">
    <cfRule type="expression" priority="83" dxfId="0">
      <formula>F63="FAIL"</formula>
    </cfRule>
    <cfRule type="expression" priority="84" dxfId="1">
      <formula>F63="PASS"</formula>
    </cfRule>
  </conditionalFormatting>
  <conditionalFormatting sqref="F67">
    <cfRule type="expression" priority="85" dxfId="0">
      <formula>F67="FAIL"</formula>
    </cfRule>
    <cfRule type="expression" priority="86" dxfId="1">
      <formula>F67="PASS"</formula>
    </cfRule>
  </conditionalFormatting>
  <conditionalFormatting sqref="F68">
    <cfRule type="expression" priority="87" dxfId="0">
      <formula>F68="FAIL"</formula>
    </cfRule>
    <cfRule type="expression" priority="88" dxfId="1">
      <formula>F68="PASS"</formula>
    </cfRule>
  </conditionalFormatting>
  <conditionalFormatting sqref="F69">
    <cfRule type="expression" priority="89" dxfId="0">
      <formula>F69="FAIL"</formula>
    </cfRule>
    <cfRule type="expression" priority="90" dxfId="1">
      <formula>F69="PASS"</formula>
    </cfRule>
  </conditionalFormatting>
  <conditionalFormatting sqref="F70">
    <cfRule type="expression" priority="91" dxfId="0">
      <formula>F70="FAIL"</formula>
    </cfRule>
    <cfRule type="expression" priority="92" dxfId="1">
      <formula>F70="PASS"</formula>
    </cfRule>
  </conditionalFormatting>
  <conditionalFormatting sqref="F71">
    <cfRule type="expression" priority="93" dxfId="0">
      <formula>F71="FAIL"</formula>
    </cfRule>
    <cfRule type="expression" priority="94" dxfId="1">
      <formula>F71="PASS"</formula>
    </cfRule>
  </conditionalFormatting>
  <conditionalFormatting sqref="F72">
    <cfRule type="expression" priority="95" dxfId="0">
      <formula>F72="FAIL"</formula>
    </cfRule>
    <cfRule type="expression" priority="96" dxfId="1">
      <formula>F72="PASS"</formula>
    </cfRule>
  </conditionalFormatting>
  <conditionalFormatting sqref="F73">
    <cfRule type="expression" priority="97" dxfId="0">
      <formula>F73="FAIL"</formula>
    </cfRule>
    <cfRule type="expression" priority="98" dxfId="1">
      <formula>F73="PASS"</formula>
    </cfRule>
  </conditionalFormatting>
  <conditionalFormatting sqref="F77">
    <cfRule type="expression" priority="99" dxfId="0">
      <formula>F77="FAIL"</formula>
    </cfRule>
    <cfRule type="expression" priority="100" dxfId="1">
      <formula>F77="PASS"</formula>
    </cfRule>
  </conditionalFormatting>
  <conditionalFormatting sqref="F78">
    <cfRule type="expression" priority="101" dxfId="0">
      <formula>F78="FAIL"</formula>
    </cfRule>
    <cfRule type="expression" priority="102" dxfId="1">
      <formula>F78="PASS"</formula>
    </cfRule>
  </conditionalFormatting>
  <conditionalFormatting sqref="F79">
    <cfRule type="expression" priority="103" dxfId="0">
      <formula>F79="FAIL"</formula>
    </cfRule>
    <cfRule type="expression" priority="104" dxfId="1">
      <formula>F79="PASS"</formula>
    </cfRule>
  </conditionalFormatting>
  <conditionalFormatting sqref="F80">
    <cfRule type="expression" priority="105" dxfId="0">
      <formula>F80="FAIL"</formula>
    </cfRule>
    <cfRule type="expression" priority="106" dxfId="1">
      <formula>F80="PASS"</formula>
    </cfRule>
  </conditionalFormatting>
  <conditionalFormatting sqref="F81">
    <cfRule type="expression" priority="107" dxfId="0">
      <formula>F81="FAIL"</formula>
    </cfRule>
    <cfRule type="expression" priority="108" dxfId="1">
      <formula>F81="PASS"</formula>
    </cfRule>
  </conditionalFormatting>
  <conditionalFormatting sqref="F82">
    <cfRule type="expression" priority="109" dxfId="0">
      <formula>F82="FAIL"</formula>
    </cfRule>
    <cfRule type="expression" priority="110" dxfId="1">
      <formula>F82="PASS"</formula>
    </cfRule>
  </conditionalFormatting>
  <conditionalFormatting sqref="F83">
    <cfRule type="expression" priority="111" dxfId="0">
      <formula>F83="FAIL"</formula>
    </cfRule>
    <cfRule type="expression" priority="112" dxfId="1">
      <formula>F83="PASS"</formula>
    </cfRule>
  </conditionalFormatting>
  <conditionalFormatting sqref="F87">
    <cfRule type="expression" priority="113" dxfId="0">
      <formula>F87="FAIL"</formula>
    </cfRule>
    <cfRule type="expression" priority="114" dxfId="1">
      <formula>F87="PASS"</formula>
    </cfRule>
  </conditionalFormatting>
  <conditionalFormatting sqref="F88">
    <cfRule type="expression" priority="115" dxfId="0">
      <formula>F88="FAIL"</formula>
    </cfRule>
    <cfRule type="expression" priority="116" dxfId="1">
      <formula>F88="PASS"</formula>
    </cfRule>
  </conditionalFormatting>
  <conditionalFormatting sqref="F89">
    <cfRule type="expression" priority="117" dxfId="0">
      <formula>F89="FAIL"</formula>
    </cfRule>
    <cfRule type="expression" priority="118" dxfId="1">
      <formula>F89="PASS"</formula>
    </cfRule>
  </conditionalFormatting>
  <conditionalFormatting sqref="F90">
    <cfRule type="expression" priority="119" dxfId="0">
      <formula>F90="FAIL"</formula>
    </cfRule>
    <cfRule type="expression" priority="120" dxfId="1">
      <formula>F90="PASS"</formula>
    </cfRule>
  </conditionalFormatting>
  <conditionalFormatting sqref="F91">
    <cfRule type="expression" priority="121" dxfId="0">
      <formula>F91="FAIL"</formula>
    </cfRule>
    <cfRule type="expression" priority="122" dxfId="1">
      <formula>F91="PASS"</formula>
    </cfRule>
  </conditionalFormatting>
  <conditionalFormatting sqref="F92">
    <cfRule type="expression" priority="123" dxfId="0">
      <formula>F92="FAIL"</formula>
    </cfRule>
    <cfRule type="expression" priority="124" dxfId="1">
      <formula>F92="PASS"</formula>
    </cfRule>
  </conditionalFormatting>
  <conditionalFormatting sqref="F93">
    <cfRule type="expression" priority="125" dxfId="0">
      <formula>F93="FAIL"</formula>
    </cfRule>
    <cfRule type="expression" priority="126" dxfId="1">
      <formula>F93="PASS"</formula>
    </cfRule>
  </conditionalFormatting>
  <conditionalFormatting sqref="F97">
    <cfRule type="expression" priority="127" dxfId="0">
      <formula>F97="FAIL"</formula>
    </cfRule>
    <cfRule type="expression" priority="128" dxfId="1">
      <formula>F97="PASS"</formula>
    </cfRule>
  </conditionalFormatting>
  <conditionalFormatting sqref="F98">
    <cfRule type="expression" priority="129" dxfId="0">
      <formula>F98="FAIL"</formula>
    </cfRule>
    <cfRule type="expression" priority="130" dxfId="1">
      <formula>F98="PASS"</formula>
    </cfRule>
  </conditionalFormatting>
  <conditionalFormatting sqref="F99">
    <cfRule type="expression" priority="131" dxfId="0">
      <formula>F99="FAIL"</formula>
    </cfRule>
    <cfRule type="expression" priority="132" dxfId="1">
      <formula>F99="PASS"</formula>
    </cfRule>
  </conditionalFormatting>
  <conditionalFormatting sqref="F100">
    <cfRule type="expression" priority="133" dxfId="0">
      <formula>F100="FAIL"</formula>
    </cfRule>
    <cfRule type="expression" priority="134" dxfId="1">
      <formula>F100="PASS"</formula>
    </cfRule>
  </conditionalFormatting>
  <conditionalFormatting sqref="F101">
    <cfRule type="expression" priority="135" dxfId="0">
      <formula>F101="FAIL"</formula>
    </cfRule>
    <cfRule type="expression" priority="136" dxfId="1">
      <formula>F101="PASS"</formula>
    </cfRule>
  </conditionalFormatting>
  <conditionalFormatting sqref="F102">
    <cfRule type="expression" priority="137" dxfId="0">
      <formula>F102="FAIL"</formula>
    </cfRule>
    <cfRule type="expression" priority="138" dxfId="1">
      <formula>F102="PASS"</formula>
    </cfRule>
  </conditionalFormatting>
  <conditionalFormatting sqref="F103">
    <cfRule type="expression" priority="139" dxfId="0">
      <formula>F103="FAIL"</formula>
    </cfRule>
    <cfRule type="expression" priority="140" dxfId="1">
      <formula>F103="PASS"</formula>
    </cfRule>
  </conditionalFormatting>
  <conditionalFormatting sqref="F107">
    <cfRule type="expression" priority="141" dxfId="0">
      <formula>F107="FAIL"</formula>
    </cfRule>
    <cfRule type="expression" priority="142" dxfId="1">
      <formula>F107="PASS"</formula>
    </cfRule>
  </conditionalFormatting>
  <conditionalFormatting sqref="F108">
    <cfRule type="expression" priority="143" dxfId="0">
      <formula>F108="FAIL"</formula>
    </cfRule>
    <cfRule type="expression" priority="144" dxfId="1">
      <formula>F108="PASS"</formula>
    </cfRule>
  </conditionalFormatting>
  <conditionalFormatting sqref="F109">
    <cfRule type="expression" priority="145" dxfId="0">
      <formula>F109="FAIL"</formula>
    </cfRule>
    <cfRule type="expression" priority="146" dxfId="1">
      <formula>F109="PASS"</formula>
    </cfRule>
  </conditionalFormatting>
  <conditionalFormatting sqref="F110">
    <cfRule type="expression" priority="147" dxfId="0">
      <formula>F110="FAIL"</formula>
    </cfRule>
    <cfRule type="expression" priority="148" dxfId="1">
      <formula>F110="PASS"</formula>
    </cfRule>
  </conditionalFormatting>
  <conditionalFormatting sqref="F111">
    <cfRule type="expression" priority="149" dxfId="0">
      <formula>F111="FAIL"</formula>
    </cfRule>
    <cfRule type="expression" priority="150" dxfId="1">
      <formula>F111="PASS"</formula>
    </cfRule>
  </conditionalFormatting>
  <conditionalFormatting sqref="F112">
    <cfRule type="expression" priority="151" dxfId="0">
      <formula>F112="FAIL"</formula>
    </cfRule>
    <cfRule type="expression" priority="152" dxfId="1">
      <formula>F112="PASS"</formula>
    </cfRule>
  </conditionalFormatting>
  <conditionalFormatting sqref="F113">
    <cfRule type="expression" priority="153" dxfId="0">
      <formula>F113="FAIL"</formula>
    </cfRule>
    <cfRule type="expression" priority="154" dxfId="1">
      <formula>F113="PASS"</formula>
    </cfRule>
  </conditionalFormatting>
  <conditionalFormatting sqref="F117">
    <cfRule type="expression" priority="155" dxfId="0">
      <formula>F117="FAIL"</formula>
    </cfRule>
    <cfRule type="expression" priority="156" dxfId="1">
      <formula>F117="PASS"</formula>
    </cfRule>
  </conditionalFormatting>
  <conditionalFormatting sqref="F118">
    <cfRule type="expression" priority="157" dxfId="0">
      <formula>F118="FAIL"</formula>
    </cfRule>
    <cfRule type="expression" priority="158" dxfId="1">
      <formula>F118="PASS"</formula>
    </cfRule>
  </conditionalFormatting>
  <conditionalFormatting sqref="F119">
    <cfRule type="expression" priority="159" dxfId="0">
      <formula>F119="FAIL"</formula>
    </cfRule>
    <cfRule type="expression" priority="160" dxfId="1">
      <formula>F119="PASS"</formula>
    </cfRule>
  </conditionalFormatting>
  <conditionalFormatting sqref="F120">
    <cfRule type="expression" priority="161" dxfId="0">
      <formula>F120="FAIL"</formula>
    </cfRule>
    <cfRule type="expression" priority="162" dxfId="1">
      <formula>F120="PASS"</formula>
    </cfRule>
  </conditionalFormatting>
  <conditionalFormatting sqref="F121">
    <cfRule type="expression" priority="163" dxfId="0">
      <formula>F121="FAIL"</formula>
    </cfRule>
    <cfRule type="expression" priority="164" dxfId="1">
      <formula>F121="PASS"</formula>
    </cfRule>
  </conditionalFormatting>
  <conditionalFormatting sqref="F122">
    <cfRule type="expression" priority="165" dxfId="0">
      <formula>F122="FAIL"</formula>
    </cfRule>
    <cfRule type="expression" priority="166" dxfId="1">
      <formula>F122="PASS"</formula>
    </cfRule>
  </conditionalFormatting>
  <conditionalFormatting sqref="F123">
    <cfRule type="expression" priority="167" dxfId="0">
      <formula>F123="FAIL"</formula>
    </cfRule>
    <cfRule type="expression" priority="168" dxfId="1">
      <formula>F123="PASS"</formula>
    </cfRule>
  </conditionalFormatting>
  <conditionalFormatting sqref="F136">
    <cfRule type="expression" priority="169" dxfId="0">
      <formula>F136="FAIL"</formula>
    </cfRule>
    <cfRule type="expression" priority="170" dxfId="1">
      <formula>F136="PASS"</formula>
    </cfRule>
  </conditionalFormatting>
  <conditionalFormatting sqref="F137">
    <cfRule type="expression" priority="171" dxfId="0">
      <formula>F137="FAIL"</formula>
    </cfRule>
    <cfRule type="expression" priority="172" dxfId="1">
      <formula>F137="PASS"</formula>
    </cfRule>
  </conditionalFormatting>
  <conditionalFormatting sqref="F138">
    <cfRule type="expression" priority="173" dxfId="0">
      <formula>F138="FAIL"</formula>
    </cfRule>
    <cfRule type="expression" priority="174" dxfId="1">
      <formula>F138="PASS"</formula>
    </cfRule>
  </conditionalFormatting>
  <conditionalFormatting sqref="F139">
    <cfRule type="expression" priority="175" dxfId="0">
      <formula>F139="FAIL"</formula>
    </cfRule>
    <cfRule type="expression" priority="176" dxfId="1">
      <formula>F139="PASS"</formula>
    </cfRule>
  </conditionalFormatting>
  <conditionalFormatting sqref="F140">
    <cfRule type="expression" priority="177" dxfId="0">
      <formula>F140="FAIL"</formula>
    </cfRule>
    <cfRule type="expression" priority="178" dxfId="1">
      <formula>F140="PASS"</formula>
    </cfRule>
  </conditionalFormatting>
  <conditionalFormatting sqref="F141">
    <cfRule type="expression" priority="179" dxfId="0">
      <formula>F141="FAIL"</formula>
    </cfRule>
    <cfRule type="expression" priority="180" dxfId="1">
      <formula>F141="PASS"</formula>
    </cfRule>
  </conditionalFormatting>
  <conditionalFormatting sqref="F142">
    <cfRule type="expression" priority="181" dxfId="0">
      <formula>F142="FAIL"</formula>
    </cfRule>
    <cfRule type="expression" priority="182" dxfId="1">
      <formula>F142="PASS"</formula>
    </cfRule>
  </conditionalFormatting>
  <conditionalFormatting sqref="F146">
    <cfRule type="expression" priority="183" dxfId="0">
      <formula>F146="FAIL"</formula>
    </cfRule>
    <cfRule type="expression" priority="184" dxfId="1">
      <formula>F146="PASS"</formula>
    </cfRule>
  </conditionalFormatting>
  <conditionalFormatting sqref="F147">
    <cfRule type="expression" priority="185" dxfId="0">
      <formula>F147="FAIL"</formula>
    </cfRule>
    <cfRule type="expression" priority="186" dxfId="1">
      <formula>F147="PASS"</formula>
    </cfRule>
  </conditionalFormatting>
  <conditionalFormatting sqref="F148">
    <cfRule type="expression" priority="187" dxfId="0">
      <formula>F148="FAIL"</formula>
    </cfRule>
    <cfRule type="expression" priority="188" dxfId="1">
      <formula>F148="PASS"</formula>
    </cfRule>
  </conditionalFormatting>
  <conditionalFormatting sqref="F149">
    <cfRule type="expression" priority="189" dxfId="0">
      <formula>F149="FAIL"</formula>
    </cfRule>
    <cfRule type="expression" priority="190" dxfId="1">
      <formula>F149="PASS"</formula>
    </cfRule>
  </conditionalFormatting>
  <conditionalFormatting sqref="F150">
    <cfRule type="expression" priority="191" dxfId="0">
      <formula>F150="FAIL"</formula>
    </cfRule>
    <cfRule type="expression" priority="192" dxfId="1">
      <formula>F150="PASS"</formula>
    </cfRule>
  </conditionalFormatting>
  <conditionalFormatting sqref="F151">
    <cfRule type="expression" priority="193" dxfId="0">
      <formula>F151="FAIL"</formula>
    </cfRule>
    <cfRule type="expression" priority="194" dxfId="1">
      <formula>F151="PASS"</formula>
    </cfRule>
  </conditionalFormatting>
  <conditionalFormatting sqref="F152">
    <cfRule type="expression" priority="195" dxfId="0">
      <formula>F152="FAIL"</formula>
    </cfRule>
    <cfRule type="expression" priority="196" dxfId="1">
      <formula>F152="PASS"</formula>
    </cfRule>
  </conditionalFormatting>
  <conditionalFormatting sqref="F156">
    <cfRule type="expression" priority="197" dxfId="0">
      <formula>F156="FAIL"</formula>
    </cfRule>
    <cfRule type="expression" priority="198" dxfId="1">
      <formula>F156="PASS"</formula>
    </cfRule>
  </conditionalFormatting>
  <conditionalFormatting sqref="F157">
    <cfRule type="expression" priority="199" dxfId="0">
      <formula>F157="FAIL"</formula>
    </cfRule>
    <cfRule type="expression" priority="200" dxfId="1">
      <formula>F157="PASS"</formula>
    </cfRule>
  </conditionalFormatting>
  <conditionalFormatting sqref="F158">
    <cfRule type="expression" priority="201" dxfId="0">
      <formula>F158="FAIL"</formula>
    </cfRule>
    <cfRule type="expression" priority="202" dxfId="1">
      <formula>F158="PASS"</formula>
    </cfRule>
  </conditionalFormatting>
  <conditionalFormatting sqref="F159">
    <cfRule type="expression" priority="203" dxfId="0">
      <formula>F159="FAIL"</formula>
    </cfRule>
    <cfRule type="expression" priority="204" dxfId="1">
      <formula>F159="PASS"</formula>
    </cfRule>
  </conditionalFormatting>
  <conditionalFormatting sqref="F160">
    <cfRule type="expression" priority="205" dxfId="0">
      <formula>F160="FAIL"</formula>
    </cfRule>
    <cfRule type="expression" priority="206" dxfId="1">
      <formula>F160="PASS"</formula>
    </cfRule>
  </conditionalFormatting>
  <conditionalFormatting sqref="F161">
    <cfRule type="expression" priority="207" dxfId="0">
      <formula>F161="FAIL"</formula>
    </cfRule>
    <cfRule type="expression" priority="208" dxfId="1">
      <formula>F161="PASS"</formula>
    </cfRule>
  </conditionalFormatting>
  <conditionalFormatting sqref="F162">
    <cfRule type="expression" priority="209" dxfId="0">
      <formula>F162="FAIL"</formula>
    </cfRule>
    <cfRule type="expression" priority="210" dxfId="1">
      <formula>F162="PASS"</formula>
    </cfRule>
  </conditionalFormatting>
  <conditionalFormatting sqref="F166">
    <cfRule type="expression" priority="211" dxfId="0">
      <formula>F166="FAIL"</formula>
    </cfRule>
    <cfRule type="expression" priority="212" dxfId="1">
      <formula>F166="PASS"</formula>
    </cfRule>
  </conditionalFormatting>
  <conditionalFormatting sqref="F167">
    <cfRule type="expression" priority="213" dxfId="0">
      <formula>F167="FAIL"</formula>
    </cfRule>
    <cfRule type="expression" priority="214" dxfId="1">
      <formula>F167="PASS"</formula>
    </cfRule>
  </conditionalFormatting>
  <conditionalFormatting sqref="F168">
    <cfRule type="expression" priority="215" dxfId="0">
      <formula>F168="FAIL"</formula>
    </cfRule>
    <cfRule type="expression" priority="216" dxfId="1">
      <formula>F168="PASS"</formula>
    </cfRule>
  </conditionalFormatting>
  <conditionalFormatting sqref="F169">
    <cfRule type="expression" priority="217" dxfId="0">
      <formula>F169="FAIL"</formula>
    </cfRule>
    <cfRule type="expression" priority="218" dxfId="1">
      <formula>F169="PASS"</formula>
    </cfRule>
  </conditionalFormatting>
  <conditionalFormatting sqref="F170">
    <cfRule type="expression" priority="219" dxfId="0">
      <formula>F170="FAIL"</formula>
    </cfRule>
    <cfRule type="expression" priority="220" dxfId="1">
      <formula>F170="PASS"</formula>
    </cfRule>
  </conditionalFormatting>
  <conditionalFormatting sqref="F171">
    <cfRule type="expression" priority="221" dxfId="0">
      <formula>F171="FAIL"</formula>
    </cfRule>
    <cfRule type="expression" priority="222" dxfId="1">
      <formula>F171="PASS"</formula>
    </cfRule>
  </conditionalFormatting>
  <conditionalFormatting sqref="F172">
    <cfRule type="expression" priority="223" dxfId="0">
      <formula>F172="FAIL"</formula>
    </cfRule>
    <cfRule type="expression" priority="224" dxfId="1">
      <formula>F172="PASS"</formula>
    </cfRule>
  </conditionalFormatting>
  <conditionalFormatting sqref="F176">
    <cfRule type="expression" priority="225" dxfId="0">
      <formula>F176="FAIL"</formula>
    </cfRule>
    <cfRule type="expression" priority="226" dxfId="1">
      <formula>F176="PASS"</formula>
    </cfRule>
  </conditionalFormatting>
  <conditionalFormatting sqref="F177">
    <cfRule type="expression" priority="227" dxfId="0">
      <formula>F177="FAIL"</formula>
    </cfRule>
    <cfRule type="expression" priority="228" dxfId="1">
      <formula>F177="PASS"</formula>
    </cfRule>
  </conditionalFormatting>
  <conditionalFormatting sqref="F178">
    <cfRule type="expression" priority="229" dxfId="0">
      <formula>F178="FAIL"</formula>
    </cfRule>
    <cfRule type="expression" priority="230" dxfId="1">
      <formula>F178="PASS"</formula>
    </cfRule>
  </conditionalFormatting>
  <conditionalFormatting sqref="F179">
    <cfRule type="expression" priority="231" dxfId="0">
      <formula>F179="FAIL"</formula>
    </cfRule>
    <cfRule type="expression" priority="232" dxfId="1">
      <formula>F179="PASS"</formula>
    </cfRule>
  </conditionalFormatting>
  <conditionalFormatting sqref="F180">
    <cfRule type="expression" priority="233" dxfId="0">
      <formula>F180="FAIL"</formula>
    </cfRule>
    <cfRule type="expression" priority="234" dxfId="1">
      <formula>F180="PASS"</formula>
    </cfRule>
  </conditionalFormatting>
  <conditionalFormatting sqref="F181">
    <cfRule type="expression" priority="235" dxfId="0">
      <formula>F181="FAIL"</formula>
    </cfRule>
    <cfRule type="expression" priority="236" dxfId="1">
      <formula>F181="PASS"</formula>
    </cfRule>
  </conditionalFormatting>
  <conditionalFormatting sqref="F182">
    <cfRule type="expression" priority="237" dxfId="0">
      <formula>F182="FAIL"</formula>
    </cfRule>
    <cfRule type="expression" priority="238" dxfId="1">
      <formula>F182="PASS"</formula>
    </cfRule>
  </conditionalFormatting>
  <conditionalFormatting sqref="F186">
    <cfRule type="expression" priority="239" dxfId="0">
      <formula>F186="FAIL"</formula>
    </cfRule>
    <cfRule type="expression" priority="240" dxfId="1">
      <formula>F186="PASS"</formula>
    </cfRule>
  </conditionalFormatting>
  <conditionalFormatting sqref="F187">
    <cfRule type="expression" priority="241" dxfId="0">
      <formula>F187="FAIL"</formula>
    </cfRule>
    <cfRule type="expression" priority="242" dxfId="1">
      <formula>F187="PASS"</formula>
    </cfRule>
  </conditionalFormatting>
  <conditionalFormatting sqref="F188">
    <cfRule type="expression" priority="243" dxfId="0">
      <formula>F188="FAIL"</formula>
    </cfRule>
    <cfRule type="expression" priority="244" dxfId="1">
      <formula>F188="PASS"</formula>
    </cfRule>
  </conditionalFormatting>
  <conditionalFormatting sqref="F189">
    <cfRule type="expression" priority="245" dxfId="0">
      <formula>F189="FAIL"</formula>
    </cfRule>
    <cfRule type="expression" priority="246" dxfId="1">
      <formula>F189="PASS"</formula>
    </cfRule>
  </conditionalFormatting>
  <conditionalFormatting sqref="F190">
    <cfRule type="expression" priority="247" dxfId="0">
      <formula>F190="FAIL"</formula>
    </cfRule>
    <cfRule type="expression" priority="248" dxfId="1">
      <formula>F190="PASS"</formula>
    </cfRule>
  </conditionalFormatting>
  <conditionalFormatting sqref="F191">
    <cfRule type="expression" priority="249" dxfId="0">
      <formula>F191="FAIL"</formula>
    </cfRule>
    <cfRule type="expression" priority="250" dxfId="1">
      <formula>F191="PASS"</formula>
    </cfRule>
  </conditionalFormatting>
  <conditionalFormatting sqref="F192">
    <cfRule type="expression" priority="251" dxfId="0">
      <formula>F192="FAIL"</formula>
    </cfRule>
    <cfRule type="expression" priority="252" dxfId="1">
      <formula>F192="PASS"</formula>
    </cfRule>
  </conditionalFormatting>
  <conditionalFormatting sqref="F196">
    <cfRule type="expression" priority="253" dxfId="0">
      <formula>F196="FAIL"</formula>
    </cfRule>
    <cfRule type="expression" priority="254" dxfId="1">
      <formula>F196="PASS"</formula>
    </cfRule>
  </conditionalFormatting>
  <conditionalFormatting sqref="F197">
    <cfRule type="expression" priority="255" dxfId="0">
      <formula>F197="FAIL"</formula>
    </cfRule>
    <cfRule type="expression" priority="256" dxfId="1">
      <formula>F197="PASS"</formula>
    </cfRule>
  </conditionalFormatting>
  <conditionalFormatting sqref="F198">
    <cfRule type="expression" priority="257" dxfId="0">
      <formula>F198="FAIL"</formula>
    </cfRule>
    <cfRule type="expression" priority="258" dxfId="1">
      <formula>F198="PASS"</formula>
    </cfRule>
  </conditionalFormatting>
  <conditionalFormatting sqref="F199">
    <cfRule type="expression" priority="259" dxfId="0">
      <formula>F199="FAIL"</formula>
    </cfRule>
    <cfRule type="expression" priority="260" dxfId="1">
      <formula>F199="PASS"</formula>
    </cfRule>
  </conditionalFormatting>
  <conditionalFormatting sqref="F200">
    <cfRule type="expression" priority="261" dxfId="0">
      <formula>F200="FAIL"</formula>
    </cfRule>
    <cfRule type="expression" priority="262" dxfId="1">
      <formula>F200="PASS"</formula>
    </cfRule>
  </conditionalFormatting>
  <conditionalFormatting sqref="F201">
    <cfRule type="expression" priority="263" dxfId="0">
      <formula>F201="FAIL"</formula>
    </cfRule>
    <cfRule type="expression" priority="264" dxfId="1">
      <formula>F201="PASS"</formula>
    </cfRule>
  </conditionalFormatting>
  <conditionalFormatting sqref="F202">
    <cfRule type="expression" priority="265" dxfId="0">
      <formula>F202="FAIL"</formula>
    </cfRule>
    <cfRule type="expression" priority="266" dxfId="1">
      <formula>F202="PASS"</formula>
    </cfRule>
  </conditionalFormatting>
  <conditionalFormatting sqref="F206">
    <cfRule type="expression" priority="267" dxfId="0">
      <formula>F206="FAIL"</formula>
    </cfRule>
    <cfRule type="expression" priority="268" dxfId="1">
      <formula>F206="PASS"</formula>
    </cfRule>
  </conditionalFormatting>
  <conditionalFormatting sqref="F207">
    <cfRule type="expression" priority="269" dxfId="0">
      <formula>F207="FAIL"</formula>
    </cfRule>
    <cfRule type="expression" priority="270" dxfId="1">
      <formula>F207="PASS"</formula>
    </cfRule>
  </conditionalFormatting>
  <conditionalFormatting sqref="F208">
    <cfRule type="expression" priority="271" dxfId="0">
      <formula>F208="FAIL"</formula>
    </cfRule>
    <cfRule type="expression" priority="272" dxfId="1">
      <formula>F208="PASS"</formula>
    </cfRule>
  </conditionalFormatting>
  <conditionalFormatting sqref="F209">
    <cfRule type="expression" priority="273" dxfId="0">
      <formula>F209="FAIL"</formula>
    </cfRule>
    <cfRule type="expression" priority="274" dxfId="1">
      <formula>F209="PASS"</formula>
    </cfRule>
  </conditionalFormatting>
  <conditionalFormatting sqref="F210">
    <cfRule type="expression" priority="275" dxfId="0">
      <formula>F210="FAIL"</formula>
    </cfRule>
    <cfRule type="expression" priority="276" dxfId="1">
      <formula>F210="PASS"</formula>
    </cfRule>
  </conditionalFormatting>
  <conditionalFormatting sqref="F211">
    <cfRule type="expression" priority="277" dxfId="0">
      <formula>F211="FAIL"</formula>
    </cfRule>
    <cfRule type="expression" priority="278" dxfId="1">
      <formula>F211="PASS"</formula>
    </cfRule>
  </conditionalFormatting>
  <conditionalFormatting sqref="F212">
    <cfRule type="expression" priority="279" dxfId="0">
      <formula>F212="FAIL"</formula>
    </cfRule>
    <cfRule type="expression" priority="280" dxfId="1">
      <formula>F212="PASS"</formula>
    </cfRule>
  </conditionalFormatting>
  <conditionalFormatting sqref="F216">
    <cfRule type="expression" priority="281" dxfId="0">
      <formula>F216="FAIL"</formula>
    </cfRule>
    <cfRule type="expression" priority="282" dxfId="1">
      <formula>F216="PASS"</formula>
    </cfRule>
  </conditionalFormatting>
  <conditionalFormatting sqref="F217">
    <cfRule type="expression" priority="283" dxfId="0">
      <formula>F217="FAIL"</formula>
    </cfRule>
    <cfRule type="expression" priority="284" dxfId="1">
      <formula>F217="PASS"</formula>
    </cfRule>
  </conditionalFormatting>
  <conditionalFormatting sqref="F218">
    <cfRule type="expression" priority="285" dxfId="0">
      <formula>F218="FAIL"</formula>
    </cfRule>
    <cfRule type="expression" priority="286" dxfId="1">
      <formula>F218="PASS"</formula>
    </cfRule>
  </conditionalFormatting>
  <conditionalFormatting sqref="F219">
    <cfRule type="expression" priority="287" dxfId="0">
      <formula>F219="FAIL"</formula>
    </cfRule>
    <cfRule type="expression" priority="288" dxfId="1">
      <formula>F219="PASS"</formula>
    </cfRule>
  </conditionalFormatting>
  <conditionalFormatting sqref="F220">
    <cfRule type="expression" priority="289" dxfId="0">
      <formula>F220="FAIL"</formula>
    </cfRule>
    <cfRule type="expression" priority="290" dxfId="1">
      <formula>F220="PASS"</formula>
    </cfRule>
  </conditionalFormatting>
  <conditionalFormatting sqref="F221">
    <cfRule type="expression" priority="291" dxfId="0">
      <formula>F221="FAIL"</formula>
    </cfRule>
    <cfRule type="expression" priority="292" dxfId="1">
      <formula>F221="PASS"</formula>
    </cfRule>
  </conditionalFormatting>
  <conditionalFormatting sqref="F222">
    <cfRule type="expression" priority="293" dxfId="0">
      <formula>F222="FAIL"</formula>
    </cfRule>
    <cfRule type="expression" priority="294" dxfId="1">
      <formula>F222="PASS"</formula>
    </cfRule>
  </conditionalFormatting>
  <conditionalFormatting sqref="F226">
    <cfRule type="expression" priority="295" dxfId="0">
      <formula>F226="FAIL"</formula>
    </cfRule>
    <cfRule type="expression" priority="296" dxfId="1">
      <formula>F226="PASS"</formula>
    </cfRule>
  </conditionalFormatting>
  <conditionalFormatting sqref="F227">
    <cfRule type="expression" priority="297" dxfId="0">
      <formula>F227="FAIL"</formula>
    </cfRule>
    <cfRule type="expression" priority="298" dxfId="1">
      <formula>F227="PASS"</formula>
    </cfRule>
  </conditionalFormatting>
  <conditionalFormatting sqref="F228">
    <cfRule type="expression" priority="299" dxfId="0">
      <formula>F228="FAIL"</formula>
    </cfRule>
    <cfRule type="expression" priority="300" dxfId="1">
      <formula>F228="PASS"</formula>
    </cfRule>
  </conditionalFormatting>
  <conditionalFormatting sqref="F229">
    <cfRule type="expression" priority="301" dxfId="0">
      <formula>F229="FAIL"</formula>
    </cfRule>
    <cfRule type="expression" priority="302" dxfId="1">
      <formula>F229="PASS"</formula>
    </cfRule>
  </conditionalFormatting>
  <conditionalFormatting sqref="F230">
    <cfRule type="expression" priority="303" dxfId="0">
      <formula>F230="FAIL"</formula>
    </cfRule>
    <cfRule type="expression" priority="304" dxfId="1">
      <formula>F230="PASS"</formula>
    </cfRule>
  </conditionalFormatting>
  <conditionalFormatting sqref="F231">
    <cfRule type="expression" priority="305" dxfId="0">
      <formula>F231="FAIL"</formula>
    </cfRule>
    <cfRule type="expression" priority="306" dxfId="1">
      <formula>F231="PASS"</formula>
    </cfRule>
  </conditionalFormatting>
  <conditionalFormatting sqref="F232">
    <cfRule type="expression" priority="307" dxfId="0">
      <formula>F232="FAIL"</formula>
    </cfRule>
    <cfRule type="expression" priority="308" dxfId="1">
      <formula>F232="PASS"</formula>
    </cfRule>
  </conditionalFormatting>
  <conditionalFormatting sqref="F236">
    <cfRule type="expression" priority="309" dxfId="0">
      <formula>F236="FAIL"</formula>
    </cfRule>
    <cfRule type="expression" priority="310" dxfId="1">
      <formula>F236="PASS"</formula>
    </cfRule>
  </conditionalFormatting>
  <conditionalFormatting sqref="F237">
    <cfRule type="expression" priority="311" dxfId="0">
      <formula>F237="FAIL"</formula>
    </cfRule>
    <cfRule type="expression" priority="312" dxfId="1">
      <formula>F237="PASS"</formula>
    </cfRule>
  </conditionalFormatting>
  <conditionalFormatting sqref="F238">
    <cfRule type="expression" priority="313" dxfId="0">
      <formula>F238="FAIL"</formula>
    </cfRule>
    <cfRule type="expression" priority="314" dxfId="1">
      <formula>F238="PASS"</formula>
    </cfRule>
  </conditionalFormatting>
  <conditionalFormatting sqref="F239">
    <cfRule type="expression" priority="315" dxfId="0">
      <formula>F239="FAIL"</formula>
    </cfRule>
    <cfRule type="expression" priority="316" dxfId="1">
      <formula>F239="PASS"</formula>
    </cfRule>
  </conditionalFormatting>
  <conditionalFormatting sqref="F240">
    <cfRule type="expression" priority="317" dxfId="0">
      <formula>F240="FAIL"</formula>
    </cfRule>
    <cfRule type="expression" priority="318" dxfId="1">
      <formula>F240="PASS"</formula>
    </cfRule>
  </conditionalFormatting>
  <conditionalFormatting sqref="F241">
    <cfRule type="expression" priority="319" dxfId="0">
      <formula>F241="FAIL"</formula>
    </cfRule>
    <cfRule type="expression" priority="320" dxfId="1">
      <formula>F241="PASS"</formula>
    </cfRule>
  </conditionalFormatting>
  <conditionalFormatting sqref="F242">
    <cfRule type="expression" priority="321" dxfId="0">
      <formula>F242="FAIL"</formula>
    </cfRule>
    <cfRule type="expression" priority="322" dxfId="1">
      <formula>F242="PASS"</formula>
    </cfRule>
  </conditionalFormatting>
  <conditionalFormatting sqref="F246">
    <cfRule type="expression" priority="323" dxfId="0">
      <formula>F246="FAIL"</formula>
    </cfRule>
    <cfRule type="expression" priority="324" dxfId="1">
      <formula>F246="PASS"</formula>
    </cfRule>
  </conditionalFormatting>
  <conditionalFormatting sqref="F247">
    <cfRule type="expression" priority="325" dxfId="0">
      <formula>F247="FAIL"</formula>
    </cfRule>
    <cfRule type="expression" priority="326" dxfId="1">
      <formula>F247="PASS"</formula>
    </cfRule>
  </conditionalFormatting>
  <conditionalFormatting sqref="F248">
    <cfRule type="expression" priority="327" dxfId="0">
      <formula>F248="FAIL"</formula>
    </cfRule>
    <cfRule type="expression" priority="328" dxfId="1">
      <formula>F248="PASS"</formula>
    </cfRule>
  </conditionalFormatting>
  <conditionalFormatting sqref="F249">
    <cfRule type="expression" priority="329" dxfId="0">
      <formula>F249="FAIL"</formula>
    </cfRule>
    <cfRule type="expression" priority="330" dxfId="1">
      <formula>F249="PASS"</formula>
    </cfRule>
  </conditionalFormatting>
  <conditionalFormatting sqref="F250">
    <cfRule type="expression" priority="331" dxfId="0">
      <formula>F250="FAIL"</formula>
    </cfRule>
    <cfRule type="expression" priority="332" dxfId="1">
      <formula>F250="PASS"</formula>
    </cfRule>
  </conditionalFormatting>
  <conditionalFormatting sqref="F251">
    <cfRule type="expression" priority="333" dxfId="0">
      <formula>F251="FAIL"</formula>
    </cfRule>
    <cfRule type="expression" priority="334" dxfId="1">
      <formula>F251="PASS"</formula>
    </cfRule>
  </conditionalFormatting>
  <conditionalFormatting sqref="F252">
    <cfRule type="expression" priority="335" dxfId="0">
      <formula>F252="FAIL"</formula>
    </cfRule>
    <cfRule type="expression" priority="336" dxfId="1">
      <formula>F252="PASS"</formula>
    </cfRule>
  </conditionalFormatting>
  <conditionalFormatting sqref="F256">
    <cfRule type="expression" priority="337" dxfId="0">
      <formula>F256="FAIL"</formula>
    </cfRule>
    <cfRule type="expression" priority="338" dxfId="1">
      <formula>F256="PASS"</formula>
    </cfRule>
  </conditionalFormatting>
  <conditionalFormatting sqref="F257">
    <cfRule type="expression" priority="339" dxfId="0">
      <formula>F257="FAIL"</formula>
    </cfRule>
    <cfRule type="expression" priority="340" dxfId="1">
      <formula>F257="PASS"</formula>
    </cfRule>
  </conditionalFormatting>
  <conditionalFormatting sqref="F258">
    <cfRule type="expression" priority="341" dxfId="0">
      <formula>F258="FAIL"</formula>
    </cfRule>
    <cfRule type="expression" priority="342" dxfId="1">
      <formula>F258="PASS"</formula>
    </cfRule>
  </conditionalFormatting>
  <conditionalFormatting sqref="F259">
    <cfRule type="expression" priority="343" dxfId="0">
      <formula>F259="FAIL"</formula>
    </cfRule>
    <cfRule type="expression" priority="344" dxfId="1">
      <formula>F259="PASS"</formula>
    </cfRule>
  </conditionalFormatting>
  <conditionalFormatting sqref="F260">
    <cfRule type="expression" priority="345" dxfId="0">
      <formula>F260="FAIL"</formula>
    </cfRule>
    <cfRule type="expression" priority="346" dxfId="1">
      <formula>F260="PASS"</formula>
    </cfRule>
  </conditionalFormatting>
  <conditionalFormatting sqref="F261">
    <cfRule type="expression" priority="347" dxfId="0">
      <formula>F261="FAIL"</formula>
    </cfRule>
    <cfRule type="expression" priority="348" dxfId="1">
      <formula>F261="PASS"</formula>
    </cfRule>
  </conditionalFormatting>
  <conditionalFormatting sqref="F262">
    <cfRule type="expression" priority="349" dxfId="0">
      <formula>F262="FAIL"</formula>
    </cfRule>
    <cfRule type="expression" priority="350" dxfId="1">
      <formula>F262="PASS"</formula>
    </cfRule>
  </conditionalFormatting>
  <conditionalFormatting sqref="C265">
    <cfRule type="expression" priority="351" dxfId="0">
      <formula>C265="SOME FAILED"</formula>
    </cfRule>
    <cfRule type="expression" priority="352" dxfId="1">
      <formula>C265="ALL PASS"</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H8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 customWidth="1" min="1" max="1"/>
    <col width="38" customWidth="1" min="2" max="2"/>
    <col width="15" customWidth="1" min="3" max="3"/>
    <col width="15" customWidth="1" min="4" max="4"/>
    <col width="15" customWidth="1" min="5" max="5"/>
    <col width="15" customWidth="1" min="6" max="6"/>
    <col width="15" customWidth="1" min="7" max="7"/>
  </cols>
  <sheetData>
    <row r="2" ht="26" customHeight="1">
      <c r="B2" s="1" t="inlineStr">
        <is>
          <t>10. Scenario Compare — Orchestration over MODE A/B/C/BEP (Interactive)</t>
        </is>
      </c>
      <c r="C2" s="6" t="n"/>
      <c r="D2" s="6" t="n"/>
      <c r="E2" s="6" t="n"/>
      <c r="F2" s="6" t="n"/>
      <c r="G2" s="6" t="n"/>
      <c r="H2" s="6" t="n"/>
    </row>
    <row r="4" ht="20" customHeight="1">
      <c r="B4" s="2" t="inlineStr">
        <is>
          <t>BASE INPUT (단일 컴포넌트 기준, 모든 시나리오가 공유)</t>
        </is>
      </c>
      <c r="C4" s="7" t="n"/>
      <c r="D4" s="7" t="n"/>
      <c r="E4" s="7" t="n"/>
      <c r="F4" s="7" t="n"/>
      <c r="G4" s="7" t="n"/>
      <c r="H4" s="7" t="n"/>
    </row>
    <row r="5">
      <c r="B5" s="8" t="inlineStr">
        <is>
          <t>Base Actual Price</t>
        </is>
      </c>
      <c r="C5" s="11" t="n">
        <v>1000</v>
      </c>
    </row>
    <row r="6">
      <c r="B6" s="8" t="inlineStr">
        <is>
          <t>Base Price Includes VAT</t>
        </is>
      </c>
      <c r="C6" s="9" t="b">
        <v>0</v>
      </c>
    </row>
    <row r="7">
      <c r="B7" s="8" t="inlineStr">
        <is>
          <t>Base VAT Rate</t>
        </is>
      </c>
      <c r="C7" s="12" t="n">
        <v>0.1</v>
      </c>
    </row>
    <row r="8">
      <c r="B8" s="8" t="inlineStr">
        <is>
          <t>Base Target Market Price</t>
        </is>
      </c>
      <c r="C8" s="11" t="n">
        <v>1000</v>
      </c>
    </row>
    <row r="9">
      <c r="B9" s="8" t="inlineStr">
        <is>
          <t>Base Discount Rate</t>
        </is>
      </c>
      <c r="C9" s="12" t="n">
        <v>0</v>
      </c>
    </row>
    <row r="10">
      <c r="B10" s="8" t="inlineStr">
        <is>
          <t>Base Direct Cost Amount</t>
        </is>
      </c>
      <c r="C10" s="11" t="n">
        <v>400</v>
      </c>
    </row>
    <row r="11">
      <c r="B11" s="8" t="inlineStr">
        <is>
          <t>Base Variable Fixed Cost (override 불가)</t>
        </is>
      </c>
      <c r="C11" s="11" t="n">
        <v>100</v>
      </c>
    </row>
    <row r="12">
      <c r="B12" s="8" t="inlineStr">
        <is>
          <t>Base Net-Sales Fee Rate (override 불가)</t>
        </is>
      </c>
      <c r="C12" s="12" t="n">
        <v>0</v>
      </c>
    </row>
    <row r="13">
      <c r="B13" s="8" t="inlineStr">
        <is>
          <t>Base Gross-Payment Fee Rate (override 불가)</t>
        </is>
      </c>
      <c r="C13" s="12" t="n">
        <v>0</v>
      </c>
    </row>
    <row r="14">
      <c r="B14" s="8" t="inlineStr">
        <is>
          <t>Base Fixed Operating Cost Amount</t>
        </is>
      </c>
      <c r="C14" s="11" t="n">
        <v>50000</v>
      </c>
    </row>
    <row r="15">
      <c r="B15" s="8" t="inlineStr">
        <is>
          <t>Base Target Contribution Margin Rate</t>
        </is>
      </c>
      <c r="C15" s="12" t="n">
        <v>0.3</v>
      </c>
    </row>
    <row r="17" ht="20" customHeight="1">
      <c r="B17" s="2" t="inlineStr">
        <is>
          <t>SCENARIO CONTROL</t>
        </is>
      </c>
      <c r="C17" s="7" t="n"/>
      <c r="D17" s="7" t="n"/>
      <c r="E17" s="7" t="n"/>
      <c r="F17" s="7" t="n"/>
      <c r="G17" s="7" t="n"/>
      <c r="H17" s="7" t="n"/>
    </row>
    <row r="18">
      <c r="B18" s="8" t="inlineStr">
        <is>
          <t>Baseline Scenario ID</t>
        </is>
      </c>
      <c r="C18" s="9" t="inlineStr">
        <is>
          <t>A</t>
        </is>
      </c>
      <c r="D18" s="8" t="inlineStr">
        <is>
          <t>활성 Scenario ID 중 하나와 반드시 일치해야 함 — 첫 번째 시나리오를 자동 baseline으로 취급하지 않음</t>
        </is>
      </c>
    </row>
    <row r="19">
      <c r="B19" s="39" t="inlineStr">
        <is>
          <t>Excel v0.1: 최대 5개 시나리오(A~E) — Python Core는 이 제한이 없음(2개 이상 임의 개수). 이는 presentation-layer 제한이며 계산 semantics 제한이 아님.</t>
        </is>
      </c>
    </row>
    <row r="21" ht="20" customHeight="1">
      <c r="B21" s="2" t="inlineStr">
        <is>
          <t>SCENARIO IDENTITY (blank Scenario ID = 비활성)</t>
        </is>
      </c>
      <c r="C21" s="7" t="n"/>
      <c r="D21" s="7" t="n"/>
      <c r="E21" s="7" t="n"/>
      <c r="F21" s="7" t="n"/>
      <c r="G21" s="7" t="n"/>
      <c r="H21" s="7" t="n"/>
    </row>
    <row r="22">
      <c r="B22" s="8" t="inlineStr">
        <is>
          <t>Scenario ID</t>
        </is>
      </c>
      <c r="C22" s="9" t="inlineStr">
        <is>
          <t>A</t>
        </is>
      </c>
      <c r="D22" s="9" t="inlineStr">
        <is>
          <t>B</t>
        </is>
      </c>
      <c r="E22" s="9" t="inlineStr">
        <is>
          <t>C</t>
        </is>
      </c>
      <c r="F22" s="9" t="inlineStr">
        <is>
          <t>D</t>
        </is>
      </c>
      <c r="G22" s="9" t="inlineStr">
        <is>
          <t>E</t>
        </is>
      </c>
    </row>
    <row r="23">
      <c r="B23" s="8" t="inlineStr">
        <is>
          <t>Label</t>
        </is>
      </c>
      <c r="C23" s="9" t="inlineStr">
        <is>
          <t>Baseline</t>
        </is>
      </c>
      <c r="D23" s="9" t="inlineStr">
        <is>
          <t>Price Up</t>
        </is>
      </c>
      <c r="E23" s="9" t="inlineStr">
        <is>
          <t>Price Down</t>
        </is>
      </c>
      <c r="F23" s="9" t="inlineStr"/>
      <c r="G23" s="9" t="inlineStr"/>
    </row>
    <row r="25" ht="20" customHeight="1">
      <c r="B25" s="2" t="inlineStr">
        <is>
          <t>OVERRIDE INPUT (Mode: inherit / null / value)</t>
        </is>
      </c>
      <c r="C25" s="7" t="n"/>
      <c r="D25" s="7" t="n"/>
      <c r="E25" s="7" t="n"/>
      <c r="F25" s="7" t="n"/>
      <c r="G25" s="7" t="n"/>
      <c r="H25" s="7" t="n"/>
    </row>
    <row r="26">
      <c r="B26" s="8" t="inlineStr">
        <is>
          <t>Actual Price — Mode</t>
        </is>
      </c>
      <c r="C26" s="9" t="inlineStr">
        <is>
          <t>inherit</t>
        </is>
      </c>
      <c r="D26" s="9" t="inlineStr">
        <is>
          <t>value</t>
        </is>
      </c>
      <c r="E26" s="9" t="inlineStr">
        <is>
          <t>value</t>
        </is>
      </c>
      <c r="F26" s="9" t="inlineStr">
        <is>
          <t>inherit</t>
        </is>
      </c>
      <c r="G26" s="9" t="inlineStr">
        <is>
          <t>inherit</t>
        </is>
      </c>
    </row>
    <row r="27">
      <c r="B27" s="8" t="inlineStr">
        <is>
          <t>Actual Price — Value</t>
        </is>
      </c>
      <c r="C27" s="40" t="n"/>
      <c r="D27" s="40" t="n">
        <v>1200</v>
      </c>
      <c r="E27" s="40" t="n">
        <v>800</v>
      </c>
      <c r="F27" s="40" t="n"/>
      <c r="G27" s="40" t="n"/>
    </row>
    <row r="28">
      <c r="B28" s="8" t="inlineStr">
        <is>
          <t>Price Includes VAT — Mode</t>
        </is>
      </c>
      <c r="C28" s="9" t="inlineStr">
        <is>
          <t>inherit</t>
        </is>
      </c>
      <c r="D28" s="9" t="inlineStr">
        <is>
          <t>inherit</t>
        </is>
      </c>
      <c r="E28" s="9" t="inlineStr">
        <is>
          <t>inherit</t>
        </is>
      </c>
      <c r="F28" s="9" t="inlineStr">
        <is>
          <t>inherit</t>
        </is>
      </c>
      <c r="G28" s="9" t="inlineStr">
        <is>
          <t>inherit</t>
        </is>
      </c>
    </row>
    <row r="29">
      <c r="B29" s="8" t="inlineStr">
        <is>
          <t>Price Includes VAT — Value</t>
        </is>
      </c>
      <c r="C29" s="40" t="n"/>
      <c r="D29" s="40" t="n"/>
      <c r="E29" s="40" t="n"/>
      <c r="F29" s="40" t="n"/>
      <c r="G29" s="40" t="n"/>
    </row>
    <row r="30">
      <c r="B30" s="8" t="inlineStr">
        <is>
          <t>Target Market Price — Mode</t>
        </is>
      </c>
      <c r="C30" s="9" t="inlineStr">
        <is>
          <t>inherit</t>
        </is>
      </c>
      <c r="D30" s="9" t="inlineStr">
        <is>
          <t>inherit</t>
        </is>
      </c>
      <c r="E30" s="9" t="inlineStr">
        <is>
          <t>inherit</t>
        </is>
      </c>
      <c r="F30" s="9" t="inlineStr">
        <is>
          <t>inherit</t>
        </is>
      </c>
      <c r="G30" s="9" t="inlineStr">
        <is>
          <t>inherit</t>
        </is>
      </c>
    </row>
    <row r="31">
      <c r="B31" s="8" t="inlineStr">
        <is>
          <t>Target Market Price — Value</t>
        </is>
      </c>
      <c r="C31" s="40" t="n"/>
      <c r="D31" s="40" t="n"/>
      <c r="E31" s="40" t="n"/>
      <c r="F31" s="40" t="n"/>
      <c r="G31" s="40" t="n"/>
    </row>
    <row r="32">
      <c r="B32" s="8" t="inlineStr">
        <is>
          <t>Discount Rate — Mode</t>
        </is>
      </c>
      <c r="C32" s="9" t="inlineStr">
        <is>
          <t>inherit</t>
        </is>
      </c>
      <c r="D32" s="9" t="inlineStr">
        <is>
          <t>inherit</t>
        </is>
      </c>
      <c r="E32" s="9" t="inlineStr">
        <is>
          <t>inherit</t>
        </is>
      </c>
      <c r="F32" s="9" t="inlineStr">
        <is>
          <t>inherit</t>
        </is>
      </c>
      <c r="G32" s="9" t="inlineStr">
        <is>
          <t>inherit</t>
        </is>
      </c>
    </row>
    <row r="33">
      <c r="B33" s="8" t="inlineStr">
        <is>
          <t>Discount Rate — Value</t>
        </is>
      </c>
      <c r="C33" s="40" t="n"/>
      <c r="D33" s="40" t="n"/>
      <c r="E33" s="40" t="n"/>
      <c r="F33" s="40" t="n"/>
      <c r="G33" s="40" t="n"/>
    </row>
    <row r="34">
      <c r="B34" s="8" t="inlineStr">
        <is>
          <t>Target CM Rate — Mode</t>
        </is>
      </c>
      <c r="C34" s="9" t="inlineStr">
        <is>
          <t>inherit</t>
        </is>
      </c>
      <c r="D34" s="9" t="inlineStr">
        <is>
          <t>inherit</t>
        </is>
      </c>
      <c r="E34" s="9" t="inlineStr">
        <is>
          <t>inherit</t>
        </is>
      </c>
      <c r="F34" s="9" t="inlineStr">
        <is>
          <t>inherit</t>
        </is>
      </c>
      <c r="G34" s="9" t="inlineStr">
        <is>
          <t>inherit</t>
        </is>
      </c>
    </row>
    <row r="35">
      <c r="B35" s="8" t="inlineStr">
        <is>
          <t>Target CM Rate — Value</t>
        </is>
      </c>
      <c r="C35" s="40" t="n"/>
      <c r="D35" s="40" t="n"/>
      <c r="E35" s="40" t="n"/>
      <c r="F35" s="40" t="n"/>
      <c r="G35" s="40" t="n"/>
    </row>
    <row r="36">
      <c r="B36" s="8" t="inlineStr">
        <is>
          <t>VAT Rate — Mode</t>
        </is>
      </c>
      <c r="C36" s="9" t="inlineStr">
        <is>
          <t>inherit</t>
        </is>
      </c>
      <c r="D36" s="9" t="inlineStr">
        <is>
          <t>inherit</t>
        </is>
      </c>
      <c r="E36" s="9" t="inlineStr">
        <is>
          <t>inherit</t>
        </is>
      </c>
      <c r="F36" s="9" t="inlineStr">
        <is>
          <t>inherit</t>
        </is>
      </c>
      <c r="G36" s="9" t="inlineStr">
        <is>
          <t>inherit</t>
        </is>
      </c>
    </row>
    <row r="37">
      <c r="B37" s="8" t="inlineStr">
        <is>
          <t>VAT Rate — Value</t>
        </is>
      </c>
      <c r="C37" s="40" t="n"/>
      <c r="D37" s="40" t="n"/>
      <c r="E37" s="40" t="n"/>
      <c r="F37" s="40" t="n"/>
      <c r="G37" s="40" t="n"/>
    </row>
    <row r="38">
      <c r="B38" s="8" t="inlineStr">
        <is>
          <t>Direct Cost Amount — Mode</t>
        </is>
      </c>
      <c r="C38" s="9" t="inlineStr">
        <is>
          <t>inherit</t>
        </is>
      </c>
      <c r="D38" s="9" t="inlineStr">
        <is>
          <t>inherit</t>
        </is>
      </c>
      <c r="E38" s="9" t="inlineStr">
        <is>
          <t>value</t>
        </is>
      </c>
      <c r="F38" s="9" t="inlineStr">
        <is>
          <t>inherit</t>
        </is>
      </c>
      <c r="G38" s="9" t="inlineStr">
        <is>
          <t>inherit</t>
        </is>
      </c>
    </row>
    <row r="39">
      <c r="B39" s="8" t="inlineStr">
        <is>
          <t>Direct Cost Amount — Value</t>
        </is>
      </c>
      <c r="C39" s="40" t="n"/>
      <c r="D39" s="40" t="n"/>
      <c r="E39" s="40" t="n">
        <v>300</v>
      </c>
      <c r="F39" s="40" t="n"/>
      <c r="G39" s="40" t="n"/>
    </row>
    <row r="40">
      <c r="B40" s="8" t="inlineStr">
        <is>
          <t>Fixed Operating Cost Amount — Mode</t>
        </is>
      </c>
      <c r="C40" s="9" t="inlineStr">
        <is>
          <t>inherit</t>
        </is>
      </c>
      <c r="D40" s="9" t="inlineStr">
        <is>
          <t>inherit</t>
        </is>
      </c>
      <c r="E40" s="9" t="inlineStr">
        <is>
          <t>inherit</t>
        </is>
      </c>
      <c r="F40" s="9" t="inlineStr">
        <is>
          <t>inherit</t>
        </is>
      </c>
      <c r="G40" s="9" t="inlineStr">
        <is>
          <t>inherit</t>
        </is>
      </c>
    </row>
    <row r="41">
      <c r="B41" s="8" t="inlineStr">
        <is>
          <t>Fixed Operating Cost Amount — Value</t>
        </is>
      </c>
      <c r="C41" s="40" t="n"/>
      <c r="D41" s="40" t="n"/>
      <c r="E41" s="40" t="n"/>
      <c r="F41" s="40" t="n"/>
      <c r="G41" s="40" t="n"/>
    </row>
    <row r="43" ht="20" customHeight="1">
      <c r="B43" s="2" t="inlineStr">
        <is>
          <t>RESULT SUMMARY (계산값 — 직접 입력 금지)</t>
        </is>
      </c>
      <c r="C43" s="7" t="n"/>
      <c r="D43" s="7" t="n"/>
      <c r="E43" s="7" t="n"/>
      <c r="F43" s="7" t="n"/>
      <c r="G43" s="7" t="n"/>
      <c r="H43" s="7" t="n"/>
    </row>
    <row r="44">
      <c r="B44" s="8" t="inlineStr">
        <is>
          <t>MODE A: Net Sales ex VAT</t>
        </is>
      </c>
      <c r="C44" s="13">
        <f>IFERROR(IF(NOT(ISNUMBER(C59)),"UNKNOWN",IF(C60="UNKNOWN","UNKNOWN",IF(C60=FALSE,C59,IF(NOT(ISNUMBER(C61)),"UNKNOWN",C59/(1+C61))))),"ERROR")</f>
        <v/>
      </c>
      <c r="D44" s="13">
        <f>IFERROR(IF(NOT(ISNUMBER(D59)),"UNKNOWN",IF(D60="UNKNOWN","UNKNOWN",IF(D60=FALSE,D59,IF(NOT(ISNUMBER(D61)),"UNKNOWN",D59/(1+D61))))),"ERROR")</f>
        <v/>
      </c>
      <c r="E44" s="13">
        <f>IFERROR(IF(NOT(ISNUMBER(E59)),"UNKNOWN",IF(E60="UNKNOWN","UNKNOWN",IF(E60=FALSE,E59,IF(NOT(ISNUMBER(E61)),"UNKNOWN",E59/(1+E61))))),"ERROR")</f>
        <v/>
      </c>
      <c r="F44" s="13">
        <f>IFERROR(IF(NOT(ISNUMBER(F59)),"UNKNOWN",IF(F60="UNKNOWN","UNKNOWN",IF(F60=FALSE,F59,IF(NOT(ISNUMBER(F61)),"UNKNOWN",F59/(1+F61))))),"ERROR")</f>
        <v/>
      </c>
      <c r="G44" s="13">
        <f>IFERROR(IF(NOT(ISNUMBER(G59)),"UNKNOWN",IF(G60="UNKNOWN","UNKNOWN",IF(G60=FALSE,G59,IF(NOT(ISNUMBER(G61)),"UNKNOWN",G59/(1+G61))))),"ERROR")</f>
        <v/>
      </c>
    </row>
    <row r="45">
      <c r="B45" s="8" t="inlineStr">
        <is>
          <t>MODE A: Contribution Margin</t>
        </is>
      </c>
      <c r="C45" s="13">
        <f>IFERROR(IF(C44="ERROR","ERROR",IF(OR(NOT(ISNUMBER(C44)),NOT(ISNUMBER(C52))),"UNKNOWN",IF($C$13&gt;0,IF(C66="ERROR","ERROR",IF(NOT(ISNUMBER(C66)),"UNKNOWN",C44-C52-$C$11-$C$12*C44-$C$13*C66)),C44-C52-$C$11-$C$12*C44))),"ERROR")</f>
        <v/>
      </c>
      <c r="D45" s="13">
        <f>IFERROR(IF(D44="ERROR","ERROR",IF(OR(NOT(ISNUMBER(D44)),NOT(ISNUMBER(D52))),"UNKNOWN",IF($C$13&gt;0,IF(D66="ERROR","ERROR",IF(NOT(ISNUMBER(D66)),"UNKNOWN",D44-D52-$C$11-$C$12*D44-$C$13*D66)),D44-D52-$C$11-$C$12*D44))),"ERROR")</f>
        <v/>
      </c>
      <c r="E45" s="13">
        <f>IFERROR(IF(E44="ERROR","ERROR",IF(OR(NOT(ISNUMBER(E44)),NOT(ISNUMBER(E52))),"UNKNOWN",IF($C$13&gt;0,IF(E66="ERROR","ERROR",IF(NOT(ISNUMBER(E66)),"UNKNOWN",E44-E52-$C$11-$C$12*E44-$C$13*E66)),E44-E52-$C$11-$C$12*E44))),"ERROR")</f>
        <v/>
      </c>
      <c r="F45" s="13">
        <f>IFERROR(IF(F44="ERROR","ERROR",IF(OR(NOT(ISNUMBER(F44)),NOT(ISNUMBER(F52))),"UNKNOWN",IF($C$13&gt;0,IF(F66="ERROR","ERROR",IF(NOT(ISNUMBER(F66)),"UNKNOWN",F44-F52-$C$11-$C$12*F44-$C$13*F66)),F44-F52-$C$11-$C$12*F44))),"ERROR")</f>
        <v/>
      </c>
      <c r="G45" s="13">
        <f>IFERROR(IF(G44="ERROR","ERROR",IF(OR(NOT(ISNUMBER(G44)),NOT(ISNUMBER(G52))),"UNKNOWN",IF($C$13&gt;0,IF(G66="ERROR","ERROR",IF(NOT(ISNUMBER(G66)),"UNKNOWN",G44-G52-$C$11-$C$12*G44-$C$13*G66)),G44-G52-$C$11-$C$12*G44))),"ERROR")</f>
        <v/>
      </c>
    </row>
    <row r="46">
      <c r="B46" s="8" t="inlineStr">
        <is>
          <t>MODE A: CM Rate</t>
        </is>
      </c>
      <c r="C46" s="14">
        <f>IFERROR(IF(C45="ERROR","ERROR",IF(NOT(ISNUMBER(C45)),"UNKNOWN",IF(C44=0,"ERROR",C45/C44))),"ERROR")</f>
        <v/>
      </c>
      <c r="D46" s="14">
        <f>IFERROR(IF(D45="ERROR","ERROR",IF(NOT(ISNUMBER(D45)),"UNKNOWN",IF(D44=0,"ERROR",D45/D44))),"ERROR")</f>
        <v/>
      </c>
      <c r="E46" s="14">
        <f>IFERROR(IF(E45="ERROR","ERROR",IF(NOT(ISNUMBER(E45)),"UNKNOWN",IF(E44=0,"ERROR",E45/E44))),"ERROR")</f>
        <v/>
      </c>
      <c r="F46" s="14">
        <f>IFERROR(IF(F45="ERROR","ERROR",IF(NOT(ISNUMBER(F45)),"UNKNOWN",IF(F44=0,"ERROR",F45/F44))),"ERROR")</f>
        <v/>
      </c>
      <c r="G46" s="14">
        <f>IFERROR(IF(G45="ERROR","ERROR",IF(NOT(ISNUMBER(G45)),"UNKNOWN",IF(G44=0,"ERROR",G45/G44))),"ERROR")</f>
        <v/>
      </c>
    </row>
    <row r="47">
      <c r="B47" s="8" t="inlineStr">
        <is>
          <t>MODE A: Status</t>
        </is>
      </c>
      <c r="C47" s="15">
        <f>IF(OR(C44="ERROR",C45="ERROR",C46="ERROR"),"ERROR",IF(OR(NOT(ISNUMBER(C44)),NOT(ISNUMBER(C45)),NOT(ISNUMBER(C46))),"UNKNOWN","OK"))</f>
        <v/>
      </c>
      <c r="D47" s="15">
        <f>IF(OR(D44="ERROR",D45="ERROR",D46="ERROR"),"ERROR",IF(OR(NOT(ISNUMBER(D44)),NOT(ISNUMBER(D45)),NOT(ISNUMBER(D46))),"UNKNOWN","OK"))</f>
        <v/>
      </c>
      <c r="E47" s="15">
        <f>IF(OR(E44="ERROR",E45="ERROR",E46="ERROR"),"ERROR",IF(OR(NOT(ISNUMBER(E44)),NOT(ISNUMBER(E45)),NOT(ISNUMBER(E46))),"UNKNOWN","OK"))</f>
        <v/>
      </c>
      <c r="F47" s="15">
        <f>IF(OR(F44="ERROR",F45="ERROR",F46="ERROR"),"ERROR",IF(OR(NOT(ISNUMBER(F44)),NOT(ISNUMBER(F45)),NOT(ISNUMBER(F46))),"UNKNOWN","OK"))</f>
        <v/>
      </c>
      <c r="G47" s="15">
        <f>IF(OR(G44="ERROR",G45="ERROR",G46="ERROR"),"ERROR",IF(OR(NOT(ISNUMBER(G44)),NOT(ISNUMBER(G45)),NOT(ISNUMBER(G46))),"UNKNOWN","OK"))</f>
        <v/>
      </c>
    </row>
    <row r="48">
      <c r="B48" s="8" t="inlineStr">
        <is>
          <t>MODE B: Required Selling Price</t>
        </is>
      </c>
      <c r="C48" s="13">
        <f>IFERROR(IF(C60="UNKNOWN","UNKNOWN",IF(C60=FALSE,C69,C70)),"ERROR")</f>
        <v/>
      </c>
      <c r="D48" s="13">
        <f>IFERROR(IF(D60="UNKNOWN","UNKNOWN",IF(D60=FALSE,D69,D70)),"ERROR")</f>
        <v/>
      </c>
      <c r="E48" s="13">
        <f>IFERROR(IF(E60="UNKNOWN","UNKNOWN",IF(E60=FALSE,E69,E70)),"ERROR")</f>
        <v/>
      </c>
      <c r="F48" s="13">
        <f>IFERROR(IF(F60="UNKNOWN","UNKNOWN",IF(F60=FALSE,F69,F70)),"ERROR")</f>
        <v/>
      </c>
      <c r="G48" s="13">
        <f>IFERROR(IF(G60="UNKNOWN","UNKNOWN",IF(G60=FALSE,G69,G70)),"ERROR")</f>
        <v/>
      </c>
    </row>
    <row r="49">
      <c r="B49" s="8" t="inlineStr">
        <is>
          <t>MODE B: Required List Price</t>
        </is>
      </c>
      <c r="C49" s="13">
        <f>IFERROR(IF(NOT(ISNUMBER(C48)),C48,IF(NOT(ISNUMBER(C63)),"UNKNOWN",IF(OR(C63&lt;0,C63&gt;=1),"ERROR",IF(C63=0,C48,C48/(1-C63))))),"ERROR")</f>
        <v/>
      </c>
      <c r="D49" s="13">
        <f>IFERROR(IF(NOT(ISNUMBER(D48)),D48,IF(NOT(ISNUMBER(D63)),"UNKNOWN",IF(OR(D63&lt;0,D63&gt;=1),"ERROR",IF(D63=0,D48,D48/(1-D63))))),"ERROR")</f>
        <v/>
      </c>
      <c r="E49" s="13">
        <f>IFERROR(IF(NOT(ISNUMBER(E48)),E48,IF(NOT(ISNUMBER(E63)),"UNKNOWN",IF(OR(E63&lt;0,E63&gt;=1),"ERROR",IF(E63=0,E48,E48/(1-E63))))),"ERROR")</f>
        <v/>
      </c>
      <c r="F49" s="13">
        <f>IFERROR(IF(NOT(ISNUMBER(F48)),F48,IF(NOT(ISNUMBER(F63)),"UNKNOWN",IF(OR(F63&lt;0,F63&gt;=1),"ERROR",IF(F63=0,F48,F48/(1-F63))))),"ERROR")</f>
        <v/>
      </c>
      <c r="G49" s="13">
        <f>IFERROR(IF(NOT(ISNUMBER(G48)),G48,IF(NOT(ISNUMBER(G63)),"UNKNOWN",IF(OR(G63&lt;0,G63&gt;=1),"ERROR",IF(G63=0,G48,G48/(1-G63))))),"ERROR")</f>
        <v/>
      </c>
    </row>
    <row r="50">
      <c r="B50" s="8" t="inlineStr">
        <is>
          <t>MODE B: Status</t>
        </is>
      </c>
      <c r="C50" s="15">
        <f>IF(OR(C48="ERROR",C49="ERROR"),"ERROR",IF(OR(NOT(ISNUMBER(C48)),NOT(ISNUMBER(C49))),"UNKNOWN","OK"))</f>
        <v/>
      </c>
      <c r="D50" s="15">
        <f>IF(OR(D48="ERROR",D49="ERROR"),"ERROR",IF(OR(NOT(ISNUMBER(D48)),NOT(ISNUMBER(D49))),"UNKNOWN","OK"))</f>
        <v/>
      </c>
      <c r="E50" s="15">
        <f>IF(OR(E48="ERROR",E49="ERROR"),"ERROR",IF(OR(NOT(ISNUMBER(E48)),NOT(ISNUMBER(E49))),"UNKNOWN","OK"))</f>
        <v/>
      </c>
      <c r="F50" s="15">
        <f>IF(OR(F48="ERROR",F49="ERROR"),"ERROR",IF(OR(NOT(ISNUMBER(F48)),NOT(ISNUMBER(F49))),"UNKNOWN","OK"))</f>
        <v/>
      </c>
      <c r="G50" s="15">
        <f>IF(OR(G48="ERROR",G49="ERROR"),"ERROR",IF(OR(NOT(ISNUMBER(G48)),NOT(ISNUMBER(G49))),"UNKNOWN","OK"))</f>
        <v/>
      </c>
    </row>
    <row r="51">
      <c r="B51" s="8" t="inlineStr">
        <is>
          <t>MODE C: Allowable Direct Cost</t>
        </is>
      </c>
      <c r="C51" s="13">
        <f>IFERROR(IF(C71="ERROR","ERROR",IF(NOT(ISNUMBER(C64)),"UNKNOWN",IF(OR(C64&lt;0,C64&gt;=1),"ERROR",IF(NOT(ISNUMBER(C71)),"UNKNOWN",IF($C$13&gt;0,IF(C72="ERROR","ERROR",IF(NOT(ISNUMBER(C72)),"UNKNOWN",C71*(1-C64-$C$12)-$C$13*C72-$C$11)),C71*(1-C64-$C$12)-$C$11))))),"ERROR")</f>
        <v/>
      </c>
      <c r="D51" s="13">
        <f>IFERROR(IF(D71="ERROR","ERROR",IF(NOT(ISNUMBER(D64)),"UNKNOWN",IF(OR(D64&lt;0,D64&gt;=1),"ERROR",IF(NOT(ISNUMBER(D71)),"UNKNOWN",IF($C$13&gt;0,IF(D72="ERROR","ERROR",IF(NOT(ISNUMBER(D72)),"UNKNOWN",D71*(1-D64-$C$12)-$C$13*D72-$C$11)),D71*(1-D64-$C$12)-$C$11))))),"ERROR")</f>
        <v/>
      </c>
      <c r="E51" s="13">
        <f>IFERROR(IF(E71="ERROR","ERROR",IF(NOT(ISNUMBER(E64)),"UNKNOWN",IF(OR(E64&lt;0,E64&gt;=1),"ERROR",IF(NOT(ISNUMBER(E71)),"UNKNOWN",IF($C$13&gt;0,IF(E72="ERROR","ERROR",IF(NOT(ISNUMBER(E72)),"UNKNOWN",E71*(1-E64-$C$12)-$C$13*E72-$C$11)),E71*(1-E64-$C$12)-$C$11))))),"ERROR")</f>
        <v/>
      </c>
      <c r="F51" s="13">
        <f>IFERROR(IF(F71="ERROR","ERROR",IF(NOT(ISNUMBER(F64)),"UNKNOWN",IF(OR(F64&lt;0,F64&gt;=1),"ERROR",IF(NOT(ISNUMBER(F71)),"UNKNOWN",IF($C$13&gt;0,IF(F72="ERROR","ERROR",IF(NOT(ISNUMBER(F72)),"UNKNOWN",F71*(1-F64-$C$12)-$C$13*F72-$C$11)),F71*(1-F64-$C$12)-$C$11))))),"ERROR")</f>
        <v/>
      </c>
      <c r="G51" s="13">
        <f>IFERROR(IF(G71="ERROR","ERROR",IF(NOT(ISNUMBER(G64)),"UNKNOWN",IF(OR(G64&lt;0,G64&gt;=1),"ERROR",IF(NOT(ISNUMBER(G71)),"UNKNOWN",IF($C$13&gt;0,IF(G72="ERROR","ERROR",IF(NOT(ISNUMBER(G72)),"UNKNOWN",G71*(1-G64-$C$12)-$C$13*G72-$C$11)),G71*(1-G64-$C$12)-$C$11))))),"ERROR")</f>
        <v/>
      </c>
    </row>
    <row r="52">
      <c r="B52" s="8" t="inlineStr">
        <is>
          <t>MODE C: Actual Direct Cost</t>
        </is>
      </c>
      <c r="C52" s="13">
        <f>IF($C$38="inherit",$C$10,IF($C$38="null","UNKNOWN",$C$39))</f>
        <v/>
      </c>
      <c r="D52" s="13">
        <f>IF($D$38="inherit",$C$10,IF($D$38="null","UNKNOWN",$D$39))</f>
        <v/>
      </c>
      <c r="E52" s="13">
        <f>IF($E$38="inherit",$C$10,IF($E$38="null","UNKNOWN",$E$39))</f>
        <v/>
      </c>
      <c r="F52" s="13">
        <f>IF($F$38="inherit",$C$10,IF($F$38="null","UNKNOWN",$F$39))</f>
        <v/>
      </c>
      <c r="G52" s="13">
        <f>IF($G$38="inherit",$C$10,IF($G$38="null","UNKNOWN",$G$39))</f>
        <v/>
      </c>
    </row>
    <row r="53">
      <c r="B53" s="8" t="inlineStr">
        <is>
          <t>MODE C: Direct Cost Gap</t>
        </is>
      </c>
      <c r="C53" s="13">
        <f>IFERROR(IF(OR(C51="ERROR",C52="ERROR"),"ERROR",IF(OR(NOT(ISNUMBER(C51)),NOT(ISNUMBER(C52))),"UNKNOWN",C51-C52)),"ERROR")</f>
        <v/>
      </c>
      <c r="D53" s="13">
        <f>IFERROR(IF(OR(D51="ERROR",D52="ERROR"),"ERROR",IF(OR(NOT(ISNUMBER(D51)),NOT(ISNUMBER(D52))),"UNKNOWN",D51-D52)),"ERROR")</f>
        <v/>
      </c>
      <c r="E53" s="13">
        <f>IFERROR(IF(OR(E51="ERROR",E52="ERROR"),"ERROR",IF(OR(NOT(ISNUMBER(E51)),NOT(ISNUMBER(E52))),"UNKNOWN",E51-E52)),"ERROR")</f>
        <v/>
      </c>
      <c r="F53" s="13">
        <f>IFERROR(IF(OR(F51="ERROR",F52="ERROR"),"ERROR",IF(OR(NOT(ISNUMBER(F51)),NOT(ISNUMBER(F52))),"UNKNOWN",F51-F52)),"ERROR")</f>
        <v/>
      </c>
      <c r="G53" s="13">
        <f>IFERROR(IF(OR(G51="ERROR",G52="ERROR"),"ERROR",IF(OR(NOT(ISNUMBER(G51)),NOT(ISNUMBER(G52))),"UNKNOWN",G51-G52)),"ERROR")</f>
        <v/>
      </c>
    </row>
    <row r="54">
      <c r="B54" s="8" t="inlineStr">
        <is>
          <t>MODE C: Status</t>
        </is>
      </c>
      <c r="C54" s="15">
        <f>IF(OR(C51="ERROR",C52="ERROR",C53="ERROR"),"ERROR",IF(OR(NOT(ISNUMBER(C51)),NOT(ISNUMBER(C52)),NOT(ISNUMBER(C53))),"UNKNOWN","OK"))</f>
        <v/>
      </c>
      <c r="D54" s="15">
        <f>IF(OR(D51="ERROR",D52="ERROR",D53="ERROR"),"ERROR",IF(OR(NOT(ISNUMBER(D51)),NOT(ISNUMBER(D52)),NOT(ISNUMBER(D53))),"UNKNOWN","OK"))</f>
        <v/>
      </c>
      <c r="E54" s="15">
        <f>IF(OR(E51="ERROR",E52="ERROR",E53="ERROR"),"ERROR",IF(OR(NOT(ISNUMBER(E51)),NOT(ISNUMBER(E52)),NOT(ISNUMBER(E53))),"UNKNOWN","OK"))</f>
        <v/>
      </c>
      <c r="F54" s="15">
        <f>IF(OR(F51="ERROR",F52="ERROR",F53="ERROR"),"ERROR",IF(OR(NOT(ISNUMBER(F51)),NOT(ISNUMBER(F52)),NOT(ISNUMBER(F53))),"UNKNOWN","OK"))</f>
        <v/>
      </c>
      <c r="G54" s="15">
        <f>IF(OR(G51="ERROR",G52="ERROR",G53="ERROR"),"ERROR",IF(OR(NOT(ISNUMBER(G51)),NOT(ISNUMBER(G52)),NOT(ISNUMBER(G53))),"UNKNOWN","OK"))</f>
        <v/>
      </c>
    </row>
    <row r="55">
      <c r="B55" s="8" t="inlineStr">
        <is>
          <t>BEP: Fixed Operating Cost</t>
        </is>
      </c>
      <c r="C55" s="13">
        <f>IFERROR(IF(NOT(ISNUMBER(C65)),C65,IF(C65&lt;0,"ERROR",C65)),"ERROR")</f>
        <v/>
      </c>
      <c r="D55" s="13">
        <f>IFERROR(IF(NOT(ISNUMBER(D65)),D65,IF(D65&lt;0,"ERROR",D65)),"ERROR")</f>
        <v/>
      </c>
      <c r="E55" s="13">
        <f>IFERROR(IF(NOT(ISNUMBER(E65)),E65,IF(E65&lt;0,"ERROR",E65)),"ERROR")</f>
        <v/>
      </c>
      <c r="F55" s="13">
        <f>IFERROR(IF(NOT(ISNUMBER(F65)),F65,IF(F65&lt;0,"ERROR",F65)),"ERROR")</f>
        <v/>
      </c>
      <c r="G55" s="13">
        <f>IFERROR(IF(NOT(ISNUMBER(G65)),G65,IF(G65&lt;0,"ERROR",G65)),"ERROR")</f>
        <v/>
      </c>
    </row>
    <row r="56">
      <c r="B56" s="8" t="inlineStr">
        <is>
          <t>BEP: Break-Even Quantity</t>
        </is>
      </c>
      <c r="C56" s="13">
        <f>IFERROR(IF(OR(C45="ERROR",C55="ERROR"),"ERROR",IF(OR(NOT(ISNUMBER(C45)),NOT(ISNUMBER(C55))),"UNKNOWN",IF(C45&lt;=0,"NOT_APPLICABLE",C55/C45))),"ERROR")</f>
        <v/>
      </c>
      <c r="D56" s="13">
        <f>IFERROR(IF(OR(D45="ERROR",D55="ERROR"),"ERROR",IF(OR(NOT(ISNUMBER(D45)),NOT(ISNUMBER(D55))),"UNKNOWN",IF(D45&lt;=0,"NOT_APPLICABLE",D55/D45))),"ERROR")</f>
        <v/>
      </c>
      <c r="E56" s="13">
        <f>IFERROR(IF(OR(E45="ERROR",E55="ERROR"),"ERROR",IF(OR(NOT(ISNUMBER(E45)),NOT(ISNUMBER(E55))),"UNKNOWN",IF(E45&lt;=0,"NOT_APPLICABLE",E55/E45))),"ERROR")</f>
        <v/>
      </c>
      <c r="F56" s="13">
        <f>IFERROR(IF(OR(F45="ERROR",F55="ERROR"),"ERROR",IF(OR(NOT(ISNUMBER(F45)),NOT(ISNUMBER(F55))),"UNKNOWN",IF(F45&lt;=0,"NOT_APPLICABLE",F55/F45))),"ERROR")</f>
        <v/>
      </c>
      <c r="G56" s="13">
        <f>IFERROR(IF(OR(G45="ERROR",G55="ERROR"),"ERROR",IF(OR(NOT(ISNUMBER(G45)),NOT(ISNUMBER(G55))),"UNKNOWN",IF(G45&lt;=0,"NOT_APPLICABLE",G55/G45))),"ERROR")</f>
        <v/>
      </c>
    </row>
    <row r="57">
      <c r="B57" s="8" t="inlineStr">
        <is>
          <t>BEP: Status</t>
        </is>
      </c>
      <c r="C57" s="15">
        <f>IF(OR(C45="ERROR",C55="ERROR",C56="ERROR"),"ERROR",IF(OR(NOT(ISNUMBER(C45)),NOT(ISNUMBER(C55)),AND(NOT(ISNUMBER(C56)),C56&lt;&gt;"NOT_APPLICABLE")),"UNKNOWN","OK"))</f>
        <v/>
      </c>
      <c r="D57" s="15">
        <f>IF(OR(D45="ERROR",D55="ERROR",D56="ERROR"),"ERROR",IF(OR(NOT(ISNUMBER(D45)),NOT(ISNUMBER(D55)),AND(NOT(ISNUMBER(D56)),D56&lt;&gt;"NOT_APPLICABLE")),"UNKNOWN","OK"))</f>
        <v/>
      </c>
      <c r="E57" s="15">
        <f>IF(OR(E45="ERROR",E55="ERROR",E56="ERROR"),"ERROR",IF(OR(NOT(ISNUMBER(E45)),NOT(ISNUMBER(E55)),AND(NOT(ISNUMBER(E56)),E56&lt;&gt;"NOT_APPLICABLE")),"UNKNOWN","OK"))</f>
        <v/>
      </c>
      <c r="F57" s="15">
        <f>IF(OR(F45="ERROR",F55="ERROR",F56="ERROR"),"ERROR",IF(OR(NOT(ISNUMBER(F45)),NOT(ISNUMBER(F55)),AND(NOT(ISNUMBER(F56)),F56&lt;&gt;"NOT_APPLICABLE")),"UNKNOWN","OK"))</f>
        <v/>
      </c>
      <c r="G57" s="15">
        <f>IF(OR(G45="ERROR",G55="ERROR",G56="ERROR"),"ERROR",IF(OR(NOT(ISNUMBER(G45)),NOT(ISNUMBER(G55)),AND(NOT(ISNUMBER(G56)),G56&lt;&gt;"NOT_APPLICABLE")),"UNKNOWN","OK"))</f>
        <v/>
      </c>
    </row>
    <row r="58">
      <c r="B58" s="8" t="inlineStr">
        <is>
          <t>SCENARIO OVERALL STATUS</t>
        </is>
      </c>
      <c r="C58" s="15">
        <f>IF(OR(C47="ERROR",C50="ERROR",C54="ERROR",C57="ERROR"),"ERROR",IF(OR(C47="UNKNOWN",C50="UNKNOWN",C54="UNKNOWN",C57="UNKNOWN"),"INCOMPLETE","OK"))</f>
        <v/>
      </c>
      <c r="D58" s="15">
        <f>IF(OR(D47="ERROR",D50="ERROR",D54="ERROR",D57="ERROR"),"ERROR",IF(OR(D47="UNKNOWN",D50="UNKNOWN",D54="UNKNOWN",D57="UNKNOWN"),"INCOMPLETE","OK"))</f>
        <v/>
      </c>
      <c r="E58" s="15">
        <f>IF(OR(E47="ERROR",E50="ERROR",E54="ERROR",E57="ERROR"),"ERROR",IF(OR(E47="UNKNOWN",E50="UNKNOWN",E54="UNKNOWN",E57="UNKNOWN"),"INCOMPLETE","OK"))</f>
        <v/>
      </c>
      <c r="F58" s="15">
        <f>IF(OR(F47="ERROR",F50="ERROR",F54="ERROR",F57="ERROR"),"ERROR",IF(OR(F47="UNKNOWN",F50="UNKNOWN",F54="UNKNOWN",F57="UNKNOWN"),"INCOMPLETE","OK"))</f>
        <v/>
      </c>
      <c r="G58" s="15">
        <f>IF(OR(G47="ERROR",G50="ERROR",G54="ERROR",G57="ERROR"),"ERROR",IF(OR(G47="UNKNOWN",G50="UNKNOWN",G54="UNKNOWN",G57="UNKNOWN"),"INCOMPLETE","OK"))</f>
        <v/>
      </c>
    </row>
    <row r="59" hidden="1" outlineLevel="1">
      <c r="C59">
        <f>IF($C$26="inherit",$C$5,IF($C$26="null","UNKNOWN",$C$27))</f>
        <v/>
      </c>
      <c r="D59">
        <f>IF($D$26="inherit",$C$5,IF($D$26="null","UNKNOWN",$D$27))</f>
        <v/>
      </c>
      <c r="E59">
        <f>IF($E$26="inherit",$C$5,IF($E$26="null","UNKNOWN",$E$27))</f>
        <v/>
      </c>
      <c r="F59">
        <f>IF($F$26="inherit",$C$5,IF($F$26="null","UNKNOWN",$F$27))</f>
        <v/>
      </c>
      <c r="G59">
        <f>IF($G$26="inherit",$C$5,IF($G$26="null","UNKNOWN",$G$27))</f>
        <v/>
      </c>
    </row>
    <row r="60" hidden="1" outlineLevel="1">
      <c r="C60">
        <f>IF($C$28="inherit",$C$6,IF($C$28="null","UNKNOWN",$C$29))</f>
        <v/>
      </c>
      <c r="D60">
        <f>IF($D$28="inherit",$C$6,IF($D$28="null","UNKNOWN",$D$29))</f>
        <v/>
      </c>
      <c r="E60">
        <f>IF($E$28="inherit",$C$6,IF($E$28="null","UNKNOWN",$E$29))</f>
        <v/>
      </c>
      <c r="F60">
        <f>IF($F$28="inherit",$C$6,IF($F$28="null","UNKNOWN",$F$29))</f>
        <v/>
      </c>
      <c r="G60">
        <f>IF($G$28="inherit",$C$6,IF($G$28="null","UNKNOWN",$G$29))</f>
        <v/>
      </c>
    </row>
    <row r="61" hidden="1" outlineLevel="1">
      <c r="C61">
        <f>IF($C$36="inherit",$C$7,IF($C$36="null","UNKNOWN",$C$37))</f>
        <v/>
      </c>
      <c r="D61">
        <f>IF($D$36="inherit",$C$7,IF($D$36="null","UNKNOWN",$D$37))</f>
        <v/>
      </c>
      <c r="E61">
        <f>IF($E$36="inherit",$C$7,IF($E$36="null","UNKNOWN",$E$37))</f>
        <v/>
      </c>
      <c r="F61">
        <f>IF($F$36="inherit",$C$7,IF($F$36="null","UNKNOWN",$F$37))</f>
        <v/>
      </c>
      <c r="G61">
        <f>IF($G$36="inherit",$C$7,IF($G$36="null","UNKNOWN",$G$37))</f>
        <v/>
      </c>
    </row>
    <row r="62" hidden="1" outlineLevel="1">
      <c r="C62">
        <f>IF($C$30="inherit",$C$8,IF($C$30="null","UNKNOWN",$C$31))</f>
        <v/>
      </c>
      <c r="D62">
        <f>IF($D$30="inherit",$C$8,IF($D$30="null","UNKNOWN",$D$31))</f>
        <v/>
      </c>
      <c r="E62">
        <f>IF($E$30="inherit",$C$8,IF($E$30="null","UNKNOWN",$E$31))</f>
        <v/>
      </c>
      <c r="F62">
        <f>IF($F$30="inherit",$C$8,IF($F$30="null","UNKNOWN",$F$31))</f>
        <v/>
      </c>
      <c r="G62">
        <f>IF($G$30="inherit",$C$8,IF($G$30="null","UNKNOWN",$G$31))</f>
        <v/>
      </c>
    </row>
    <row r="63" hidden="1" outlineLevel="1">
      <c r="C63">
        <f>IF($C$32="inherit",$C$9,IF($C$32="null","UNKNOWN",$C$33))</f>
        <v/>
      </c>
      <c r="D63">
        <f>IF($D$32="inherit",$C$9,IF($D$32="null","UNKNOWN",$D$33))</f>
        <v/>
      </c>
      <c r="E63">
        <f>IF($E$32="inherit",$C$9,IF($E$32="null","UNKNOWN",$E$33))</f>
        <v/>
      </c>
      <c r="F63">
        <f>IF($F$32="inherit",$C$9,IF($F$32="null","UNKNOWN",$F$33))</f>
        <v/>
      </c>
      <c r="G63">
        <f>IF($G$32="inherit",$C$9,IF($G$32="null","UNKNOWN",$G$33))</f>
        <v/>
      </c>
    </row>
    <row r="64" hidden="1" outlineLevel="1">
      <c r="C64">
        <f>IF($C$34="inherit",$C$15,IF($C$34="null","UNKNOWN",$C$35))</f>
        <v/>
      </c>
      <c r="D64">
        <f>IF($D$34="inherit",$C$15,IF($D$34="null","UNKNOWN",$D$35))</f>
        <v/>
      </c>
      <c r="E64">
        <f>IF($E$34="inherit",$C$15,IF($E$34="null","UNKNOWN",$E$35))</f>
        <v/>
      </c>
      <c r="F64">
        <f>IF($F$34="inherit",$C$15,IF($F$34="null","UNKNOWN",$F$35))</f>
        <v/>
      </c>
      <c r="G64">
        <f>IF($G$34="inherit",$C$15,IF($G$34="null","UNKNOWN",$G$35))</f>
        <v/>
      </c>
    </row>
    <row r="65" hidden="1" outlineLevel="1">
      <c r="C65">
        <f>IF($C$40="inherit",$C$14,IF($C$40="null","UNKNOWN",$C$41))</f>
        <v/>
      </c>
      <c r="D65">
        <f>IF($D$40="inherit",$C$14,IF($D$40="null","UNKNOWN",$D$41))</f>
        <v/>
      </c>
      <c r="E65">
        <f>IF($E$40="inherit",$C$14,IF($E$40="null","UNKNOWN",$E$41))</f>
        <v/>
      </c>
      <c r="F65">
        <f>IF($F$40="inherit",$C$14,IF($F$40="null","UNKNOWN",$F$41))</f>
        <v/>
      </c>
      <c r="G65">
        <f>IF($G$40="inherit",$C$14,IF($G$40="null","UNKNOWN",$G$41))</f>
        <v/>
      </c>
    </row>
    <row r="66" hidden="1" outlineLevel="1">
      <c r="C66">
        <f>IFERROR(IF(NOT(ISNUMBER(C59)),"UNKNOWN",IF(C60="UNKNOWN","UNKNOWN",IF(C60=TRUE,C59,IF(NOT(ISNUMBER(C61)),"UNKNOWN",C59*(1+C61))))),"ERROR")</f>
        <v/>
      </c>
      <c r="D66">
        <f>IFERROR(IF(NOT(ISNUMBER(D59)),"UNKNOWN",IF(D60="UNKNOWN","UNKNOWN",IF(D60=TRUE,D59,IF(NOT(ISNUMBER(D61)),"UNKNOWN",D59*(1+D61))))),"ERROR")</f>
        <v/>
      </c>
      <c r="E66">
        <f>IFERROR(IF(NOT(ISNUMBER(E59)),"UNKNOWN",IF(E60="UNKNOWN","UNKNOWN",IF(E60=TRUE,E59,IF(NOT(ISNUMBER(E61)),"UNKNOWN",E59*(1+E61))))),"ERROR")</f>
        <v/>
      </c>
      <c r="F66">
        <f>IFERROR(IF(NOT(ISNUMBER(F59)),"UNKNOWN",IF(F60="UNKNOWN","UNKNOWN",IF(F60=TRUE,F59,IF(NOT(ISNUMBER(F61)),"UNKNOWN",F59*(1+F61))))),"ERROR")</f>
        <v/>
      </c>
      <c r="G66">
        <f>IFERROR(IF(NOT(ISNUMBER(G59)),"UNKNOWN",IF(G60="UNKNOWN","UNKNOWN",IF(G60=TRUE,G59,IF(NOT(ISNUMBER(G61)),"UNKNOWN",G59*(1+G61))))),"ERROR")</f>
        <v/>
      </c>
    </row>
    <row r="67" hidden="1" outlineLevel="1">
      <c r="C67">
        <f>IFERROR(IF(NOT(ISNUMBER(C52)),C52,C52+$C$11),"ERROR")</f>
        <v/>
      </c>
      <c r="D67">
        <f>IFERROR(IF(NOT(ISNUMBER(D52)),D52,D52+$C$11),"ERROR")</f>
        <v/>
      </c>
      <c r="E67">
        <f>IFERROR(IF(NOT(ISNUMBER(E52)),E52,E52+$C$11),"ERROR")</f>
        <v/>
      </c>
      <c r="F67">
        <f>IFERROR(IF(NOT(ISNUMBER(F52)),F52,F52+$C$11),"ERROR")</f>
        <v/>
      </c>
      <c r="G67">
        <f>IFERROR(IF(NOT(ISNUMBER(G52)),G52,G52+$C$11),"ERROR")</f>
        <v/>
      </c>
    </row>
    <row r="68" hidden="1" outlineLevel="1">
      <c r="C68">
        <f>IFERROR(IF(NOT(ISNUMBER(C64)),"UNKNOWN",IF(OR(C64&lt;0,C64&gt;=1),"ERROR",IF($C$13=0,IF(1-C64-$C$12&lt;=0,"ERROR",1-C64-$C$12),IF(NOT(ISNUMBER(C61)),"UNKNOWN",IF(1-C64-$C$12-$C$13*(1+C61)&lt;=0,"ERROR",1-C64-$C$12-$C$13*(1+C61)))))),"ERROR")</f>
        <v/>
      </c>
      <c r="D68">
        <f>IFERROR(IF(NOT(ISNUMBER(D64)),"UNKNOWN",IF(OR(D64&lt;0,D64&gt;=1),"ERROR",IF($C$13=0,IF(1-D64-$C$12&lt;=0,"ERROR",1-D64-$C$12),IF(NOT(ISNUMBER(D61)),"UNKNOWN",IF(1-D64-$C$12-$C$13*(1+D61)&lt;=0,"ERROR",1-D64-$C$12-$C$13*(1+D61)))))),"ERROR")</f>
        <v/>
      </c>
      <c r="E68">
        <f>IFERROR(IF(NOT(ISNUMBER(E64)),"UNKNOWN",IF(OR(E64&lt;0,E64&gt;=1),"ERROR",IF($C$13=0,IF(1-E64-$C$12&lt;=0,"ERROR",1-E64-$C$12),IF(NOT(ISNUMBER(E61)),"UNKNOWN",IF(1-E64-$C$12-$C$13*(1+E61)&lt;=0,"ERROR",1-E64-$C$12-$C$13*(1+E61)))))),"ERROR")</f>
        <v/>
      </c>
      <c r="F68">
        <f>IFERROR(IF(NOT(ISNUMBER(F64)),"UNKNOWN",IF(OR(F64&lt;0,F64&gt;=1),"ERROR",IF($C$13=0,IF(1-F64-$C$12&lt;=0,"ERROR",1-F64-$C$12),IF(NOT(ISNUMBER(F61)),"UNKNOWN",IF(1-F64-$C$12-$C$13*(1+F61)&lt;=0,"ERROR",1-F64-$C$12-$C$13*(1+F61)))))),"ERROR")</f>
        <v/>
      </c>
      <c r="G68">
        <f>IFERROR(IF(NOT(ISNUMBER(G64)),"UNKNOWN",IF(OR(G64&lt;0,G64&gt;=1),"ERROR",IF($C$13=0,IF(1-G64-$C$12&lt;=0,"ERROR",1-G64-$C$12),IF(NOT(ISNUMBER(G61)),"UNKNOWN",IF(1-G64-$C$12-$C$13*(1+G61)&lt;=0,"ERROR",1-G64-$C$12-$C$13*(1+G61)))))),"ERROR")</f>
        <v/>
      </c>
    </row>
    <row r="69" hidden="1" outlineLevel="1">
      <c r="C69">
        <f>IFERROR(IF(NOT(ISNUMBER(C67)),C67,IF(NOT(ISNUMBER(C68)),C68,C67/C68)),"ERROR")</f>
        <v/>
      </c>
      <c r="D69">
        <f>IFERROR(IF(NOT(ISNUMBER(D67)),D67,IF(NOT(ISNUMBER(D68)),D68,D67/D68)),"ERROR")</f>
        <v/>
      </c>
      <c r="E69">
        <f>IFERROR(IF(NOT(ISNUMBER(E67)),E67,IF(NOT(ISNUMBER(E68)),E68,E67/E68)),"ERROR")</f>
        <v/>
      </c>
      <c r="F69">
        <f>IFERROR(IF(NOT(ISNUMBER(F67)),F67,IF(NOT(ISNUMBER(F68)),F68,F67/F68)),"ERROR")</f>
        <v/>
      </c>
      <c r="G69">
        <f>IFERROR(IF(NOT(ISNUMBER(G67)),G67,IF(NOT(ISNUMBER(G68)),G68,G67/G68)),"ERROR")</f>
        <v/>
      </c>
    </row>
    <row r="70" hidden="1" outlineLevel="1">
      <c r="C70">
        <f>IFERROR(IF(NOT(ISNUMBER(C69)),C69,IF(NOT(ISNUMBER(C61)),"UNKNOWN",C69*(1+C61))),"ERROR")</f>
        <v/>
      </c>
      <c r="D70">
        <f>IFERROR(IF(NOT(ISNUMBER(D69)),D69,IF(NOT(ISNUMBER(D61)),"UNKNOWN",D69*(1+D61))),"ERROR")</f>
        <v/>
      </c>
      <c r="E70">
        <f>IFERROR(IF(NOT(ISNUMBER(E69)),E69,IF(NOT(ISNUMBER(E61)),"UNKNOWN",E69*(1+E61))),"ERROR")</f>
        <v/>
      </c>
      <c r="F70">
        <f>IFERROR(IF(NOT(ISNUMBER(F69)),F69,IF(NOT(ISNUMBER(F61)),"UNKNOWN",F69*(1+F61))),"ERROR")</f>
        <v/>
      </c>
      <c r="G70">
        <f>IFERROR(IF(NOT(ISNUMBER(G69)),G69,IF(NOT(ISNUMBER(G61)),"UNKNOWN",G69*(1+G61))),"ERROR")</f>
        <v/>
      </c>
    </row>
    <row r="71" hidden="1" outlineLevel="1">
      <c r="C71">
        <f>IFERROR(IF(NOT(ISNUMBER(C62)),"UNKNOWN",IF(C60="UNKNOWN","UNKNOWN",IF(C60=FALSE,C62,IF(NOT(ISNUMBER(C61)),"UNKNOWN",C62/(1+C61))))),"ERROR")</f>
        <v/>
      </c>
      <c r="D71">
        <f>IFERROR(IF(NOT(ISNUMBER(D62)),"UNKNOWN",IF(D60="UNKNOWN","UNKNOWN",IF(D60=FALSE,D62,IF(NOT(ISNUMBER(D61)),"UNKNOWN",D62/(1+D61))))),"ERROR")</f>
        <v/>
      </c>
      <c r="E71">
        <f>IFERROR(IF(NOT(ISNUMBER(E62)),"UNKNOWN",IF(E60="UNKNOWN","UNKNOWN",IF(E60=FALSE,E62,IF(NOT(ISNUMBER(E61)),"UNKNOWN",E62/(1+E61))))),"ERROR")</f>
        <v/>
      </c>
      <c r="F71">
        <f>IFERROR(IF(NOT(ISNUMBER(F62)),"UNKNOWN",IF(F60="UNKNOWN","UNKNOWN",IF(F60=FALSE,F62,IF(NOT(ISNUMBER(F61)),"UNKNOWN",F62/(1+F61))))),"ERROR")</f>
        <v/>
      </c>
      <c r="G71">
        <f>IFERROR(IF(NOT(ISNUMBER(G62)),"UNKNOWN",IF(G60="UNKNOWN","UNKNOWN",IF(G60=FALSE,G62,IF(NOT(ISNUMBER(G61)),"UNKNOWN",G62/(1+G61))))),"ERROR")</f>
        <v/>
      </c>
    </row>
    <row r="72" hidden="1" outlineLevel="1">
      <c r="C72">
        <f>IFERROR(IF(NOT(ISNUMBER(C62)),"UNKNOWN",IF(C60="UNKNOWN","UNKNOWN",IF(C60=TRUE,C62,IF(NOT(ISNUMBER(C61)),"UNKNOWN",C62*(1+C61))))),"ERROR")</f>
        <v/>
      </c>
      <c r="D72">
        <f>IFERROR(IF(NOT(ISNUMBER(D62)),"UNKNOWN",IF(D60="UNKNOWN","UNKNOWN",IF(D60=TRUE,D62,IF(NOT(ISNUMBER(D61)),"UNKNOWN",D62*(1+D61))))),"ERROR")</f>
        <v/>
      </c>
      <c r="E72">
        <f>IFERROR(IF(NOT(ISNUMBER(E62)),"UNKNOWN",IF(E60="UNKNOWN","UNKNOWN",IF(E60=TRUE,E62,IF(NOT(ISNUMBER(E61)),"UNKNOWN",E62*(1+E61))))),"ERROR")</f>
        <v/>
      </c>
      <c r="F72">
        <f>IFERROR(IF(NOT(ISNUMBER(F62)),"UNKNOWN",IF(F60="UNKNOWN","UNKNOWN",IF(F60=TRUE,F62,IF(NOT(ISNUMBER(F61)),"UNKNOWN",F62*(1+F61))))),"ERROR")</f>
        <v/>
      </c>
      <c r="G72">
        <f>IFERROR(IF(NOT(ISNUMBER(G62)),"UNKNOWN",IF(G60="UNKNOWN","UNKNOWN",IF(G60=TRUE,G62,IF(NOT(ISNUMBER(G61)),"UNKNOWN",G62*(1+G61))))),"ERROR")</f>
        <v/>
      </c>
    </row>
    <row r="75" ht="20" customHeight="1">
      <c r="B75" s="2" t="inlineStr">
        <is>
          <t>DELTA vs. Baseline (SPEC.md section 13/14)</t>
        </is>
      </c>
      <c r="C75" s="7" t="n"/>
      <c r="D75" s="7" t="n"/>
      <c r="E75" s="7" t="n"/>
      <c r="F75" s="7" t="n"/>
      <c r="G75" s="7" t="n"/>
      <c r="H75" s="7" t="n"/>
    </row>
    <row r="76">
      <c r="B76" s="8" t="inlineStr">
        <is>
          <t>Baseline Column Index (내부 계산용, MATCH)</t>
        </is>
      </c>
      <c r="C76">
        <f>IFERROR(MATCH($C$18,$C$22:$G$22,0),0)</f>
        <v/>
      </c>
      <c r="D76" s="8" t="inlineStr">
        <is>
          <t>0이면 baseline_scenario_id를 활성 Scenario ID 중에서 찾지 못한 것 (request-level ERROR)</t>
        </is>
      </c>
    </row>
    <row r="77">
      <c r="B77" s="8" t="inlineStr">
        <is>
          <t>net_sales_ex_vat_delta</t>
        </is>
      </c>
      <c r="C77" s="25">
        <f>IF(C76=0,"ERROR",IF(OR($C$44="ERROR",INDEX($C$44:$G$44,1,C76)="ERROR"),"ERROR",IF(OR($C$44="UNKNOWN",INDEX($C$44:$G$44,1,C76)="UNKNOWN"),"UNKNOWN",IF(OR($C$44="NOT_APPLICABLE",INDEX($C$44:$G$44,1,C76)="NOT_APPLICABLE"),"NOT_APPLICABLE",$C$44-INDEX($C$44:$G$44,1,C76)))))</f>
        <v/>
      </c>
      <c r="D77" s="25">
        <f>IF(C76=0,"ERROR",IF(OR($D$44="ERROR",INDEX($C$44:$G$44,1,C76)="ERROR"),"ERROR",IF(OR($D$44="UNKNOWN",INDEX($C$44:$G$44,1,C76)="UNKNOWN"),"UNKNOWN",IF(OR($D$44="NOT_APPLICABLE",INDEX($C$44:$G$44,1,C76)="NOT_APPLICABLE"),"NOT_APPLICABLE",$D$44-INDEX($C$44:$G$44,1,C76)))))</f>
        <v/>
      </c>
      <c r="E77" s="25">
        <f>IF(C76=0,"ERROR",IF(OR($E$44="ERROR",INDEX($C$44:$G$44,1,C76)="ERROR"),"ERROR",IF(OR($E$44="UNKNOWN",INDEX($C$44:$G$44,1,C76)="UNKNOWN"),"UNKNOWN",IF(OR($E$44="NOT_APPLICABLE",INDEX($C$44:$G$44,1,C76)="NOT_APPLICABLE"),"NOT_APPLICABLE",$E$44-INDEX($C$44:$G$44,1,C76)))))</f>
        <v/>
      </c>
      <c r="F77" s="25">
        <f>IF(C76=0,"ERROR",IF(OR($F$44="ERROR",INDEX($C$44:$G$44,1,C76)="ERROR"),"ERROR",IF(OR($F$44="UNKNOWN",INDEX($C$44:$G$44,1,C76)="UNKNOWN"),"UNKNOWN",IF(OR($F$44="NOT_APPLICABLE",INDEX($C$44:$G$44,1,C76)="NOT_APPLICABLE"),"NOT_APPLICABLE",$F$44-INDEX($C$44:$G$44,1,C76)))))</f>
        <v/>
      </c>
      <c r="G77" s="25">
        <f>IF(C76=0,"ERROR",IF(OR($G$44="ERROR",INDEX($C$44:$G$44,1,C76)="ERROR"),"ERROR",IF(OR($G$44="UNKNOWN",INDEX($C$44:$G$44,1,C76)="UNKNOWN"),"UNKNOWN",IF(OR($G$44="NOT_APPLICABLE",INDEX($C$44:$G$44,1,C76)="NOT_APPLICABLE"),"NOT_APPLICABLE",$G$44-INDEX($C$44:$G$44,1,C76)))))</f>
        <v/>
      </c>
    </row>
    <row r="78">
      <c r="B78" s="8" t="inlineStr">
        <is>
          <t>contribution_margin_delta</t>
        </is>
      </c>
      <c r="C78" s="25">
        <f>IF(C76=0,"ERROR",IF(OR($C$45="ERROR",INDEX($C$45:$G$45,1,C76)="ERROR"),"ERROR",IF(OR($C$45="UNKNOWN",INDEX($C$45:$G$45,1,C76)="UNKNOWN"),"UNKNOWN",IF(OR($C$45="NOT_APPLICABLE",INDEX($C$45:$G$45,1,C76)="NOT_APPLICABLE"),"NOT_APPLICABLE",$C$45-INDEX($C$45:$G$45,1,C76)))))</f>
        <v/>
      </c>
      <c r="D78" s="25">
        <f>IF(C76=0,"ERROR",IF(OR($D$45="ERROR",INDEX($C$45:$G$45,1,C76)="ERROR"),"ERROR",IF(OR($D$45="UNKNOWN",INDEX($C$45:$G$45,1,C76)="UNKNOWN"),"UNKNOWN",IF(OR($D$45="NOT_APPLICABLE",INDEX($C$45:$G$45,1,C76)="NOT_APPLICABLE"),"NOT_APPLICABLE",$D$45-INDEX($C$45:$G$45,1,C76)))))</f>
        <v/>
      </c>
      <c r="E78" s="25">
        <f>IF(C76=0,"ERROR",IF(OR($E$45="ERROR",INDEX($C$45:$G$45,1,C76)="ERROR"),"ERROR",IF(OR($E$45="UNKNOWN",INDEX($C$45:$G$45,1,C76)="UNKNOWN"),"UNKNOWN",IF(OR($E$45="NOT_APPLICABLE",INDEX($C$45:$G$45,1,C76)="NOT_APPLICABLE"),"NOT_APPLICABLE",$E$45-INDEX($C$45:$G$45,1,C76)))))</f>
        <v/>
      </c>
      <c r="F78" s="25">
        <f>IF(C76=0,"ERROR",IF(OR($F$45="ERROR",INDEX($C$45:$G$45,1,C76)="ERROR"),"ERROR",IF(OR($F$45="UNKNOWN",INDEX($C$45:$G$45,1,C76)="UNKNOWN"),"UNKNOWN",IF(OR($F$45="NOT_APPLICABLE",INDEX($C$45:$G$45,1,C76)="NOT_APPLICABLE"),"NOT_APPLICABLE",$F$45-INDEX($C$45:$G$45,1,C76)))))</f>
        <v/>
      </c>
      <c r="G78" s="25">
        <f>IF(C76=0,"ERROR",IF(OR($G$45="ERROR",INDEX($C$45:$G$45,1,C76)="ERROR"),"ERROR",IF(OR($G$45="UNKNOWN",INDEX($C$45:$G$45,1,C76)="UNKNOWN"),"UNKNOWN",IF(OR($G$45="NOT_APPLICABLE",INDEX($C$45:$G$45,1,C76)="NOT_APPLICABLE"),"NOT_APPLICABLE",$G$45-INDEX($C$45:$G$45,1,C76)))))</f>
        <v/>
      </c>
    </row>
    <row r="79">
      <c r="B79" s="8" t="inlineStr">
        <is>
          <t>contribution_margin_rate_delta</t>
        </is>
      </c>
      <c r="C79" s="25">
        <f>IF(C76=0,"ERROR",IF(OR($C$46="ERROR",INDEX($C$46:$G$46,1,C76)="ERROR"),"ERROR",IF(OR($C$46="UNKNOWN",INDEX($C$46:$G$46,1,C76)="UNKNOWN"),"UNKNOWN",IF(OR($C$46="NOT_APPLICABLE",INDEX($C$46:$G$46,1,C76)="NOT_APPLICABLE"),"NOT_APPLICABLE",$C$46-INDEX($C$46:$G$46,1,C76)))))</f>
        <v/>
      </c>
      <c r="D79" s="25">
        <f>IF(C76=0,"ERROR",IF(OR($D$46="ERROR",INDEX($C$46:$G$46,1,C76)="ERROR"),"ERROR",IF(OR($D$46="UNKNOWN",INDEX($C$46:$G$46,1,C76)="UNKNOWN"),"UNKNOWN",IF(OR($D$46="NOT_APPLICABLE",INDEX($C$46:$G$46,1,C76)="NOT_APPLICABLE"),"NOT_APPLICABLE",$D$46-INDEX($C$46:$G$46,1,C76)))))</f>
        <v/>
      </c>
      <c r="E79" s="25">
        <f>IF(C76=0,"ERROR",IF(OR($E$46="ERROR",INDEX($C$46:$G$46,1,C76)="ERROR"),"ERROR",IF(OR($E$46="UNKNOWN",INDEX($C$46:$G$46,1,C76)="UNKNOWN"),"UNKNOWN",IF(OR($E$46="NOT_APPLICABLE",INDEX($C$46:$G$46,1,C76)="NOT_APPLICABLE"),"NOT_APPLICABLE",$E$46-INDEX($C$46:$G$46,1,C76)))))</f>
        <v/>
      </c>
      <c r="F79" s="25">
        <f>IF(C76=0,"ERROR",IF(OR($F$46="ERROR",INDEX($C$46:$G$46,1,C76)="ERROR"),"ERROR",IF(OR($F$46="UNKNOWN",INDEX($C$46:$G$46,1,C76)="UNKNOWN"),"UNKNOWN",IF(OR($F$46="NOT_APPLICABLE",INDEX($C$46:$G$46,1,C76)="NOT_APPLICABLE"),"NOT_APPLICABLE",$F$46-INDEX($C$46:$G$46,1,C76)))))</f>
        <v/>
      </c>
      <c r="G79" s="25">
        <f>IF(C76=0,"ERROR",IF(OR($G$46="ERROR",INDEX($C$46:$G$46,1,C76)="ERROR"),"ERROR",IF(OR($G$46="UNKNOWN",INDEX($C$46:$G$46,1,C76)="UNKNOWN"),"UNKNOWN",IF(OR($G$46="NOT_APPLICABLE",INDEX($C$46:$G$46,1,C76)="NOT_APPLICABLE"),"NOT_APPLICABLE",$G$46-INDEX($C$46:$G$46,1,C76)))))</f>
        <v/>
      </c>
    </row>
    <row r="80">
      <c r="B80" s="8" t="inlineStr">
        <is>
          <t>break_even_quantity_delta</t>
        </is>
      </c>
      <c r="C80" s="25">
        <f>IF(C76=0,"ERROR",IF(OR($C$56="ERROR",INDEX($C$56:$G$56,1,C76)="ERROR"),"ERROR",IF(OR($C$56="UNKNOWN",INDEX($C$56:$G$56,1,C76)="UNKNOWN"),"UNKNOWN",IF(OR($C$56="NOT_APPLICABLE",INDEX($C$56:$G$56,1,C76)="NOT_APPLICABLE"),"NOT_APPLICABLE",$C$56-INDEX($C$56:$G$56,1,C76)))))</f>
        <v/>
      </c>
      <c r="D80" s="25">
        <f>IF(C76=0,"ERROR",IF(OR($D$56="ERROR",INDEX($C$56:$G$56,1,C76)="ERROR"),"ERROR",IF(OR($D$56="UNKNOWN",INDEX($C$56:$G$56,1,C76)="UNKNOWN"),"UNKNOWN",IF(OR($D$56="NOT_APPLICABLE",INDEX($C$56:$G$56,1,C76)="NOT_APPLICABLE"),"NOT_APPLICABLE",$D$56-INDEX($C$56:$G$56,1,C76)))))</f>
        <v/>
      </c>
      <c r="E80" s="25">
        <f>IF(C76=0,"ERROR",IF(OR($E$56="ERROR",INDEX($C$56:$G$56,1,C76)="ERROR"),"ERROR",IF(OR($E$56="UNKNOWN",INDEX($C$56:$G$56,1,C76)="UNKNOWN"),"UNKNOWN",IF(OR($E$56="NOT_APPLICABLE",INDEX($C$56:$G$56,1,C76)="NOT_APPLICABLE"),"NOT_APPLICABLE",$E$56-INDEX($C$56:$G$56,1,C76)))))</f>
        <v/>
      </c>
      <c r="F80" s="25">
        <f>IF(C76=0,"ERROR",IF(OR($F$56="ERROR",INDEX($C$56:$G$56,1,C76)="ERROR"),"ERROR",IF(OR($F$56="UNKNOWN",INDEX($C$56:$G$56,1,C76)="UNKNOWN"),"UNKNOWN",IF(OR($F$56="NOT_APPLICABLE",INDEX($C$56:$G$56,1,C76)="NOT_APPLICABLE"),"NOT_APPLICABLE",$F$56-INDEX($C$56:$G$56,1,C76)))))</f>
        <v/>
      </c>
      <c r="G80" s="25">
        <f>IF(C76=0,"ERROR",IF(OR($G$56="ERROR",INDEX($C$56:$G$56,1,C76)="ERROR"),"ERROR",IF(OR($G$56="UNKNOWN",INDEX($C$56:$G$56,1,C76)="UNKNOWN"),"UNKNOWN",IF(OR($G$56="NOT_APPLICABLE",INDEX($C$56:$G$56,1,C76)="NOT_APPLICABLE"),"NOT_APPLICABLE",$G$56-INDEX($C$56:$G$56,1,C76)))))</f>
        <v/>
      </c>
    </row>
    <row r="82" ht="20" customHeight="1">
      <c r="B82" s="2" t="inlineStr">
        <is>
          <t>REQUEST-LEVEL STATUS</t>
        </is>
      </c>
      <c r="C82" s="7" t="n"/>
      <c r="D82" s="7" t="n"/>
      <c r="E82" s="7" t="n"/>
      <c r="F82" s="7" t="n"/>
      <c r="G82" s="7" t="n"/>
      <c r="H82" s="7" t="n"/>
    </row>
    <row r="83">
      <c r="B83" s="8" t="inlineStr">
        <is>
          <t>Active Scenario Count</t>
        </is>
      </c>
      <c r="C83">
        <f>COUNTIF($C$22:$G$22,"?*")</f>
        <v/>
      </c>
    </row>
    <row r="84">
      <c r="B84" s="8" t="inlineStr">
        <is>
          <t>Duplicate Scenario ID Exists?</t>
        </is>
      </c>
      <c r="C84">
        <f>SUMPRODUCT((COUNTIF($C$22:$G$22,$C$22:$G$22)&gt;1)*($C$22:$G$22&lt;&gt;""))&gt;0</f>
        <v/>
      </c>
    </row>
    <row r="85">
      <c r="B85" s="8" t="inlineStr">
        <is>
          <t>Request-Level Status</t>
        </is>
      </c>
      <c r="C85" s="33">
        <f>IF($C$83&lt;2,"ERROR: SCENARIO_COUNT_BELOW_MINIMUM",IF($C$84=TRUE,"ERROR: DUPLICATE_SCENARIO_ID",IF(ISBLANK($C$18),"ERROR: MISSING_BASELINE_SCENARIO_ID",IF(C76=0,"ERROR: BASELINE_SCENARIO_ID_NOT_FOUND","OK"))))</f>
        <v/>
      </c>
      <c r="D85" s="41" t="n"/>
      <c r="E85" s="41" t="n"/>
      <c r="F85" s="41" t="n"/>
      <c r="G85" s="34" t="n"/>
    </row>
    <row r="86">
      <c r="B86" s="8" t="inlineStr">
        <is>
          <t>Scenario Compare Overall Status</t>
        </is>
      </c>
      <c r="C86" s="33">
        <f>IF(C85&lt;&gt;"OK",C85,IF((IF($C$58="ERROR",1,0)+IF($D$58="ERROR",1,0)+IF($E$58="ERROR",1,0)+IF($F$58="ERROR",1,0)+IF($G$58="ERROR",1,0))&gt;0,"ERROR",IF((IF($C$58="INCOMPLETE",1,0)+IF($D$58="INCOMPLETE",1,0)+IF($E$58="INCOMPLETE",1,0)+IF($F$58="INCOMPLETE",1,0)+IF($G$58="INCOMPLETE",1,0))&gt;0,"INCOMPLETE","OK")))</f>
        <v/>
      </c>
      <c r="D86" s="41" t="n"/>
      <c r="E86" s="41" t="n"/>
      <c r="F86" s="41" t="n"/>
      <c r="G86" s="34" t="n"/>
    </row>
    <row r="88">
      <c r="B88" s="39" t="inlineStr">
        <is>
          <t>Excel-only 표기 한계: Request-Level Status가 OK가 아닐 때도 각 시나리오 컬럼의 개별 계산 셀은 계속 숫자를 보여줍니다(수식 자체를 동적으로 비활성화할 수 없음) — 이 경우 Scenario Compare Overall Status가 request-level 오류를 표시하므로 개별 셀 값은 무시해야 합니다. Python Core는 이 경우 scenarios=[] 를 반환해 계산 자체를 하지 않습니다(진짜 실행 0회).</t>
        </is>
      </c>
    </row>
  </sheetData>
  <mergeCells count="10">
    <mergeCell ref="B17:H17"/>
    <mergeCell ref="C86:G86"/>
    <mergeCell ref="C85:G85"/>
    <mergeCell ref="B4:H4"/>
    <mergeCell ref="B21:H21"/>
    <mergeCell ref="B43:H43"/>
    <mergeCell ref="B75:H75"/>
    <mergeCell ref="B82:H82"/>
    <mergeCell ref="B2:H2"/>
    <mergeCell ref="B25:H25"/>
  </mergeCells>
  <conditionalFormatting sqref="C44">
    <cfRule type="expression" priority="1" dxfId="0">
      <formula>C44="ERROR"</formula>
    </cfRule>
    <cfRule type="expression" priority="2" dxfId="2">
      <formula>C44="UNKNOWN"</formula>
    </cfRule>
    <cfRule type="expression" priority="3" dxfId="2">
      <formula>C44="NOT_APPLICABLE"</formula>
    </cfRule>
    <cfRule type="expression" priority="4" dxfId="1">
      <formula>ISNUMBER(C44)</formula>
    </cfRule>
  </conditionalFormatting>
  <conditionalFormatting sqref="D44">
    <cfRule type="expression" priority="5" dxfId="0">
      <formula>D44="ERROR"</formula>
    </cfRule>
    <cfRule type="expression" priority="6" dxfId="2">
      <formula>D44="UNKNOWN"</formula>
    </cfRule>
    <cfRule type="expression" priority="7" dxfId="2">
      <formula>D44="NOT_APPLICABLE"</formula>
    </cfRule>
    <cfRule type="expression" priority="8" dxfId="1">
      <formula>ISNUMBER(D44)</formula>
    </cfRule>
  </conditionalFormatting>
  <conditionalFormatting sqref="E44">
    <cfRule type="expression" priority="9" dxfId="0">
      <formula>E44="ERROR"</formula>
    </cfRule>
    <cfRule type="expression" priority="10" dxfId="2">
      <formula>E44="UNKNOWN"</formula>
    </cfRule>
    <cfRule type="expression" priority="11" dxfId="2">
      <formula>E44="NOT_APPLICABLE"</formula>
    </cfRule>
    <cfRule type="expression" priority="12" dxfId="1">
      <formula>ISNUMBER(E44)</formula>
    </cfRule>
  </conditionalFormatting>
  <conditionalFormatting sqref="F44">
    <cfRule type="expression" priority="13" dxfId="0">
      <formula>F44="ERROR"</formula>
    </cfRule>
    <cfRule type="expression" priority="14" dxfId="2">
      <formula>F44="UNKNOWN"</formula>
    </cfRule>
    <cfRule type="expression" priority="15" dxfId="2">
      <formula>F44="NOT_APPLICABLE"</formula>
    </cfRule>
    <cfRule type="expression" priority="16" dxfId="1">
      <formula>ISNUMBER(F44)</formula>
    </cfRule>
  </conditionalFormatting>
  <conditionalFormatting sqref="G44">
    <cfRule type="expression" priority="17" dxfId="0">
      <formula>G44="ERROR"</formula>
    </cfRule>
    <cfRule type="expression" priority="18" dxfId="2">
      <formula>G44="UNKNOWN"</formula>
    </cfRule>
    <cfRule type="expression" priority="19" dxfId="2">
      <formula>G44="NOT_APPLICABLE"</formula>
    </cfRule>
    <cfRule type="expression" priority="20" dxfId="1">
      <formula>ISNUMBER(G44)</formula>
    </cfRule>
  </conditionalFormatting>
  <conditionalFormatting sqref="C45">
    <cfRule type="expression" priority="21" dxfId="0">
      <formula>C45="ERROR"</formula>
    </cfRule>
    <cfRule type="expression" priority="22" dxfId="2">
      <formula>C45="UNKNOWN"</formula>
    </cfRule>
    <cfRule type="expression" priority="23" dxfId="2">
      <formula>C45="NOT_APPLICABLE"</formula>
    </cfRule>
    <cfRule type="expression" priority="24" dxfId="1">
      <formula>ISNUMBER(C45)</formula>
    </cfRule>
  </conditionalFormatting>
  <conditionalFormatting sqref="D45">
    <cfRule type="expression" priority="25" dxfId="0">
      <formula>D45="ERROR"</formula>
    </cfRule>
    <cfRule type="expression" priority="26" dxfId="2">
      <formula>D45="UNKNOWN"</formula>
    </cfRule>
    <cfRule type="expression" priority="27" dxfId="2">
      <formula>D45="NOT_APPLICABLE"</formula>
    </cfRule>
    <cfRule type="expression" priority="28" dxfId="1">
      <formula>ISNUMBER(D45)</formula>
    </cfRule>
  </conditionalFormatting>
  <conditionalFormatting sqref="E45">
    <cfRule type="expression" priority="29" dxfId="0">
      <formula>E45="ERROR"</formula>
    </cfRule>
    <cfRule type="expression" priority="30" dxfId="2">
      <formula>E45="UNKNOWN"</formula>
    </cfRule>
    <cfRule type="expression" priority="31" dxfId="2">
      <formula>E45="NOT_APPLICABLE"</formula>
    </cfRule>
    <cfRule type="expression" priority="32" dxfId="1">
      <formula>ISNUMBER(E45)</formula>
    </cfRule>
  </conditionalFormatting>
  <conditionalFormatting sqref="F45">
    <cfRule type="expression" priority="33" dxfId="0">
      <formula>F45="ERROR"</formula>
    </cfRule>
    <cfRule type="expression" priority="34" dxfId="2">
      <formula>F45="UNKNOWN"</formula>
    </cfRule>
    <cfRule type="expression" priority="35" dxfId="2">
      <formula>F45="NOT_APPLICABLE"</formula>
    </cfRule>
    <cfRule type="expression" priority="36" dxfId="1">
      <formula>ISNUMBER(F45)</formula>
    </cfRule>
  </conditionalFormatting>
  <conditionalFormatting sqref="G45">
    <cfRule type="expression" priority="37" dxfId="0">
      <formula>G45="ERROR"</formula>
    </cfRule>
    <cfRule type="expression" priority="38" dxfId="2">
      <formula>G45="UNKNOWN"</formula>
    </cfRule>
    <cfRule type="expression" priority="39" dxfId="2">
      <formula>G45="NOT_APPLICABLE"</formula>
    </cfRule>
    <cfRule type="expression" priority="40" dxfId="1">
      <formula>ISNUMBER(G45)</formula>
    </cfRule>
  </conditionalFormatting>
  <conditionalFormatting sqref="C46">
    <cfRule type="expression" priority="41" dxfId="0">
      <formula>C46="ERROR"</formula>
    </cfRule>
    <cfRule type="expression" priority="42" dxfId="2">
      <formula>C46="UNKNOWN"</formula>
    </cfRule>
    <cfRule type="expression" priority="43" dxfId="2">
      <formula>C46="NOT_APPLICABLE"</formula>
    </cfRule>
    <cfRule type="expression" priority="44" dxfId="1">
      <formula>ISNUMBER(C46)</formula>
    </cfRule>
  </conditionalFormatting>
  <conditionalFormatting sqref="D46">
    <cfRule type="expression" priority="45" dxfId="0">
      <formula>D46="ERROR"</formula>
    </cfRule>
    <cfRule type="expression" priority="46" dxfId="2">
      <formula>D46="UNKNOWN"</formula>
    </cfRule>
    <cfRule type="expression" priority="47" dxfId="2">
      <formula>D46="NOT_APPLICABLE"</formula>
    </cfRule>
    <cfRule type="expression" priority="48" dxfId="1">
      <formula>ISNUMBER(D46)</formula>
    </cfRule>
  </conditionalFormatting>
  <conditionalFormatting sqref="E46">
    <cfRule type="expression" priority="49" dxfId="0">
      <formula>E46="ERROR"</formula>
    </cfRule>
    <cfRule type="expression" priority="50" dxfId="2">
      <formula>E46="UNKNOWN"</formula>
    </cfRule>
    <cfRule type="expression" priority="51" dxfId="2">
      <formula>E46="NOT_APPLICABLE"</formula>
    </cfRule>
    <cfRule type="expression" priority="52" dxfId="1">
      <formula>ISNUMBER(E46)</formula>
    </cfRule>
  </conditionalFormatting>
  <conditionalFormatting sqref="F46">
    <cfRule type="expression" priority="53" dxfId="0">
      <formula>F46="ERROR"</formula>
    </cfRule>
    <cfRule type="expression" priority="54" dxfId="2">
      <formula>F46="UNKNOWN"</formula>
    </cfRule>
    <cfRule type="expression" priority="55" dxfId="2">
      <formula>F46="NOT_APPLICABLE"</formula>
    </cfRule>
    <cfRule type="expression" priority="56" dxfId="1">
      <formula>ISNUMBER(F46)</formula>
    </cfRule>
  </conditionalFormatting>
  <conditionalFormatting sqref="G46">
    <cfRule type="expression" priority="57" dxfId="0">
      <formula>G46="ERROR"</formula>
    </cfRule>
    <cfRule type="expression" priority="58" dxfId="2">
      <formula>G46="UNKNOWN"</formula>
    </cfRule>
    <cfRule type="expression" priority="59" dxfId="2">
      <formula>G46="NOT_APPLICABLE"</formula>
    </cfRule>
    <cfRule type="expression" priority="60" dxfId="1">
      <formula>ISNUMBER(G46)</formula>
    </cfRule>
  </conditionalFormatting>
  <conditionalFormatting sqref="C47">
    <cfRule type="expression" priority="61" dxfId="0">
      <formula>C47="ERROR"</formula>
    </cfRule>
    <cfRule type="expression" priority="62" dxfId="2">
      <formula>C47="UNKNOWN"</formula>
    </cfRule>
    <cfRule type="expression" priority="63" dxfId="2">
      <formula>C47="NOT_APPLICABLE"</formula>
    </cfRule>
    <cfRule type="expression" priority="64" dxfId="1">
      <formula>ISNUMBER(C47)</formula>
    </cfRule>
  </conditionalFormatting>
  <conditionalFormatting sqref="D47">
    <cfRule type="expression" priority="65" dxfId="0">
      <formula>D47="ERROR"</formula>
    </cfRule>
    <cfRule type="expression" priority="66" dxfId="2">
      <formula>D47="UNKNOWN"</formula>
    </cfRule>
    <cfRule type="expression" priority="67" dxfId="2">
      <formula>D47="NOT_APPLICABLE"</formula>
    </cfRule>
    <cfRule type="expression" priority="68" dxfId="1">
      <formula>ISNUMBER(D47)</formula>
    </cfRule>
  </conditionalFormatting>
  <conditionalFormatting sqref="E47">
    <cfRule type="expression" priority="69" dxfId="0">
      <formula>E47="ERROR"</formula>
    </cfRule>
    <cfRule type="expression" priority="70" dxfId="2">
      <formula>E47="UNKNOWN"</formula>
    </cfRule>
    <cfRule type="expression" priority="71" dxfId="2">
      <formula>E47="NOT_APPLICABLE"</formula>
    </cfRule>
    <cfRule type="expression" priority="72" dxfId="1">
      <formula>ISNUMBER(E47)</formula>
    </cfRule>
  </conditionalFormatting>
  <conditionalFormatting sqref="F47">
    <cfRule type="expression" priority="73" dxfId="0">
      <formula>F47="ERROR"</formula>
    </cfRule>
    <cfRule type="expression" priority="74" dxfId="2">
      <formula>F47="UNKNOWN"</formula>
    </cfRule>
    <cfRule type="expression" priority="75" dxfId="2">
      <formula>F47="NOT_APPLICABLE"</formula>
    </cfRule>
    <cfRule type="expression" priority="76" dxfId="1">
      <formula>ISNUMBER(F47)</formula>
    </cfRule>
  </conditionalFormatting>
  <conditionalFormatting sqref="G47">
    <cfRule type="expression" priority="77" dxfId="0">
      <formula>G47="ERROR"</formula>
    </cfRule>
    <cfRule type="expression" priority="78" dxfId="2">
      <formula>G47="UNKNOWN"</formula>
    </cfRule>
    <cfRule type="expression" priority="79" dxfId="2">
      <formula>G47="NOT_APPLICABLE"</formula>
    </cfRule>
    <cfRule type="expression" priority="80" dxfId="1">
      <formula>ISNUMBER(G47)</formula>
    </cfRule>
  </conditionalFormatting>
  <conditionalFormatting sqref="C48">
    <cfRule type="expression" priority="81" dxfId="0">
      <formula>C48="ERROR"</formula>
    </cfRule>
    <cfRule type="expression" priority="82" dxfId="2">
      <formula>C48="UNKNOWN"</formula>
    </cfRule>
    <cfRule type="expression" priority="83" dxfId="2">
      <formula>C48="NOT_APPLICABLE"</formula>
    </cfRule>
    <cfRule type="expression" priority="84" dxfId="1">
      <formula>ISNUMBER(C48)</formula>
    </cfRule>
  </conditionalFormatting>
  <conditionalFormatting sqref="D48">
    <cfRule type="expression" priority="85" dxfId="0">
      <formula>D48="ERROR"</formula>
    </cfRule>
    <cfRule type="expression" priority="86" dxfId="2">
      <formula>D48="UNKNOWN"</formula>
    </cfRule>
    <cfRule type="expression" priority="87" dxfId="2">
      <formula>D48="NOT_APPLICABLE"</formula>
    </cfRule>
    <cfRule type="expression" priority="88" dxfId="1">
      <formula>ISNUMBER(D48)</formula>
    </cfRule>
  </conditionalFormatting>
  <conditionalFormatting sqref="E48">
    <cfRule type="expression" priority="89" dxfId="0">
      <formula>E48="ERROR"</formula>
    </cfRule>
    <cfRule type="expression" priority="90" dxfId="2">
      <formula>E48="UNKNOWN"</formula>
    </cfRule>
    <cfRule type="expression" priority="91" dxfId="2">
      <formula>E48="NOT_APPLICABLE"</formula>
    </cfRule>
    <cfRule type="expression" priority="92" dxfId="1">
      <formula>ISNUMBER(E48)</formula>
    </cfRule>
  </conditionalFormatting>
  <conditionalFormatting sqref="F48">
    <cfRule type="expression" priority="93" dxfId="0">
      <formula>F48="ERROR"</formula>
    </cfRule>
    <cfRule type="expression" priority="94" dxfId="2">
      <formula>F48="UNKNOWN"</formula>
    </cfRule>
    <cfRule type="expression" priority="95" dxfId="2">
      <formula>F48="NOT_APPLICABLE"</formula>
    </cfRule>
    <cfRule type="expression" priority="96" dxfId="1">
      <formula>ISNUMBER(F48)</formula>
    </cfRule>
  </conditionalFormatting>
  <conditionalFormatting sqref="G48">
    <cfRule type="expression" priority="97" dxfId="0">
      <formula>G48="ERROR"</formula>
    </cfRule>
    <cfRule type="expression" priority="98" dxfId="2">
      <formula>G48="UNKNOWN"</formula>
    </cfRule>
    <cfRule type="expression" priority="99" dxfId="2">
      <formula>G48="NOT_APPLICABLE"</formula>
    </cfRule>
    <cfRule type="expression" priority="100" dxfId="1">
      <formula>ISNUMBER(G48)</formula>
    </cfRule>
  </conditionalFormatting>
  <conditionalFormatting sqref="C49">
    <cfRule type="expression" priority="101" dxfId="0">
      <formula>C49="ERROR"</formula>
    </cfRule>
    <cfRule type="expression" priority="102" dxfId="2">
      <formula>C49="UNKNOWN"</formula>
    </cfRule>
    <cfRule type="expression" priority="103" dxfId="2">
      <formula>C49="NOT_APPLICABLE"</formula>
    </cfRule>
    <cfRule type="expression" priority="104" dxfId="1">
      <formula>ISNUMBER(C49)</formula>
    </cfRule>
  </conditionalFormatting>
  <conditionalFormatting sqref="D49">
    <cfRule type="expression" priority="105" dxfId="0">
      <formula>D49="ERROR"</formula>
    </cfRule>
    <cfRule type="expression" priority="106" dxfId="2">
      <formula>D49="UNKNOWN"</formula>
    </cfRule>
    <cfRule type="expression" priority="107" dxfId="2">
      <formula>D49="NOT_APPLICABLE"</formula>
    </cfRule>
    <cfRule type="expression" priority="108" dxfId="1">
      <formula>ISNUMBER(D49)</formula>
    </cfRule>
  </conditionalFormatting>
  <conditionalFormatting sqref="E49">
    <cfRule type="expression" priority="109" dxfId="0">
      <formula>E49="ERROR"</formula>
    </cfRule>
    <cfRule type="expression" priority="110" dxfId="2">
      <formula>E49="UNKNOWN"</formula>
    </cfRule>
    <cfRule type="expression" priority="111" dxfId="2">
      <formula>E49="NOT_APPLICABLE"</formula>
    </cfRule>
    <cfRule type="expression" priority="112" dxfId="1">
      <formula>ISNUMBER(E49)</formula>
    </cfRule>
  </conditionalFormatting>
  <conditionalFormatting sqref="F49">
    <cfRule type="expression" priority="113" dxfId="0">
      <formula>F49="ERROR"</formula>
    </cfRule>
    <cfRule type="expression" priority="114" dxfId="2">
      <formula>F49="UNKNOWN"</formula>
    </cfRule>
    <cfRule type="expression" priority="115" dxfId="2">
      <formula>F49="NOT_APPLICABLE"</formula>
    </cfRule>
    <cfRule type="expression" priority="116" dxfId="1">
      <formula>ISNUMBER(F49)</formula>
    </cfRule>
  </conditionalFormatting>
  <conditionalFormatting sqref="G49">
    <cfRule type="expression" priority="117" dxfId="0">
      <formula>G49="ERROR"</formula>
    </cfRule>
    <cfRule type="expression" priority="118" dxfId="2">
      <formula>G49="UNKNOWN"</formula>
    </cfRule>
    <cfRule type="expression" priority="119" dxfId="2">
      <formula>G49="NOT_APPLICABLE"</formula>
    </cfRule>
    <cfRule type="expression" priority="120" dxfId="1">
      <formula>ISNUMBER(G49)</formula>
    </cfRule>
  </conditionalFormatting>
  <conditionalFormatting sqref="C50">
    <cfRule type="expression" priority="121" dxfId="0">
      <formula>C50="ERROR"</formula>
    </cfRule>
    <cfRule type="expression" priority="122" dxfId="2">
      <formula>C50="UNKNOWN"</formula>
    </cfRule>
    <cfRule type="expression" priority="123" dxfId="2">
      <formula>C50="NOT_APPLICABLE"</formula>
    </cfRule>
    <cfRule type="expression" priority="124" dxfId="1">
      <formula>ISNUMBER(C50)</formula>
    </cfRule>
  </conditionalFormatting>
  <conditionalFormatting sqref="D50">
    <cfRule type="expression" priority="125" dxfId="0">
      <formula>D50="ERROR"</formula>
    </cfRule>
    <cfRule type="expression" priority="126" dxfId="2">
      <formula>D50="UNKNOWN"</formula>
    </cfRule>
    <cfRule type="expression" priority="127" dxfId="2">
      <formula>D50="NOT_APPLICABLE"</formula>
    </cfRule>
    <cfRule type="expression" priority="128" dxfId="1">
      <formula>ISNUMBER(D50)</formula>
    </cfRule>
  </conditionalFormatting>
  <conditionalFormatting sqref="E50">
    <cfRule type="expression" priority="129" dxfId="0">
      <formula>E50="ERROR"</formula>
    </cfRule>
    <cfRule type="expression" priority="130" dxfId="2">
      <formula>E50="UNKNOWN"</formula>
    </cfRule>
    <cfRule type="expression" priority="131" dxfId="2">
      <formula>E50="NOT_APPLICABLE"</formula>
    </cfRule>
    <cfRule type="expression" priority="132" dxfId="1">
      <formula>ISNUMBER(E50)</formula>
    </cfRule>
  </conditionalFormatting>
  <conditionalFormatting sqref="F50">
    <cfRule type="expression" priority="133" dxfId="0">
      <formula>F50="ERROR"</formula>
    </cfRule>
    <cfRule type="expression" priority="134" dxfId="2">
      <formula>F50="UNKNOWN"</formula>
    </cfRule>
    <cfRule type="expression" priority="135" dxfId="2">
      <formula>F50="NOT_APPLICABLE"</formula>
    </cfRule>
    <cfRule type="expression" priority="136" dxfId="1">
      <formula>ISNUMBER(F50)</formula>
    </cfRule>
  </conditionalFormatting>
  <conditionalFormatting sqref="G50">
    <cfRule type="expression" priority="137" dxfId="0">
      <formula>G50="ERROR"</formula>
    </cfRule>
    <cfRule type="expression" priority="138" dxfId="2">
      <formula>G50="UNKNOWN"</formula>
    </cfRule>
    <cfRule type="expression" priority="139" dxfId="2">
      <formula>G50="NOT_APPLICABLE"</formula>
    </cfRule>
    <cfRule type="expression" priority="140" dxfId="1">
      <formula>ISNUMBER(G50)</formula>
    </cfRule>
  </conditionalFormatting>
  <conditionalFormatting sqref="C51">
    <cfRule type="expression" priority="141" dxfId="0">
      <formula>C51="ERROR"</formula>
    </cfRule>
    <cfRule type="expression" priority="142" dxfId="2">
      <formula>C51="UNKNOWN"</formula>
    </cfRule>
    <cfRule type="expression" priority="143" dxfId="2">
      <formula>C51="NOT_APPLICABLE"</formula>
    </cfRule>
    <cfRule type="expression" priority="144" dxfId="1">
      <formula>ISNUMBER(C51)</formula>
    </cfRule>
  </conditionalFormatting>
  <conditionalFormatting sqref="D51">
    <cfRule type="expression" priority="145" dxfId="0">
      <formula>D51="ERROR"</formula>
    </cfRule>
    <cfRule type="expression" priority="146" dxfId="2">
      <formula>D51="UNKNOWN"</formula>
    </cfRule>
    <cfRule type="expression" priority="147" dxfId="2">
      <formula>D51="NOT_APPLICABLE"</formula>
    </cfRule>
    <cfRule type="expression" priority="148" dxfId="1">
      <formula>ISNUMBER(D51)</formula>
    </cfRule>
  </conditionalFormatting>
  <conditionalFormatting sqref="E51">
    <cfRule type="expression" priority="149" dxfId="0">
      <formula>E51="ERROR"</formula>
    </cfRule>
    <cfRule type="expression" priority="150" dxfId="2">
      <formula>E51="UNKNOWN"</formula>
    </cfRule>
    <cfRule type="expression" priority="151" dxfId="2">
      <formula>E51="NOT_APPLICABLE"</formula>
    </cfRule>
    <cfRule type="expression" priority="152" dxfId="1">
      <formula>ISNUMBER(E51)</formula>
    </cfRule>
  </conditionalFormatting>
  <conditionalFormatting sqref="F51">
    <cfRule type="expression" priority="153" dxfId="0">
      <formula>F51="ERROR"</formula>
    </cfRule>
    <cfRule type="expression" priority="154" dxfId="2">
      <formula>F51="UNKNOWN"</formula>
    </cfRule>
    <cfRule type="expression" priority="155" dxfId="2">
      <formula>F51="NOT_APPLICABLE"</formula>
    </cfRule>
    <cfRule type="expression" priority="156" dxfId="1">
      <formula>ISNUMBER(F51)</formula>
    </cfRule>
  </conditionalFormatting>
  <conditionalFormatting sqref="G51">
    <cfRule type="expression" priority="157" dxfId="0">
      <formula>G51="ERROR"</formula>
    </cfRule>
    <cfRule type="expression" priority="158" dxfId="2">
      <formula>G51="UNKNOWN"</formula>
    </cfRule>
    <cfRule type="expression" priority="159" dxfId="2">
      <formula>G51="NOT_APPLICABLE"</formula>
    </cfRule>
    <cfRule type="expression" priority="160" dxfId="1">
      <formula>ISNUMBER(G51)</formula>
    </cfRule>
  </conditionalFormatting>
  <conditionalFormatting sqref="C52">
    <cfRule type="expression" priority="161" dxfId="0">
      <formula>C52="ERROR"</formula>
    </cfRule>
    <cfRule type="expression" priority="162" dxfId="2">
      <formula>C52="UNKNOWN"</formula>
    </cfRule>
    <cfRule type="expression" priority="163" dxfId="2">
      <formula>C52="NOT_APPLICABLE"</formula>
    </cfRule>
    <cfRule type="expression" priority="164" dxfId="1">
      <formula>ISNUMBER(C52)</formula>
    </cfRule>
  </conditionalFormatting>
  <conditionalFormatting sqref="D52">
    <cfRule type="expression" priority="165" dxfId="0">
      <formula>D52="ERROR"</formula>
    </cfRule>
    <cfRule type="expression" priority="166" dxfId="2">
      <formula>D52="UNKNOWN"</formula>
    </cfRule>
    <cfRule type="expression" priority="167" dxfId="2">
      <formula>D52="NOT_APPLICABLE"</formula>
    </cfRule>
    <cfRule type="expression" priority="168" dxfId="1">
      <formula>ISNUMBER(D52)</formula>
    </cfRule>
  </conditionalFormatting>
  <conditionalFormatting sqref="E52">
    <cfRule type="expression" priority="169" dxfId="0">
      <formula>E52="ERROR"</formula>
    </cfRule>
    <cfRule type="expression" priority="170" dxfId="2">
      <formula>E52="UNKNOWN"</formula>
    </cfRule>
    <cfRule type="expression" priority="171" dxfId="2">
      <formula>E52="NOT_APPLICABLE"</formula>
    </cfRule>
    <cfRule type="expression" priority="172" dxfId="1">
      <formula>ISNUMBER(E52)</formula>
    </cfRule>
  </conditionalFormatting>
  <conditionalFormatting sqref="F52">
    <cfRule type="expression" priority="173" dxfId="0">
      <formula>F52="ERROR"</formula>
    </cfRule>
    <cfRule type="expression" priority="174" dxfId="2">
      <formula>F52="UNKNOWN"</formula>
    </cfRule>
    <cfRule type="expression" priority="175" dxfId="2">
      <formula>F52="NOT_APPLICABLE"</formula>
    </cfRule>
    <cfRule type="expression" priority="176" dxfId="1">
      <formula>ISNUMBER(F52)</formula>
    </cfRule>
  </conditionalFormatting>
  <conditionalFormatting sqref="G52">
    <cfRule type="expression" priority="177" dxfId="0">
      <formula>G52="ERROR"</formula>
    </cfRule>
    <cfRule type="expression" priority="178" dxfId="2">
      <formula>G52="UNKNOWN"</formula>
    </cfRule>
    <cfRule type="expression" priority="179" dxfId="2">
      <formula>G52="NOT_APPLICABLE"</formula>
    </cfRule>
    <cfRule type="expression" priority="180" dxfId="1">
      <formula>ISNUMBER(G52)</formula>
    </cfRule>
  </conditionalFormatting>
  <conditionalFormatting sqref="C53">
    <cfRule type="expression" priority="181" dxfId="0">
      <formula>C53="ERROR"</formula>
    </cfRule>
    <cfRule type="expression" priority="182" dxfId="2">
      <formula>C53="UNKNOWN"</formula>
    </cfRule>
    <cfRule type="expression" priority="183" dxfId="2">
      <formula>C53="NOT_APPLICABLE"</formula>
    </cfRule>
    <cfRule type="expression" priority="184" dxfId="1">
      <formula>ISNUMBER(C53)</formula>
    </cfRule>
  </conditionalFormatting>
  <conditionalFormatting sqref="D53">
    <cfRule type="expression" priority="185" dxfId="0">
      <formula>D53="ERROR"</formula>
    </cfRule>
    <cfRule type="expression" priority="186" dxfId="2">
      <formula>D53="UNKNOWN"</formula>
    </cfRule>
    <cfRule type="expression" priority="187" dxfId="2">
      <formula>D53="NOT_APPLICABLE"</formula>
    </cfRule>
    <cfRule type="expression" priority="188" dxfId="1">
      <formula>ISNUMBER(D53)</formula>
    </cfRule>
  </conditionalFormatting>
  <conditionalFormatting sqref="E53">
    <cfRule type="expression" priority="189" dxfId="0">
      <formula>E53="ERROR"</formula>
    </cfRule>
    <cfRule type="expression" priority="190" dxfId="2">
      <formula>E53="UNKNOWN"</formula>
    </cfRule>
    <cfRule type="expression" priority="191" dxfId="2">
      <formula>E53="NOT_APPLICABLE"</formula>
    </cfRule>
    <cfRule type="expression" priority="192" dxfId="1">
      <formula>ISNUMBER(E53)</formula>
    </cfRule>
  </conditionalFormatting>
  <conditionalFormatting sqref="F53">
    <cfRule type="expression" priority="193" dxfId="0">
      <formula>F53="ERROR"</formula>
    </cfRule>
    <cfRule type="expression" priority="194" dxfId="2">
      <formula>F53="UNKNOWN"</formula>
    </cfRule>
    <cfRule type="expression" priority="195" dxfId="2">
      <formula>F53="NOT_APPLICABLE"</formula>
    </cfRule>
    <cfRule type="expression" priority="196" dxfId="1">
      <formula>ISNUMBER(F53)</formula>
    </cfRule>
  </conditionalFormatting>
  <conditionalFormatting sqref="G53">
    <cfRule type="expression" priority="197" dxfId="0">
      <formula>G53="ERROR"</formula>
    </cfRule>
    <cfRule type="expression" priority="198" dxfId="2">
      <formula>G53="UNKNOWN"</formula>
    </cfRule>
    <cfRule type="expression" priority="199" dxfId="2">
      <formula>G53="NOT_APPLICABLE"</formula>
    </cfRule>
    <cfRule type="expression" priority="200" dxfId="1">
      <formula>ISNUMBER(G53)</formula>
    </cfRule>
  </conditionalFormatting>
  <conditionalFormatting sqref="C54">
    <cfRule type="expression" priority="201" dxfId="0">
      <formula>C54="ERROR"</formula>
    </cfRule>
    <cfRule type="expression" priority="202" dxfId="2">
      <formula>C54="UNKNOWN"</formula>
    </cfRule>
    <cfRule type="expression" priority="203" dxfId="2">
      <formula>C54="NOT_APPLICABLE"</formula>
    </cfRule>
    <cfRule type="expression" priority="204" dxfId="1">
      <formula>ISNUMBER(C54)</formula>
    </cfRule>
  </conditionalFormatting>
  <conditionalFormatting sqref="D54">
    <cfRule type="expression" priority="205" dxfId="0">
      <formula>D54="ERROR"</formula>
    </cfRule>
    <cfRule type="expression" priority="206" dxfId="2">
      <formula>D54="UNKNOWN"</formula>
    </cfRule>
    <cfRule type="expression" priority="207" dxfId="2">
      <formula>D54="NOT_APPLICABLE"</formula>
    </cfRule>
    <cfRule type="expression" priority="208" dxfId="1">
      <formula>ISNUMBER(D54)</formula>
    </cfRule>
  </conditionalFormatting>
  <conditionalFormatting sqref="E54">
    <cfRule type="expression" priority="209" dxfId="0">
      <formula>E54="ERROR"</formula>
    </cfRule>
    <cfRule type="expression" priority="210" dxfId="2">
      <formula>E54="UNKNOWN"</formula>
    </cfRule>
    <cfRule type="expression" priority="211" dxfId="2">
      <formula>E54="NOT_APPLICABLE"</formula>
    </cfRule>
    <cfRule type="expression" priority="212" dxfId="1">
      <formula>ISNUMBER(E54)</formula>
    </cfRule>
  </conditionalFormatting>
  <conditionalFormatting sqref="F54">
    <cfRule type="expression" priority="213" dxfId="0">
      <formula>F54="ERROR"</formula>
    </cfRule>
    <cfRule type="expression" priority="214" dxfId="2">
      <formula>F54="UNKNOWN"</formula>
    </cfRule>
    <cfRule type="expression" priority="215" dxfId="2">
      <formula>F54="NOT_APPLICABLE"</formula>
    </cfRule>
    <cfRule type="expression" priority="216" dxfId="1">
      <formula>ISNUMBER(F54)</formula>
    </cfRule>
  </conditionalFormatting>
  <conditionalFormatting sqref="G54">
    <cfRule type="expression" priority="217" dxfId="0">
      <formula>G54="ERROR"</formula>
    </cfRule>
    <cfRule type="expression" priority="218" dxfId="2">
      <formula>G54="UNKNOWN"</formula>
    </cfRule>
    <cfRule type="expression" priority="219" dxfId="2">
      <formula>G54="NOT_APPLICABLE"</formula>
    </cfRule>
    <cfRule type="expression" priority="220" dxfId="1">
      <formula>ISNUMBER(G54)</formula>
    </cfRule>
  </conditionalFormatting>
  <conditionalFormatting sqref="C55">
    <cfRule type="expression" priority="221" dxfId="0">
      <formula>C55="ERROR"</formula>
    </cfRule>
    <cfRule type="expression" priority="222" dxfId="2">
      <formula>C55="UNKNOWN"</formula>
    </cfRule>
    <cfRule type="expression" priority="223" dxfId="2">
      <formula>C55="NOT_APPLICABLE"</formula>
    </cfRule>
    <cfRule type="expression" priority="224" dxfId="1">
      <formula>ISNUMBER(C55)</formula>
    </cfRule>
  </conditionalFormatting>
  <conditionalFormatting sqref="D55">
    <cfRule type="expression" priority="225" dxfId="0">
      <formula>D55="ERROR"</formula>
    </cfRule>
    <cfRule type="expression" priority="226" dxfId="2">
      <formula>D55="UNKNOWN"</formula>
    </cfRule>
    <cfRule type="expression" priority="227" dxfId="2">
      <formula>D55="NOT_APPLICABLE"</formula>
    </cfRule>
    <cfRule type="expression" priority="228" dxfId="1">
      <formula>ISNUMBER(D55)</formula>
    </cfRule>
  </conditionalFormatting>
  <conditionalFormatting sqref="E55">
    <cfRule type="expression" priority="229" dxfId="0">
      <formula>E55="ERROR"</formula>
    </cfRule>
    <cfRule type="expression" priority="230" dxfId="2">
      <formula>E55="UNKNOWN"</formula>
    </cfRule>
    <cfRule type="expression" priority="231" dxfId="2">
      <formula>E55="NOT_APPLICABLE"</formula>
    </cfRule>
    <cfRule type="expression" priority="232" dxfId="1">
      <formula>ISNUMBER(E55)</formula>
    </cfRule>
  </conditionalFormatting>
  <conditionalFormatting sqref="F55">
    <cfRule type="expression" priority="233" dxfId="0">
      <formula>F55="ERROR"</formula>
    </cfRule>
    <cfRule type="expression" priority="234" dxfId="2">
      <formula>F55="UNKNOWN"</formula>
    </cfRule>
    <cfRule type="expression" priority="235" dxfId="2">
      <formula>F55="NOT_APPLICABLE"</formula>
    </cfRule>
    <cfRule type="expression" priority="236" dxfId="1">
      <formula>ISNUMBER(F55)</formula>
    </cfRule>
  </conditionalFormatting>
  <conditionalFormatting sqref="G55">
    <cfRule type="expression" priority="237" dxfId="0">
      <formula>G55="ERROR"</formula>
    </cfRule>
    <cfRule type="expression" priority="238" dxfId="2">
      <formula>G55="UNKNOWN"</formula>
    </cfRule>
    <cfRule type="expression" priority="239" dxfId="2">
      <formula>G55="NOT_APPLICABLE"</formula>
    </cfRule>
    <cfRule type="expression" priority="240" dxfId="1">
      <formula>ISNUMBER(G55)</formula>
    </cfRule>
  </conditionalFormatting>
  <conditionalFormatting sqref="C56">
    <cfRule type="expression" priority="241" dxfId="0">
      <formula>C56="ERROR"</formula>
    </cfRule>
    <cfRule type="expression" priority="242" dxfId="2">
      <formula>C56="UNKNOWN"</formula>
    </cfRule>
    <cfRule type="expression" priority="243" dxfId="2">
      <formula>C56="NOT_APPLICABLE"</formula>
    </cfRule>
    <cfRule type="expression" priority="244" dxfId="1">
      <formula>ISNUMBER(C56)</formula>
    </cfRule>
  </conditionalFormatting>
  <conditionalFormatting sqref="D56">
    <cfRule type="expression" priority="245" dxfId="0">
      <formula>D56="ERROR"</formula>
    </cfRule>
    <cfRule type="expression" priority="246" dxfId="2">
      <formula>D56="UNKNOWN"</formula>
    </cfRule>
    <cfRule type="expression" priority="247" dxfId="2">
      <formula>D56="NOT_APPLICABLE"</formula>
    </cfRule>
    <cfRule type="expression" priority="248" dxfId="1">
      <formula>ISNUMBER(D56)</formula>
    </cfRule>
  </conditionalFormatting>
  <conditionalFormatting sqref="E56">
    <cfRule type="expression" priority="249" dxfId="0">
      <formula>E56="ERROR"</formula>
    </cfRule>
    <cfRule type="expression" priority="250" dxfId="2">
      <formula>E56="UNKNOWN"</formula>
    </cfRule>
    <cfRule type="expression" priority="251" dxfId="2">
      <formula>E56="NOT_APPLICABLE"</formula>
    </cfRule>
    <cfRule type="expression" priority="252" dxfId="1">
      <formula>ISNUMBER(E56)</formula>
    </cfRule>
  </conditionalFormatting>
  <conditionalFormatting sqref="F56">
    <cfRule type="expression" priority="253" dxfId="0">
      <formula>F56="ERROR"</formula>
    </cfRule>
    <cfRule type="expression" priority="254" dxfId="2">
      <formula>F56="UNKNOWN"</formula>
    </cfRule>
    <cfRule type="expression" priority="255" dxfId="2">
      <formula>F56="NOT_APPLICABLE"</formula>
    </cfRule>
    <cfRule type="expression" priority="256" dxfId="1">
      <formula>ISNUMBER(F56)</formula>
    </cfRule>
  </conditionalFormatting>
  <conditionalFormatting sqref="G56">
    <cfRule type="expression" priority="257" dxfId="0">
      <formula>G56="ERROR"</formula>
    </cfRule>
    <cfRule type="expression" priority="258" dxfId="2">
      <formula>G56="UNKNOWN"</formula>
    </cfRule>
    <cfRule type="expression" priority="259" dxfId="2">
      <formula>G56="NOT_APPLICABLE"</formula>
    </cfRule>
    <cfRule type="expression" priority="260" dxfId="1">
      <formula>ISNUMBER(G56)</formula>
    </cfRule>
  </conditionalFormatting>
  <conditionalFormatting sqref="C57">
    <cfRule type="expression" priority="261" dxfId="0">
      <formula>C57="ERROR"</formula>
    </cfRule>
    <cfRule type="expression" priority="262" dxfId="2">
      <formula>C57="UNKNOWN"</formula>
    </cfRule>
    <cfRule type="expression" priority="263" dxfId="2">
      <formula>C57="NOT_APPLICABLE"</formula>
    </cfRule>
    <cfRule type="expression" priority="264" dxfId="1">
      <formula>ISNUMBER(C57)</formula>
    </cfRule>
  </conditionalFormatting>
  <conditionalFormatting sqref="D57">
    <cfRule type="expression" priority="265" dxfId="0">
      <formula>D57="ERROR"</formula>
    </cfRule>
    <cfRule type="expression" priority="266" dxfId="2">
      <formula>D57="UNKNOWN"</formula>
    </cfRule>
    <cfRule type="expression" priority="267" dxfId="2">
      <formula>D57="NOT_APPLICABLE"</formula>
    </cfRule>
    <cfRule type="expression" priority="268" dxfId="1">
      <formula>ISNUMBER(D57)</formula>
    </cfRule>
  </conditionalFormatting>
  <conditionalFormatting sqref="E57">
    <cfRule type="expression" priority="269" dxfId="0">
      <formula>E57="ERROR"</formula>
    </cfRule>
    <cfRule type="expression" priority="270" dxfId="2">
      <formula>E57="UNKNOWN"</formula>
    </cfRule>
    <cfRule type="expression" priority="271" dxfId="2">
      <formula>E57="NOT_APPLICABLE"</formula>
    </cfRule>
    <cfRule type="expression" priority="272" dxfId="1">
      <formula>ISNUMBER(E57)</formula>
    </cfRule>
  </conditionalFormatting>
  <conditionalFormatting sqref="F57">
    <cfRule type="expression" priority="273" dxfId="0">
      <formula>F57="ERROR"</formula>
    </cfRule>
    <cfRule type="expression" priority="274" dxfId="2">
      <formula>F57="UNKNOWN"</formula>
    </cfRule>
    <cfRule type="expression" priority="275" dxfId="2">
      <formula>F57="NOT_APPLICABLE"</formula>
    </cfRule>
    <cfRule type="expression" priority="276" dxfId="1">
      <formula>ISNUMBER(F57)</formula>
    </cfRule>
  </conditionalFormatting>
  <conditionalFormatting sqref="G57">
    <cfRule type="expression" priority="277" dxfId="0">
      <formula>G57="ERROR"</formula>
    </cfRule>
    <cfRule type="expression" priority="278" dxfId="2">
      <formula>G57="UNKNOWN"</formula>
    </cfRule>
    <cfRule type="expression" priority="279" dxfId="2">
      <formula>G57="NOT_APPLICABLE"</formula>
    </cfRule>
    <cfRule type="expression" priority="280" dxfId="1">
      <formula>ISNUMBER(G57)</formula>
    </cfRule>
  </conditionalFormatting>
  <conditionalFormatting sqref="C58">
    <cfRule type="expression" priority="281" dxfId="0">
      <formula>C58="ERROR"</formula>
    </cfRule>
    <cfRule type="expression" priority="282" dxfId="2">
      <formula>C58="UNKNOWN"</formula>
    </cfRule>
    <cfRule type="expression" priority="283" dxfId="2">
      <formula>C58="NOT_APPLICABLE"</formula>
    </cfRule>
    <cfRule type="expression" priority="284" dxfId="1">
      <formula>ISNUMBER(C58)</formula>
    </cfRule>
  </conditionalFormatting>
  <conditionalFormatting sqref="D58">
    <cfRule type="expression" priority="285" dxfId="0">
      <formula>D58="ERROR"</formula>
    </cfRule>
    <cfRule type="expression" priority="286" dxfId="2">
      <formula>D58="UNKNOWN"</formula>
    </cfRule>
    <cfRule type="expression" priority="287" dxfId="2">
      <formula>D58="NOT_APPLICABLE"</formula>
    </cfRule>
    <cfRule type="expression" priority="288" dxfId="1">
      <formula>ISNUMBER(D58)</formula>
    </cfRule>
  </conditionalFormatting>
  <conditionalFormatting sqref="E58">
    <cfRule type="expression" priority="289" dxfId="0">
      <formula>E58="ERROR"</formula>
    </cfRule>
    <cfRule type="expression" priority="290" dxfId="2">
      <formula>E58="UNKNOWN"</formula>
    </cfRule>
    <cfRule type="expression" priority="291" dxfId="2">
      <formula>E58="NOT_APPLICABLE"</formula>
    </cfRule>
    <cfRule type="expression" priority="292" dxfId="1">
      <formula>ISNUMBER(E58)</formula>
    </cfRule>
  </conditionalFormatting>
  <conditionalFormatting sqref="F58">
    <cfRule type="expression" priority="293" dxfId="0">
      <formula>F58="ERROR"</formula>
    </cfRule>
    <cfRule type="expression" priority="294" dxfId="2">
      <formula>F58="UNKNOWN"</formula>
    </cfRule>
    <cfRule type="expression" priority="295" dxfId="2">
      <formula>F58="NOT_APPLICABLE"</formula>
    </cfRule>
    <cfRule type="expression" priority="296" dxfId="1">
      <formula>ISNUMBER(F58)</formula>
    </cfRule>
  </conditionalFormatting>
  <conditionalFormatting sqref="G58">
    <cfRule type="expression" priority="297" dxfId="0">
      <formula>G58="ERROR"</formula>
    </cfRule>
    <cfRule type="expression" priority="298" dxfId="2">
      <formula>G58="UNKNOWN"</formula>
    </cfRule>
    <cfRule type="expression" priority="299" dxfId="2">
      <formula>G58="NOT_APPLICABLE"</formula>
    </cfRule>
    <cfRule type="expression" priority="300" dxfId="1">
      <formula>ISNUMBER(G58)</formula>
    </cfRule>
  </conditionalFormatting>
  <conditionalFormatting sqref="C77">
    <cfRule type="expression" priority="301" dxfId="0">
      <formula>C77="ERROR"</formula>
    </cfRule>
    <cfRule type="expression" priority="302" dxfId="2">
      <formula>C77="UNKNOWN"</formula>
    </cfRule>
    <cfRule type="expression" priority="303" dxfId="2">
      <formula>C77="NOT_APPLICABLE"</formula>
    </cfRule>
    <cfRule type="expression" priority="304" dxfId="1">
      <formula>ISNUMBER(C77)</formula>
    </cfRule>
  </conditionalFormatting>
  <conditionalFormatting sqref="D77">
    <cfRule type="expression" priority="305" dxfId="0">
      <formula>D77="ERROR"</formula>
    </cfRule>
    <cfRule type="expression" priority="306" dxfId="2">
      <formula>D77="UNKNOWN"</formula>
    </cfRule>
    <cfRule type="expression" priority="307" dxfId="2">
      <formula>D77="NOT_APPLICABLE"</formula>
    </cfRule>
    <cfRule type="expression" priority="308" dxfId="1">
      <formula>ISNUMBER(D77)</formula>
    </cfRule>
  </conditionalFormatting>
  <conditionalFormatting sqref="E77">
    <cfRule type="expression" priority="309" dxfId="0">
      <formula>E77="ERROR"</formula>
    </cfRule>
    <cfRule type="expression" priority="310" dxfId="2">
      <formula>E77="UNKNOWN"</formula>
    </cfRule>
    <cfRule type="expression" priority="311" dxfId="2">
      <formula>E77="NOT_APPLICABLE"</formula>
    </cfRule>
    <cfRule type="expression" priority="312" dxfId="1">
      <formula>ISNUMBER(E77)</formula>
    </cfRule>
  </conditionalFormatting>
  <conditionalFormatting sqref="F77">
    <cfRule type="expression" priority="313" dxfId="0">
      <formula>F77="ERROR"</formula>
    </cfRule>
    <cfRule type="expression" priority="314" dxfId="2">
      <formula>F77="UNKNOWN"</formula>
    </cfRule>
    <cfRule type="expression" priority="315" dxfId="2">
      <formula>F77="NOT_APPLICABLE"</formula>
    </cfRule>
    <cfRule type="expression" priority="316" dxfId="1">
      <formula>ISNUMBER(F77)</formula>
    </cfRule>
  </conditionalFormatting>
  <conditionalFormatting sqref="G77">
    <cfRule type="expression" priority="317" dxfId="0">
      <formula>G77="ERROR"</formula>
    </cfRule>
    <cfRule type="expression" priority="318" dxfId="2">
      <formula>G77="UNKNOWN"</formula>
    </cfRule>
    <cfRule type="expression" priority="319" dxfId="2">
      <formula>G77="NOT_APPLICABLE"</formula>
    </cfRule>
    <cfRule type="expression" priority="320" dxfId="1">
      <formula>ISNUMBER(G77)</formula>
    </cfRule>
  </conditionalFormatting>
  <conditionalFormatting sqref="C78">
    <cfRule type="expression" priority="321" dxfId="0">
      <formula>C78="ERROR"</formula>
    </cfRule>
    <cfRule type="expression" priority="322" dxfId="2">
      <formula>C78="UNKNOWN"</formula>
    </cfRule>
    <cfRule type="expression" priority="323" dxfId="2">
      <formula>C78="NOT_APPLICABLE"</formula>
    </cfRule>
    <cfRule type="expression" priority="324" dxfId="1">
      <formula>ISNUMBER(C78)</formula>
    </cfRule>
  </conditionalFormatting>
  <conditionalFormatting sqref="D78">
    <cfRule type="expression" priority="325" dxfId="0">
      <formula>D78="ERROR"</formula>
    </cfRule>
    <cfRule type="expression" priority="326" dxfId="2">
      <formula>D78="UNKNOWN"</formula>
    </cfRule>
    <cfRule type="expression" priority="327" dxfId="2">
      <formula>D78="NOT_APPLICABLE"</formula>
    </cfRule>
    <cfRule type="expression" priority="328" dxfId="1">
      <formula>ISNUMBER(D78)</formula>
    </cfRule>
  </conditionalFormatting>
  <conditionalFormatting sqref="E78">
    <cfRule type="expression" priority="329" dxfId="0">
      <formula>E78="ERROR"</formula>
    </cfRule>
    <cfRule type="expression" priority="330" dxfId="2">
      <formula>E78="UNKNOWN"</formula>
    </cfRule>
    <cfRule type="expression" priority="331" dxfId="2">
      <formula>E78="NOT_APPLICABLE"</formula>
    </cfRule>
    <cfRule type="expression" priority="332" dxfId="1">
      <formula>ISNUMBER(E78)</formula>
    </cfRule>
  </conditionalFormatting>
  <conditionalFormatting sqref="F78">
    <cfRule type="expression" priority="333" dxfId="0">
      <formula>F78="ERROR"</formula>
    </cfRule>
    <cfRule type="expression" priority="334" dxfId="2">
      <formula>F78="UNKNOWN"</formula>
    </cfRule>
    <cfRule type="expression" priority="335" dxfId="2">
      <formula>F78="NOT_APPLICABLE"</formula>
    </cfRule>
    <cfRule type="expression" priority="336" dxfId="1">
      <formula>ISNUMBER(F78)</formula>
    </cfRule>
  </conditionalFormatting>
  <conditionalFormatting sqref="G78">
    <cfRule type="expression" priority="337" dxfId="0">
      <formula>G78="ERROR"</formula>
    </cfRule>
    <cfRule type="expression" priority="338" dxfId="2">
      <formula>G78="UNKNOWN"</formula>
    </cfRule>
    <cfRule type="expression" priority="339" dxfId="2">
      <formula>G78="NOT_APPLICABLE"</formula>
    </cfRule>
    <cfRule type="expression" priority="340" dxfId="1">
      <formula>ISNUMBER(G78)</formula>
    </cfRule>
  </conditionalFormatting>
  <conditionalFormatting sqref="C79">
    <cfRule type="expression" priority="341" dxfId="0">
      <formula>C79="ERROR"</formula>
    </cfRule>
    <cfRule type="expression" priority="342" dxfId="2">
      <formula>C79="UNKNOWN"</formula>
    </cfRule>
    <cfRule type="expression" priority="343" dxfId="2">
      <formula>C79="NOT_APPLICABLE"</formula>
    </cfRule>
    <cfRule type="expression" priority="344" dxfId="1">
      <formula>ISNUMBER(C79)</formula>
    </cfRule>
  </conditionalFormatting>
  <conditionalFormatting sqref="D79">
    <cfRule type="expression" priority="345" dxfId="0">
      <formula>D79="ERROR"</formula>
    </cfRule>
    <cfRule type="expression" priority="346" dxfId="2">
      <formula>D79="UNKNOWN"</formula>
    </cfRule>
    <cfRule type="expression" priority="347" dxfId="2">
      <formula>D79="NOT_APPLICABLE"</formula>
    </cfRule>
    <cfRule type="expression" priority="348" dxfId="1">
      <formula>ISNUMBER(D79)</formula>
    </cfRule>
  </conditionalFormatting>
  <conditionalFormatting sqref="E79">
    <cfRule type="expression" priority="349" dxfId="0">
      <formula>E79="ERROR"</formula>
    </cfRule>
    <cfRule type="expression" priority="350" dxfId="2">
      <formula>E79="UNKNOWN"</formula>
    </cfRule>
    <cfRule type="expression" priority="351" dxfId="2">
      <formula>E79="NOT_APPLICABLE"</formula>
    </cfRule>
    <cfRule type="expression" priority="352" dxfId="1">
      <formula>ISNUMBER(E79)</formula>
    </cfRule>
  </conditionalFormatting>
  <conditionalFormatting sqref="F79">
    <cfRule type="expression" priority="353" dxfId="0">
      <formula>F79="ERROR"</formula>
    </cfRule>
    <cfRule type="expression" priority="354" dxfId="2">
      <formula>F79="UNKNOWN"</formula>
    </cfRule>
    <cfRule type="expression" priority="355" dxfId="2">
      <formula>F79="NOT_APPLICABLE"</formula>
    </cfRule>
    <cfRule type="expression" priority="356" dxfId="1">
      <formula>ISNUMBER(F79)</formula>
    </cfRule>
  </conditionalFormatting>
  <conditionalFormatting sqref="G79">
    <cfRule type="expression" priority="357" dxfId="0">
      <formula>G79="ERROR"</formula>
    </cfRule>
    <cfRule type="expression" priority="358" dxfId="2">
      <formula>G79="UNKNOWN"</formula>
    </cfRule>
    <cfRule type="expression" priority="359" dxfId="2">
      <formula>G79="NOT_APPLICABLE"</formula>
    </cfRule>
    <cfRule type="expression" priority="360" dxfId="1">
      <formula>ISNUMBER(G79)</formula>
    </cfRule>
  </conditionalFormatting>
  <conditionalFormatting sqref="C80">
    <cfRule type="expression" priority="361" dxfId="0">
      <formula>C80="ERROR"</formula>
    </cfRule>
    <cfRule type="expression" priority="362" dxfId="2">
      <formula>C80="UNKNOWN"</formula>
    </cfRule>
    <cfRule type="expression" priority="363" dxfId="2">
      <formula>C80="NOT_APPLICABLE"</formula>
    </cfRule>
    <cfRule type="expression" priority="364" dxfId="1">
      <formula>ISNUMBER(C80)</formula>
    </cfRule>
  </conditionalFormatting>
  <conditionalFormatting sqref="D80">
    <cfRule type="expression" priority="365" dxfId="0">
      <formula>D80="ERROR"</formula>
    </cfRule>
    <cfRule type="expression" priority="366" dxfId="2">
      <formula>D80="UNKNOWN"</formula>
    </cfRule>
    <cfRule type="expression" priority="367" dxfId="2">
      <formula>D80="NOT_APPLICABLE"</formula>
    </cfRule>
    <cfRule type="expression" priority="368" dxfId="1">
      <formula>ISNUMBER(D80)</formula>
    </cfRule>
  </conditionalFormatting>
  <conditionalFormatting sqref="E80">
    <cfRule type="expression" priority="369" dxfId="0">
      <formula>E80="ERROR"</formula>
    </cfRule>
    <cfRule type="expression" priority="370" dxfId="2">
      <formula>E80="UNKNOWN"</formula>
    </cfRule>
    <cfRule type="expression" priority="371" dxfId="2">
      <formula>E80="NOT_APPLICABLE"</formula>
    </cfRule>
    <cfRule type="expression" priority="372" dxfId="1">
      <formula>ISNUMBER(E80)</formula>
    </cfRule>
  </conditionalFormatting>
  <conditionalFormatting sqref="F80">
    <cfRule type="expression" priority="373" dxfId="0">
      <formula>F80="ERROR"</formula>
    </cfRule>
    <cfRule type="expression" priority="374" dxfId="2">
      <formula>F80="UNKNOWN"</formula>
    </cfRule>
    <cfRule type="expression" priority="375" dxfId="2">
      <formula>F80="NOT_APPLICABLE"</formula>
    </cfRule>
    <cfRule type="expression" priority="376" dxfId="1">
      <formula>ISNUMBER(F80)</formula>
    </cfRule>
  </conditionalFormatting>
  <conditionalFormatting sqref="G80">
    <cfRule type="expression" priority="377" dxfId="0">
      <formula>G80="ERROR"</formula>
    </cfRule>
    <cfRule type="expression" priority="378" dxfId="2">
      <formula>G80="UNKNOWN"</formula>
    </cfRule>
    <cfRule type="expression" priority="379" dxfId="2">
      <formula>G80="NOT_APPLICABLE"</formula>
    </cfRule>
    <cfRule type="expression" priority="380" dxfId="1">
      <formula>ISNUMBER(G80)</formula>
    </cfRule>
  </conditionalFormatting>
  <conditionalFormatting sqref="C85">
    <cfRule type="expression" priority="381" dxfId="0">
      <formula>LEFT(C85,5)="ERROR"</formula>
    </cfRule>
    <cfRule type="expression" priority="382" dxfId="1">
      <formula>C85="OK"</formula>
    </cfRule>
  </conditionalFormatting>
  <conditionalFormatting sqref="C86">
    <cfRule type="expression" priority="383" dxfId="0">
      <formula>LEFT(C86,5)="ERROR"</formula>
    </cfRule>
    <cfRule type="expression" priority="384" dxfId="1">
      <formula>C86="OK"</formula>
    </cfRule>
  </conditionalFormatting>
  <dataValidations count="2">
    <dataValidation sqref="C26 C28 C30 C32 C34 C36 C38 C40 D26 D28 D30 D32 D34 D36 D38 D40 E26 E28 E30 E32 E34 E36 E38 E40 F26 F28 F30 F32 F34 F36 F38 F40 G26 G28 G30 G32 G34 G36 G38 G40" showDropDown="0" showInputMessage="0" showErrorMessage="0" allowBlank="0" type="list">
      <formula1>"inherit,null,value"</formula1>
    </dataValidation>
    <dataValidation sqref="C6 C29 D29 E29 F29 G29" showDropDown="0" showInputMessage="0" showErrorMessage="0" allowBlank="1" type="list">
      <formula1>"TRUE,FALSE"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L206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40" customWidth="1" min="2" max="2"/>
    <col width="15" customWidth="1" min="3" max="3"/>
    <col width="15" customWidth="1" min="4" max="4"/>
    <col width="15" customWidth="1" min="5" max="5"/>
    <col width="15" customWidth="1" min="6" max="6"/>
    <col width="15" customWidth="1" min="7" max="7"/>
    <col hidden="1" width="13" customWidth="1" min="9" max="9"/>
    <col hidden="1" width="13" customWidth="1" min="10" max="10"/>
    <col hidden="1" width="13" customWidth="1" min="11" max="11"/>
    <col hidden="1" width="13" customWidth="1" min="12" max="12"/>
  </cols>
  <sheetData>
    <row r="2" ht="26" customHeight="1">
      <c r="B2" s="1" t="inlineStr">
        <is>
          <t>11. Python Engine vs Excel Formula — Scenario Compare Parity Test</t>
        </is>
      </c>
      <c r="C2" s="6" t="n"/>
      <c r="D2" s="6" t="n"/>
      <c r="E2" s="6" t="n"/>
      <c r="F2" s="6" t="n"/>
      <c r="G2" s="6" t="n"/>
    </row>
    <row r="3" ht="56" customHeight="1">
      <c r="B3" s="24" t="inlineStr">
        <is>
          <t>각 케이스는 docs/features/scenario_compare/CASE.md TC1-37 중 Excel에서 표현 가능한 대표 케이스에 대응하며, core/engine/scenario_compare.py의 run_scenario_compare()를 동일 base_input/overrides로 실행한 Python 참조값과, 같은 조건을 Excel 수식(build_scenario_compare_column_formulas)으로 독립 재계산한 값을 비교합니다. 각 케이스는 최소 2개(baseline + 1개 변형) scenario 컬럼을 사용하며, Scenario ID/Baseline ID/override mode(inherit/null/value)까지 리터럴로 심습니다. 허용오차 0.01.</t>
        </is>
      </c>
    </row>
    <row r="5" ht="20" customHeight="1">
      <c r="B5" s="2" t="inlineStr">
        <is>
          <t>TC1. Baseline current price (no overrides)</t>
        </is>
      </c>
      <c r="C5" s="7" t="n"/>
      <c r="D5" s="7" t="n"/>
      <c r="E5" s="7" t="n"/>
      <c r="F5" s="7" t="n"/>
    </row>
    <row r="6">
      <c r="B6" s="4" t="inlineStr">
        <is>
          <t>Check</t>
        </is>
      </c>
      <c r="C6" s="4" t="inlineStr">
        <is>
          <t>Excel Result</t>
        </is>
      </c>
      <c r="D6" s="4" t="inlineStr">
        <is>
          <t>Python Reference</t>
        </is>
      </c>
      <c r="E6" s="4" t="inlineStr">
        <is>
          <t>Difference</t>
        </is>
      </c>
      <c r="F6" s="4" t="inlineStr">
        <is>
          <t>PASS / FAIL</t>
        </is>
      </c>
    </row>
    <row r="7">
      <c r="I7" t="n">
        <v>1000</v>
      </c>
    </row>
    <row r="8">
      <c r="I8" t="b">
        <v>0</v>
      </c>
    </row>
    <row r="9">
      <c r="I9" t="n">
        <v>0.1</v>
      </c>
    </row>
    <row r="10">
      <c r="I10" t="n">
        <v>1000</v>
      </c>
    </row>
    <row r="11">
      <c r="I11" t="n">
        <v>0</v>
      </c>
    </row>
    <row r="12">
      <c r="I12" t="n">
        <v>400</v>
      </c>
    </row>
    <row r="13">
      <c r="I13" t="n">
        <v>100</v>
      </c>
    </row>
    <row r="14">
      <c r="I14" t="n">
        <v>0</v>
      </c>
    </row>
    <row r="15">
      <c r="I15" t="n">
        <v>0</v>
      </c>
    </row>
    <row r="16">
      <c r="I16" t="n">
        <v>50000</v>
      </c>
    </row>
    <row r="17">
      <c r="I17" t="n">
        <v>0.3</v>
      </c>
    </row>
    <row r="18">
      <c r="I18" t="inlineStr">
        <is>
          <t>A</t>
        </is>
      </c>
      <c r="J18" t="inlineStr">
        <is>
          <t>A</t>
        </is>
      </c>
      <c r="K18" t="inlineStr">
        <is>
          <t>B</t>
        </is>
      </c>
    </row>
    <row r="19">
      <c r="J19" t="inlineStr">
        <is>
          <t>inherit</t>
        </is>
      </c>
      <c r="K19" t="inlineStr">
        <is>
          <t>inherit</t>
        </is>
      </c>
    </row>
    <row r="20"/>
    <row r="21">
      <c r="J21" t="inlineStr">
        <is>
          <t>inherit</t>
        </is>
      </c>
      <c r="K21" t="inlineStr">
        <is>
          <t>inherit</t>
        </is>
      </c>
    </row>
    <row r="22"/>
    <row r="23">
      <c r="J23" t="inlineStr">
        <is>
          <t>inherit</t>
        </is>
      </c>
      <c r="K23" t="inlineStr">
        <is>
          <t>inherit</t>
        </is>
      </c>
    </row>
    <row r="24"/>
    <row r="25">
      <c r="J25" t="inlineStr">
        <is>
          <t>inherit</t>
        </is>
      </c>
      <c r="K25" t="inlineStr">
        <is>
          <t>inherit</t>
        </is>
      </c>
    </row>
    <row r="26"/>
    <row r="27">
      <c r="J27" t="inlineStr">
        <is>
          <t>inherit</t>
        </is>
      </c>
      <c r="K27" t="inlineStr">
        <is>
          <t>inherit</t>
        </is>
      </c>
    </row>
    <row r="28"/>
    <row r="29">
      <c r="J29" t="inlineStr">
        <is>
          <t>inherit</t>
        </is>
      </c>
      <c r="K29" t="inlineStr">
        <is>
          <t>inherit</t>
        </is>
      </c>
    </row>
    <row r="30"/>
    <row r="31">
      <c r="J31" t="inlineStr">
        <is>
          <t>inherit</t>
        </is>
      </c>
      <c r="K31" t="inlineStr">
        <is>
          <t>inherit</t>
        </is>
      </c>
    </row>
    <row r="32"/>
    <row r="33">
      <c r="J33" t="inlineStr">
        <is>
          <t>inherit</t>
        </is>
      </c>
      <c r="K33" t="inlineStr">
        <is>
          <t>inherit</t>
        </is>
      </c>
    </row>
    <row r="34"/>
    <row r="35">
      <c r="J35" t="inlineStr">
        <is>
          <t>inherit</t>
        </is>
      </c>
      <c r="K35" t="inlineStr">
        <is>
          <t>inherit</t>
        </is>
      </c>
    </row>
    <row r="36"/>
    <row r="37">
      <c r="J37">
        <f>IFERROR(IF(NOT(ISNUMBER(J58)),"UNKNOWN",IF(J59="UNKNOWN","UNKNOWN",IF(J59=FALSE,J58,IF(NOT(ISNUMBER(J60)),"UNKNOWN",J58/(1+J60))))),"ERROR")</f>
        <v/>
      </c>
      <c r="K37">
        <f>IFERROR(IF(NOT(ISNUMBER(K58)),"UNKNOWN",IF(K59="UNKNOWN","UNKNOWN",IF(K59=FALSE,K58,IF(NOT(ISNUMBER(K60)),"UNKNOWN",K58/(1+K60))))),"ERROR")</f>
        <v/>
      </c>
    </row>
    <row r="38">
      <c r="J38">
        <f>IFERROR(IF(J37="ERROR","ERROR",IF(OR(NOT(ISNUMBER(J37)),NOT(ISNUMBER(J64))),"UNKNOWN",IF(J66&gt;0,IF(J48="ERROR","ERROR",IF(NOT(ISNUMBER(J48)),"UNKNOWN",J37-J64-$I$13-$I$14*J37-J66*J48)),J37-J64-$I$13-$I$14*J37))),"ERROR")</f>
        <v/>
      </c>
      <c r="K38">
        <f>IFERROR(IF(K37="ERROR","ERROR",IF(OR(NOT(ISNUMBER(K37)),NOT(ISNUMBER(K64))),"UNKNOWN",IF(K66&gt;0,IF(K48="ERROR","ERROR",IF(NOT(ISNUMBER(K48)),"UNKNOWN",K37-K64-$I$13-$I$14*K37-K66*K48)),K37-K64-$I$13-$I$14*K37))),"ERROR")</f>
        <v/>
      </c>
    </row>
    <row r="39">
      <c r="J39">
        <f>IFERROR(IF(J38="ERROR","ERROR",IF(NOT(ISNUMBER(J38)),"UNKNOWN",IF(J37=0,"ERROR",J38/J37))),"ERROR")</f>
        <v/>
      </c>
      <c r="K39">
        <f>IFERROR(IF(K38="ERROR","ERROR",IF(NOT(ISNUMBER(K38)),"UNKNOWN",IF(K37=0,"ERROR",K38/K37))),"ERROR")</f>
        <v/>
      </c>
    </row>
    <row r="40">
      <c r="J40">
        <f>IF(OR(J37="ERROR",J38="ERROR",J39="ERROR"),"ERROR",IF(OR(NOT(ISNUMBER(J37)),NOT(ISNUMBER(J38)),NOT(ISNUMBER(J39))),"UNKNOWN","OK"))</f>
        <v/>
      </c>
      <c r="K40">
        <f>IF(OR(K37="ERROR",K38="ERROR",K39="ERROR"),"ERROR",IF(OR(NOT(ISNUMBER(K37)),NOT(ISNUMBER(K38)),NOT(ISNUMBER(K39))),"UNKNOWN","OK"))</f>
        <v/>
      </c>
    </row>
    <row r="41">
      <c r="J41">
        <f>IFERROR(IF(NOT(ISNUMBER(J64)),J64,J64+$I$13),"ERROR")</f>
        <v/>
      </c>
      <c r="K41">
        <f>IFERROR(IF(NOT(ISNUMBER(K64)),K64,K64+$I$13),"ERROR")</f>
        <v/>
      </c>
    </row>
    <row r="42">
      <c r="J42">
        <f>IFERROR(IF(NOT(ISNUMBER(J63)),"UNKNOWN",IF(OR(J63&lt;0,J63&gt;=1),"ERROR",IF(J66=0,IF(1-J63-$I$14&lt;=0,"ERROR",1-J63-$I$14),IF(NOT(ISNUMBER(J60)),"UNKNOWN",IF(1-J63-$I$14-J66*(1+J60)&lt;=0,"ERROR",1-J63-$I$14-J66*(1+J60)))))),"ERROR")</f>
        <v/>
      </c>
      <c r="K42">
        <f>IFERROR(IF(NOT(ISNUMBER(K63)),"UNKNOWN",IF(OR(K63&lt;0,K63&gt;=1),"ERROR",IF(K66=0,IF(1-K63-$I$14&lt;=0,"ERROR",1-K63-$I$14),IF(NOT(ISNUMBER(K60)),"UNKNOWN",IF(1-K63-$I$14-K66*(1+K60)&lt;=0,"ERROR",1-K63-$I$14-K66*(1+K60)))))),"ERROR")</f>
        <v/>
      </c>
    </row>
    <row r="43">
      <c r="J43">
        <f>IFERROR(IF(NOT(ISNUMBER(J41)),J41,IF(NOT(ISNUMBER(J42)),J42,J41/J42)),"ERROR")</f>
        <v/>
      </c>
      <c r="K43">
        <f>IFERROR(IF(NOT(ISNUMBER(K41)),K41,IF(NOT(ISNUMBER(K42)),K42,K41/K42)),"ERROR")</f>
        <v/>
      </c>
    </row>
    <row r="44">
      <c r="J44">
        <f>IFERROR(IF(NOT(ISNUMBER(J43)),J43,IF(NOT(ISNUMBER(J60)),"UNKNOWN",J43*(1+J60))),"ERROR")</f>
        <v/>
      </c>
      <c r="K44">
        <f>IFERROR(IF(NOT(ISNUMBER(K43)),K43,IF(NOT(ISNUMBER(K60)),"UNKNOWN",K43*(1+K60))),"ERROR")</f>
        <v/>
      </c>
    </row>
    <row r="45">
      <c r="J45">
        <f>IFERROR(IF(J59="UNKNOWN","UNKNOWN",IF(J59=FALSE,J43,J44)),"ERROR")</f>
        <v/>
      </c>
      <c r="K45">
        <f>IFERROR(IF(K59="UNKNOWN","UNKNOWN",IF(K59=FALSE,K43,K44)),"ERROR")</f>
        <v/>
      </c>
    </row>
    <row r="46">
      <c r="J46">
        <f>IFERROR(IF(NOT(ISNUMBER(J45)),J45,IF(NOT(ISNUMBER(J62)),"UNKNOWN",IF(OR(J62&lt;0,J62&gt;=1),"ERROR",IF(J62=0,J45,J45/(1-J62))))),"ERROR")</f>
        <v/>
      </c>
      <c r="K46">
        <f>IFERROR(IF(NOT(ISNUMBER(K45)),K45,IF(NOT(ISNUMBER(K62)),"UNKNOWN",IF(OR(K62&lt;0,K62&gt;=1),"ERROR",IF(K62=0,K45,K45/(1-K62))))),"ERROR")</f>
        <v/>
      </c>
    </row>
    <row r="47">
      <c r="J47">
        <f>IF(OR(J45="ERROR",J46="ERROR"),"ERROR",IF(OR(NOT(ISNUMBER(J45)),NOT(ISNUMBER(J46))),"UNKNOWN","OK"))</f>
        <v/>
      </c>
      <c r="K47">
        <f>IF(OR(K45="ERROR",K46="ERROR"),"ERROR",IF(OR(NOT(ISNUMBER(K45)),NOT(ISNUMBER(K46))),"UNKNOWN","OK"))</f>
        <v/>
      </c>
    </row>
    <row r="48">
      <c r="J48">
        <f>IFERROR(IF(NOT(ISNUMBER(J58)),"UNKNOWN",IF(J59="UNKNOWN","UNKNOWN",IF(J59=TRUE,J58,IF(NOT(ISNUMBER(J60)),"UNKNOWN",J58*(1+J60))))),"ERROR")</f>
        <v/>
      </c>
      <c r="K48">
        <f>IFERROR(IF(NOT(ISNUMBER(K58)),"UNKNOWN",IF(K59="UNKNOWN","UNKNOWN",IF(K59=TRUE,K58,IF(NOT(ISNUMBER(K60)),"UNKNOWN",K58*(1+K60))))),"ERROR")</f>
        <v/>
      </c>
    </row>
    <row r="49">
      <c r="J49">
        <f>IFERROR(IF(NOT(ISNUMBER(J61)),"UNKNOWN",IF(J59="UNKNOWN","UNKNOWN",IF(J59=FALSE,J61,IF(NOT(ISNUMBER(J60)),"UNKNOWN",J61/(1+J60))))),"ERROR")</f>
        <v/>
      </c>
      <c r="K49">
        <f>IFERROR(IF(NOT(ISNUMBER(K61)),"UNKNOWN",IF(K59="UNKNOWN","UNKNOWN",IF(K59=FALSE,K61,IF(NOT(ISNUMBER(K60)),"UNKNOWN",K61/(1+K60))))),"ERROR")</f>
        <v/>
      </c>
    </row>
    <row r="50">
      <c r="J50">
        <f>IFERROR(IF(NOT(ISNUMBER(J61)),"UNKNOWN",IF(J59="UNKNOWN","UNKNOWN",IF(J59=TRUE,J61,IF(NOT(ISNUMBER(J60)),"UNKNOWN",J61*(1+J60))))),"ERROR")</f>
        <v/>
      </c>
      <c r="K50">
        <f>IFERROR(IF(NOT(ISNUMBER(K61)),"UNKNOWN",IF(K59="UNKNOWN","UNKNOWN",IF(K59=TRUE,K61,IF(NOT(ISNUMBER(K60)),"UNKNOWN",K61*(1+K60))))),"ERROR")</f>
        <v/>
      </c>
    </row>
    <row r="51">
      <c r="J51">
        <f>IFERROR(IF(J49="ERROR","ERROR",IF(NOT(ISNUMBER(J63)),"UNKNOWN",IF(OR(J63&lt;0,J63&gt;=1),"ERROR",IF(NOT(ISNUMBER(J49)),"UNKNOWN",IF(J66&gt;0,IF(J50="ERROR","ERROR",IF(NOT(ISNUMBER(J50)),"UNKNOWN",J49*(1-J63-$I$14)-J66*J50-$I$13)),J49*(1-J63-$I$14)-$I$13))))),"ERROR")</f>
        <v/>
      </c>
      <c r="K51">
        <f>IFERROR(IF(K49="ERROR","ERROR",IF(NOT(ISNUMBER(K63)),"UNKNOWN",IF(OR(K63&lt;0,K63&gt;=1),"ERROR",IF(NOT(ISNUMBER(K49)),"UNKNOWN",IF(K66&gt;0,IF(K50="ERROR","ERROR",IF(NOT(ISNUMBER(K50)),"UNKNOWN",K49*(1-K63-$I$14)-K66*K50-$I$13)),K49*(1-K63-$I$14)-$I$13))))),"ERROR")</f>
        <v/>
      </c>
    </row>
    <row r="52">
      <c r="J52">
        <f>IFERROR(IF(OR(J51="ERROR",J64="ERROR"),"ERROR",IF(OR(NOT(ISNUMBER(J51)),NOT(ISNUMBER(J64))),"UNKNOWN",J51-J64)),"ERROR")</f>
        <v/>
      </c>
      <c r="K52">
        <f>IFERROR(IF(OR(K51="ERROR",K64="ERROR"),"ERROR",IF(OR(NOT(ISNUMBER(K51)),NOT(ISNUMBER(K64))),"UNKNOWN",K51-K64)),"ERROR")</f>
        <v/>
      </c>
    </row>
    <row r="53">
      <c r="J53">
        <f>IF(OR(J51="ERROR",J64="ERROR",J52="ERROR"),"ERROR",IF(OR(NOT(ISNUMBER(J51)),NOT(ISNUMBER(J64)),NOT(ISNUMBER(J52))),"UNKNOWN","OK"))</f>
        <v/>
      </c>
      <c r="K53">
        <f>IF(OR(K51="ERROR",K64="ERROR",K52="ERROR"),"ERROR",IF(OR(NOT(ISNUMBER(K51)),NOT(ISNUMBER(K64)),NOT(ISNUMBER(K52))),"UNKNOWN","OK"))</f>
        <v/>
      </c>
    </row>
    <row r="54">
      <c r="J54">
        <f>IFERROR(IF(NOT(ISNUMBER(J65)),J65,IF(J65&lt;0,"ERROR",J65)),"ERROR")</f>
        <v/>
      </c>
      <c r="K54">
        <f>IFERROR(IF(NOT(ISNUMBER(K65)),K65,IF(K65&lt;0,"ERROR",K65)),"ERROR")</f>
        <v/>
      </c>
    </row>
    <row r="55">
      <c r="J55">
        <f>IFERROR(IF(OR(J38="ERROR",J54="ERROR"),"ERROR",IF(OR(NOT(ISNUMBER(J38)),NOT(ISNUMBER(J54))),"UNKNOWN",IF(J38&lt;=0,"NOT_APPLICABLE",J54/J38))),"ERROR")</f>
        <v/>
      </c>
      <c r="K55">
        <f>IFERROR(IF(OR(K38="ERROR",K54="ERROR"),"ERROR",IF(OR(NOT(ISNUMBER(K38)),NOT(ISNUMBER(K54))),"UNKNOWN",IF(K38&lt;=0,"NOT_APPLICABLE",K54/K38))),"ERROR")</f>
        <v/>
      </c>
    </row>
    <row r="56">
      <c r="J56">
        <f>IF(OR(J38="ERROR",J54="ERROR",J55="ERROR"),"ERROR",IF(OR(NOT(ISNUMBER(J38)),NOT(ISNUMBER(J54)),AND(NOT(ISNUMBER(J55)),J55&lt;&gt;"NOT_APPLICABLE")),"UNKNOWN","OK"))</f>
        <v/>
      </c>
      <c r="K56">
        <f>IF(OR(K38="ERROR",K54="ERROR",K55="ERROR"),"ERROR",IF(OR(NOT(ISNUMBER(K38)),NOT(ISNUMBER(K54)),AND(NOT(ISNUMBER(K55)),K55&lt;&gt;"NOT_APPLICABLE")),"UNKNOWN","OK"))</f>
        <v/>
      </c>
    </row>
    <row r="57">
      <c r="J57">
        <f>IF(OR(J40="ERROR",J47="ERROR",J53="ERROR",J56="ERROR"),"ERROR",IF(OR(J40="UNKNOWN",J47="UNKNOWN",J53="UNKNOWN",J56="UNKNOWN"),"INCOMPLETE","OK"))</f>
        <v/>
      </c>
      <c r="K57">
        <f>IF(OR(K40="ERROR",K47="ERROR",K53="ERROR",K56="ERROR"),"ERROR",IF(OR(K40="UNKNOWN",K47="UNKNOWN",K53="UNKNOWN",K56="UNKNOWN"),"INCOMPLETE","OK"))</f>
        <v/>
      </c>
    </row>
    <row r="58">
      <c r="J58">
        <f>IF($J$19="inherit",$I$7,IF($J$19="null","UNKNOWN",$J$20))</f>
        <v/>
      </c>
      <c r="K58">
        <f>IF($K$19="inherit",$I$7,IF($K$19="null","UNKNOWN",$K$20))</f>
        <v/>
      </c>
    </row>
    <row r="59">
      <c r="J59">
        <f>IF($J$21="inherit",$I$8,IF($J$21="null","UNKNOWN",$J$22))</f>
        <v/>
      </c>
      <c r="K59">
        <f>IF($K$21="inherit",$I$8,IF($K$21="null","UNKNOWN",$K$22))</f>
        <v/>
      </c>
    </row>
    <row r="60">
      <c r="J60">
        <f>IF($J$23="inherit",$I$9,IF($J$23="null","UNKNOWN",$J$24))</f>
        <v/>
      </c>
      <c r="K60">
        <f>IF($K$23="inherit",$I$9,IF($K$23="null","UNKNOWN",$K$24))</f>
        <v/>
      </c>
    </row>
    <row r="61">
      <c r="J61">
        <f>IF($J$25="inherit",$I$10,IF($J$25="null","UNKNOWN",$J$26))</f>
        <v/>
      </c>
      <c r="K61">
        <f>IF($K$25="inherit",$I$10,IF($K$25="null","UNKNOWN",$K$26))</f>
        <v/>
      </c>
    </row>
    <row r="62">
      <c r="J62">
        <f>IF($J$27="inherit",$I$11,IF($J$27="null","UNKNOWN",$J$28))</f>
        <v/>
      </c>
      <c r="K62">
        <f>IF($K$27="inherit",$I$11,IF($K$27="null","UNKNOWN",$K$28))</f>
        <v/>
      </c>
    </row>
    <row r="63">
      <c r="J63">
        <f>IF($J$29="inherit",$I$17,IF($J$29="null","UNKNOWN",$J$30))</f>
        <v/>
      </c>
      <c r="K63">
        <f>IF($K$29="inherit",$I$17,IF($K$29="null","UNKNOWN",$K$30))</f>
        <v/>
      </c>
    </row>
    <row r="64">
      <c r="J64">
        <f>IF($J$31="inherit",$I$12,IF($J$31="null","UNKNOWN",$J$32))</f>
        <v/>
      </c>
      <c r="K64">
        <f>IF($K$31="inherit",$I$12,IF($K$31="null","UNKNOWN",$K$32))</f>
        <v/>
      </c>
    </row>
    <row r="65">
      <c r="J65">
        <f>IF($J$33="inherit",$I$16,IF($J$33="null","UNKNOWN",$J$34))</f>
        <v/>
      </c>
      <c r="K65">
        <f>IF($K$33="inherit",$I$16,IF($K$33="null","UNKNOWN",$K$34))</f>
        <v/>
      </c>
    </row>
    <row r="66">
      <c r="J66">
        <f>IF($J$35="inherit",$I$15,IF($J$35="null","UNKNOWN",$J$36))</f>
        <v/>
      </c>
      <c r="K66">
        <f>IF($K$35="inherit",$I$15,IF($K$35="null","UNKNOWN",$K$36))</f>
        <v/>
      </c>
    </row>
    <row r="67">
      <c r="I67">
        <f>IFERROR(MATCH($I$18,$J$18:$K$18,0),0)</f>
        <v/>
      </c>
    </row>
    <row r="68">
      <c r="J68">
        <f>IF(I67=0,"ERROR",IF(OR($J$37="ERROR",INDEX($J$37:$K$37,1,I67)="ERROR"),"ERROR",IF(OR($J$37="UNKNOWN",INDEX($J$37:$K$37,1,I67)="UNKNOWN"),"UNKNOWN",IF(OR($J$37="NOT_APPLICABLE",INDEX($J$37:$K$37,1,I67)="NOT_APPLICABLE"),"NOT_APPLICABLE",$J$37-INDEX($J$37:$K$37,1,I67)))))</f>
        <v/>
      </c>
      <c r="K68">
        <f>IF(I67=0,"ERROR",IF(OR($K$37="ERROR",INDEX($J$37:$K$37,1,I67)="ERROR"),"ERROR",IF(OR($K$37="UNKNOWN",INDEX($J$37:$K$37,1,I67)="UNKNOWN"),"UNKNOWN",IF(OR($K$37="NOT_APPLICABLE",INDEX($J$37:$K$37,1,I67)="NOT_APPLICABLE"),"NOT_APPLICABLE",$K$37-INDEX($J$37:$K$37,1,I67)))))</f>
        <v/>
      </c>
    </row>
    <row r="69">
      <c r="J69">
        <f>IF(I67=0,"ERROR",IF(OR($J$38="ERROR",INDEX($J$38:$K$38,1,I67)="ERROR"),"ERROR",IF(OR($J$38="UNKNOWN",INDEX($J$38:$K$38,1,I67)="UNKNOWN"),"UNKNOWN",IF(OR($J$38="NOT_APPLICABLE",INDEX($J$38:$K$38,1,I67)="NOT_APPLICABLE"),"NOT_APPLICABLE",$J$38-INDEX($J$38:$K$38,1,I67)))))</f>
        <v/>
      </c>
      <c r="K69">
        <f>IF(I67=0,"ERROR",IF(OR($K$38="ERROR",INDEX($J$38:$K$38,1,I67)="ERROR"),"ERROR",IF(OR($K$38="UNKNOWN",INDEX($J$38:$K$38,1,I67)="UNKNOWN"),"UNKNOWN",IF(OR($K$38="NOT_APPLICABLE",INDEX($J$38:$K$38,1,I67)="NOT_APPLICABLE"),"NOT_APPLICABLE",$K$38-INDEX($J$38:$K$38,1,I67)))))</f>
        <v/>
      </c>
    </row>
    <row r="70">
      <c r="J70">
        <f>IF(I67=0,"ERROR",IF(OR($J$39="ERROR",INDEX($J$39:$K$39,1,I67)="ERROR"),"ERROR",IF(OR($J$39="UNKNOWN",INDEX($J$39:$K$39,1,I67)="UNKNOWN"),"UNKNOWN",IF(OR($J$39="NOT_APPLICABLE",INDEX($J$39:$K$39,1,I67)="NOT_APPLICABLE"),"NOT_APPLICABLE",$J$39-INDEX($J$39:$K$39,1,I67)))))</f>
        <v/>
      </c>
      <c r="K70">
        <f>IF(I67=0,"ERROR",IF(OR($K$39="ERROR",INDEX($J$39:$K$39,1,I67)="ERROR"),"ERROR",IF(OR($K$39="UNKNOWN",INDEX($J$39:$K$39,1,I67)="UNKNOWN"),"UNKNOWN",IF(OR($K$39="NOT_APPLICABLE",INDEX($J$39:$K$39,1,I67)="NOT_APPLICABLE"),"NOT_APPLICABLE",$K$39-INDEX($J$39:$K$39,1,I67)))))</f>
        <v/>
      </c>
    </row>
    <row r="71">
      <c r="J71">
        <f>IF(I67=0,"ERROR",IF(OR($J$55="ERROR",INDEX($J$55:$K$55,1,I67)="ERROR"),"ERROR",IF(OR($J$55="UNKNOWN",INDEX($J$55:$K$55,1,I67)="UNKNOWN"),"UNKNOWN",IF(OR($J$55="NOT_APPLICABLE",INDEX($J$55:$K$55,1,I67)="NOT_APPLICABLE"),"NOT_APPLICABLE",$J$55-INDEX($J$55:$K$55,1,I67)))))</f>
        <v/>
      </c>
      <c r="K71">
        <f>IF(I67=0,"ERROR",IF(OR($K$55="ERROR",INDEX($J$55:$K$55,1,I67)="ERROR"),"ERROR",IF(OR($K$55="UNKNOWN",INDEX($J$55:$K$55,1,I67)="UNKNOWN"),"UNKNOWN",IF(OR($K$55="NOT_APPLICABLE",INDEX($J$55:$K$55,1,I67)="NOT_APPLICABLE"),"NOT_APPLICABLE",$K$55-INDEX($J$55:$K$55,1,I67)))))</f>
        <v/>
      </c>
    </row>
    <row r="73">
      <c r="B73" s="8" t="inlineStr">
        <is>
          <t>Scenario A: scenario_status</t>
        </is>
      </c>
      <c r="C73" s="16">
        <f>J57</f>
        <v/>
      </c>
      <c r="D73" s="38" t="inlineStr">
        <is>
          <t>OK</t>
        </is>
      </c>
      <c r="F73" s="15">
        <f>IF(J57=D73,"PASS","FAIL")</f>
        <v/>
      </c>
    </row>
    <row r="74">
      <c r="B74" s="8" t="inlineStr">
        <is>
          <t>Scenario A: contribution_margin</t>
        </is>
      </c>
      <c r="C74" s="25">
        <f>J38</f>
        <v/>
      </c>
      <c r="D74" s="42" t="n">
        <v>500</v>
      </c>
      <c r="E74" s="26">
        <f>IF(ISNUMBER(D74),IF(ISNUMBER(J38),ABS(J38-D74),"N/A"),"N/A")</f>
        <v/>
      </c>
      <c r="F74" s="15">
        <f>IFERROR(IF(ISNUMBER(D74),IF(ISNUMBER(J38),IF(ABS(J38-D74)&lt;=0.01,"PASS","FAIL"),"FAIL"),IF(NOT(ISNUMBER(J38)),IF(J38=D74,"PASS","FAIL"),"FAIL")),"FAIL")</f>
        <v/>
      </c>
    </row>
    <row r="75">
      <c r="B75" s="8" t="inlineStr">
        <is>
          <t>Scenario A: break_even_quantity_exact</t>
        </is>
      </c>
      <c r="C75" s="25">
        <f>J55</f>
        <v/>
      </c>
      <c r="D75" s="42" t="n">
        <v>100</v>
      </c>
      <c r="E75" s="26">
        <f>IF(ISNUMBER(D75),IF(ISNUMBER(J55),ABS(J55-D75),"N/A"),"N/A")</f>
        <v/>
      </c>
      <c r="F75" s="15">
        <f>IFERROR(IF(ISNUMBER(D75),IF(ISNUMBER(J55),IF(ABS(J55-D75)&lt;=0.01,"PASS","FAIL"),"FAIL"),IF(NOT(ISNUMBER(J55)),IF(J55=D75,"PASS","FAIL"),"FAIL")),"FAIL")</f>
        <v/>
      </c>
    </row>
    <row r="76">
      <c r="B76" s="8" t="inlineStr">
        <is>
          <t>Scenario A: net_sales_ex_vat_delta</t>
        </is>
      </c>
      <c r="C76" s="43">
        <f>J68</f>
        <v/>
      </c>
      <c r="D76" s="44" t="n">
        <v>0</v>
      </c>
      <c r="F76" s="15">
        <f>IFERROR(IF(ISNUMBER(D76),IF(ISNUMBER(J68),IF(ABS(J68-D76)&lt;=0.01,"PASS","FAIL"),"FAIL"),IF(NOT(ISNUMBER(J68)),IF(J68=D76,"PASS","FAIL"),"FAIL")),"FAIL")</f>
        <v/>
      </c>
    </row>
    <row r="77">
      <c r="B77" s="8" t="inlineStr">
        <is>
          <t>Scenario A: contribution_margin_delta</t>
        </is>
      </c>
      <c r="C77" s="43">
        <f>J69</f>
        <v/>
      </c>
      <c r="D77" s="44" t="n">
        <v>0</v>
      </c>
      <c r="F77" s="15">
        <f>IFERROR(IF(ISNUMBER(D77),IF(ISNUMBER(J69),IF(ABS(J69-D77)&lt;=0.01,"PASS","FAIL"),"FAIL"),IF(NOT(ISNUMBER(J69)),IF(J69=D77,"PASS","FAIL"),"FAIL")),"FAIL")</f>
        <v/>
      </c>
    </row>
    <row r="78">
      <c r="B78" s="8" t="inlineStr">
        <is>
          <t>Scenario A: contribution_margin_rate_delta</t>
        </is>
      </c>
      <c r="C78" s="43">
        <f>J70</f>
        <v/>
      </c>
      <c r="D78" s="44" t="n">
        <v>0</v>
      </c>
      <c r="F78" s="15">
        <f>IFERROR(IF(ISNUMBER(D78),IF(ISNUMBER(J70),IF(ABS(J70-D78)&lt;=0.01,"PASS","FAIL"),"FAIL"),IF(NOT(ISNUMBER(J70)),IF(J70=D78,"PASS","FAIL"),"FAIL")),"FAIL")</f>
        <v/>
      </c>
    </row>
    <row r="79">
      <c r="B79" s="8" t="inlineStr">
        <is>
          <t>Scenario A: break_even_quantity_delta</t>
        </is>
      </c>
      <c r="C79" s="43">
        <f>J71</f>
        <v/>
      </c>
      <c r="D79" s="44" t="n">
        <v>0</v>
      </c>
      <c r="F79" s="15">
        <f>IFERROR(IF(ISNUMBER(D79),IF(ISNUMBER(J71),IF(ABS(J71-D79)&lt;=0.01,"PASS","FAIL"),"FAIL"),IF(NOT(ISNUMBER(J71)),IF(J71=D79,"PASS","FAIL"),"FAIL")),"FAIL")</f>
        <v/>
      </c>
    </row>
    <row r="80">
      <c r="B80" s="8" t="inlineStr">
        <is>
          <t>Scenario B: scenario_status</t>
        </is>
      </c>
      <c r="C80" s="16">
        <f>K57</f>
        <v/>
      </c>
      <c r="D80" s="38" t="inlineStr">
        <is>
          <t>OK</t>
        </is>
      </c>
      <c r="F80" s="15">
        <f>IF(K57=D80,"PASS","FAIL")</f>
        <v/>
      </c>
    </row>
    <row r="81">
      <c r="B81" s="8" t="inlineStr">
        <is>
          <t>Scenario B: contribution_margin</t>
        </is>
      </c>
      <c r="C81" s="25">
        <f>K38</f>
        <v/>
      </c>
      <c r="D81" s="42" t="n">
        <v>500</v>
      </c>
      <c r="E81" s="26">
        <f>IF(ISNUMBER(D81),IF(ISNUMBER(K38),ABS(K38-D81),"N/A"),"N/A")</f>
        <v/>
      </c>
      <c r="F81" s="15">
        <f>IFERROR(IF(ISNUMBER(D81),IF(ISNUMBER(K38),IF(ABS(K38-D81)&lt;=0.01,"PASS","FAIL"),"FAIL"),IF(NOT(ISNUMBER(K38)),IF(K38=D81,"PASS","FAIL"),"FAIL")),"FAIL")</f>
        <v/>
      </c>
    </row>
    <row r="82">
      <c r="B82" s="8" t="inlineStr">
        <is>
          <t>Scenario B: break_even_quantity_exact</t>
        </is>
      </c>
      <c r="C82" s="25">
        <f>K55</f>
        <v/>
      </c>
      <c r="D82" s="42" t="n">
        <v>100</v>
      </c>
      <c r="E82" s="26">
        <f>IF(ISNUMBER(D82),IF(ISNUMBER(K55),ABS(K55-D82),"N/A"),"N/A")</f>
        <v/>
      </c>
      <c r="F82" s="15">
        <f>IFERROR(IF(ISNUMBER(D82),IF(ISNUMBER(K55),IF(ABS(K55-D82)&lt;=0.01,"PASS","FAIL"),"FAIL"),IF(NOT(ISNUMBER(K55)),IF(K55=D82,"PASS","FAIL"),"FAIL")),"FAIL")</f>
        <v/>
      </c>
    </row>
    <row r="83">
      <c r="B83" s="8" t="inlineStr">
        <is>
          <t>Scenario B: net_sales_ex_vat_delta</t>
        </is>
      </c>
      <c r="C83" s="43">
        <f>K68</f>
        <v/>
      </c>
      <c r="D83" s="44" t="n">
        <v>0</v>
      </c>
      <c r="F83" s="15">
        <f>IFERROR(IF(ISNUMBER(D83),IF(ISNUMBER(K68),IF(ABS(K68-D83)&lt;=0.01,"PASS","FAIL"),"FAIL"),IF(NOT(ISNUMBER(K68)),IF(K68=D83,"PASS","FAIL"),"FAIL")),"FAIL")</f>
        <v/>
      </c>
    </row>
    <row r="84">
      <c r="B84" s="8" t="inlineStr">
        <is>
          <t>Scenario B: contribution_margin_delta</t>
        </is>
      </c>
      <c r="C84" s="43">
        <f>K69</f>
        <v/>
      </c>
      <c r="D84" s="44" t="n">
        <v>0</v>
      </c>
      <c r="F84" s="15">
        <f>IFERROR(IF(ISNUMBER(D84),IF(ISNUMBER(K69),IF(ABS(K69-D84)&lt;=0.01,"PASS","FAIL"),"FAIL"),IF(NOT(ISNUMBER(K69)),IF(K69=D84,"PASS","FAIL"),"FAIL")),"FAIL")</f>
        <v/>
      </c>
    </row>
    <row r="85">
      <c r="B85" s="8" t="inlineStr">
        <is>
          <t>Scenario B: contribution_margin_rate_delta</t>
        </is>
      </c>
      <c r="C85" s="43">
        <f>K70</f>
        <v/>
      </c>
      <c r="D85" s="44" t="n">
        <v>0</v>
      </c>
      <c r="F85" s="15">
        <f>IFERROR(IF(ISNUMBER(D85),IF(ISNUMBER(K70),IF(ABS(K70-D85)&lt;=0.01,"PASS","FAIL"),"FAIL"),IF(NOT(ISNUMBER(K70)),IF(K70=D85,"PASS","FAIL"),"FAIL")),"FAIL")</f>
        <v/>
      </c>
    </row>
    <row r="86">
      <c r="B86" s="8" t="inlineStr">
        <is>
          <t>Scenario B: break_even_quantity_delta</t>
        </is>
      </c>
      <c r="C86" s="43">
        <f>K71</f>
        <v/>
      </c>
      <c r="D86" s="44" t="n">
        <v>0</v>
      </c>
      <c r="F86" s="15">
        <f>IFERROR(IF(ISNUMBER(D86),IF(ISNUMBER(K71),IF(ABS(K71-D86)&lt;=0.01,"PASS","FAIL"),"FAIL"),IF(NOT(ISNUMBER(K71)),IF(K71=D86,"PASS","FAIL"),"FAIL")),"FAIL")</f>
        <v/>
      </c>
    </row>
    <row r="88" ht="20" customHeight="1">
      <c r="B88" s="2" t="inlineStr">
        <is>
          <t>TC2. Price increase</t>
        </is>
      </c>
      <c r="C88" s="7" t="n"/>
      <c r="D88" s="7" t="n"/>
      <c r="E88" s="7" t="n"/>
      <c r="F88" s="7" t="n"/>
    </row>
    <row r="89">
      <c r="B89" s="4" t="inlineStr">
        <is>
          <t>Check</t>
        </is>
      </c>
      <c r="C89" s="4" t="inlineStr">
        <is>
          <t>Excel Result</t>
        </is>
      </c>
      <c r="D89" s="4" t="inlineStr">
        <is>
          <t>Python Reference</t>
        </is>
      </c>
      <c r="E89" s="4" t="inlineStr">
        <is>
          <t>Difference</t>
        </is>
      </c>
      <c r="F89" s="4" t="inlineStr">
        <is>
          <t>PASS / FAIL</t>
        </is>
      </c>
    </row>
    <row r="90">
      <c r="I90" t="n">
        <v>1000</v>
      </c>
    </row>
    <row r="91">
      <c r="I91" t="b">
        <v>0</v>
      </c>
    </row>
    <row r="92">
      <c r="I92" t="n">
        <v>0.1</v>
      </c>
    </row>
    <row r="93">
      <c r="I93" t="n">
        <v>1000</v>
      </c>
    </row>
    <row r="94">
      <c r="I94" t="n">
        <v>0</v>
      </c>
    </row>
    <row r="95">
      <c r="I95" t="n">
        <v>400</v>
      </c>
    </row>
    <row r="96">
      <c r="I96" t="n">
        <v>100</v>
      </c>
    </row>
    <row r="97">
      <c r="I97" t="n">
        <v>0</v>
      </c>
    </row>
    <row r="98">
      <c r="I98" t="n">
        <v>0</v>
      </c>
    </row>
    <row r="99">
      <c r="I99" t="n">
        <v>50000</v>
      </c>
    </row>
    <row r="100">
      <c r="I100" t="n">
        <v>0.3</v>
      </c>
    </row>
    <row r="101">
      <c r="I101" t="inlineStr">
        <is>
          <t>A</t>
        </is>
      </c>
      <c r="J101" t="inlineStr">
        <is>
          <t>A</t>
        </is>
      </c>
      <c r="K101" t="inlineStr">
        <is>
          <t>B</t>
        </is>
      </c>
    </row>
    <row r="102">
      <c r="J102" t="inlineStr">
        <is>
          <t>inherit</t>
        </is>
      </c>
      <c r="K102" t="inlineStr">
        <is>
          <t>value</t>
        </is>
      </c>
    </row>
    <row r="103">
      <c r="K103" t="n">
        <v>1200</v>
      </c>
    </row>
    <row r="104">
      <c r="J104" t="inlineStr">
        <is>
          <t>inherit</t>
        </is>
      </c>
      <c r="K104" t="inlineStr">
        <is>
          <t>inherit</t>
        </is>
      </c>
    </row>
    <row r="105"/>
    <row r="106">
      <c r="J106" t="inlineStr">
        <is>
          <t>inherit</t>
        </is>
      </c>
      <c r="K106" t="inlineStr">
        <is>
          <t>inherit</t>
        </is>
      </c>
    </row>
    <row r="107"/>
    <row r="108">
      <c r="J108" t="inlineStr">
        <is>
          <t>inherit</t>
        </is>
      </c>
      <c r="K108" t="inlineStr">
        <is>
          <t>inherit</t>
        </is>
      </c>
    </row>
    <row r="109"/>
    <row r="110">
      <c r="J110" t="inlineStr">
        <is>
          <t>inherit</t>
        </is>
      </c>
      <c r="K110" t="inlineStr">
        <is>
          <t>inherit</t>
        </is>
      </c>
    </row>
    <row r="111"/>
    <row r="112">
      <c r="J112" t="inlineStr">
        <is>
          <t>inherit</t>
        </is>
      </c>
      <c r="K112" t="inlineStr">
        <is>
          <t>inherit</t>
        </is>
      </c>
    </row>
    <row r="113"/>
    <row r="114">
      <c r="J114" t="inlineStr">
        <is>
          <t>inherit</t>
        </is>
      </c>
      <c r="K114" t="inlineStr">
        <is>
          <t>inherit</t>
        </is>
      </c>
    </row>
    <row r="115"/>
    <row r="116">
      <c r="J116" t="inlineStr">
        <is>
          <t>inherit</t>
        </is>
      </c>
      <c r="K116" t="inlineStr">
        <is>
          <t>inherit</t>
        </is>
      </c>
    </row>
    <row r="117"/>
    <row r="118">
      <c r="J118" t="inlineStr">
        <is>
          <t>inherit</t>
        </is>
      </c>
      <c r="K118" t="inlineStr">
        <is>
          <t>inherit</t>
        </is>
      </c>
    </row>
    <row r="119"/>
    <row r="120">
      <c r="J120">
        <f>IFERROR(IF(NOT(ISNUMBER(J141)),"UNKNOWN",IF(J142="UNKNOWN","UNKNOWN",IF(J142=FALSE,J141,IF(NOT(ISNUMBER(J143)),"UNKNOWN",J141/(1+J143))))),"ERROR")</f>
        <v/>
      </c>
      <c r="K120">
        <f>IFERROR(IF(NOT(ISNUMBER(K141)),"UNKNOWN",IF(K142="UNKNOWN","UNKNOWN",IF(K142=FALSE,K141,IF(NOT(ISNUMBER(K143)),"UNKNOWN",K141/(1+K143))))),"ERROR")</f>
        <v/>
      </c>
    </row>
    <row r="121">
      <c r="J121">
        <f>IFERROR(IF(J120="ERROR","ERROR",IF(OR(NOT(ISNUMBER(J120)),NOT(ISNUMBER(J147))),"UNKNOWN",IF(J149&gt;0,IF(J131="ERROR","ERROR",IF(NOT(ISNUMBER(J131)),"UNKNOWN",J120-J147-$I$96-$I$97*J120-J149*J131)),J120-J147-$I$96-$I$97*J120))),"ERROR")</f>
        <v/>
      </c>
      <c r="K121">
        <f>IFERROR(IF(K120="ERROR","ERROR",IF(OR(NOT(ISNUMBER(K120)),NOT(ISNUMBER(K147))),"UNKNOWN",IF(K149&gt;0,IF(K131="ERROR","ERROR",IF(NOT(ISNUMBER(K131)),"UNKNOWN",K120-K147-$I$96-$I$97*K120-K149*K131)),K120-K147-$I$96-$I$97*K120))),"ERROR")</f>
        <v/>
      </c>
    </row>
    <row r="122">
      <c r="J122">
        <f>IFERROR(IF(J121="ERROR","ERROR",IF(NOT(ISNUMBER(J121)),"UNKNOWN",IF(J120=0,"ERROR",J121/J120))),"ERROR")</f>
        <v/>
      </c>
      <c r="K122">
        <f>IFERROR(IF(K121="ERROR","ERROR",IF(NOT(ISNUMBER(K121)),"UNKNOWN",IF(K120=0,"ERROR",K121/K120))),"ERROR")</f>
        <v/>
      </c>
    </row>
    <row r="123">
      <c r="J123">
        <f>IF(OR(J120="ERROR",J121="ERROR",J122="ERROR"),"ERROR",IF(OR(NOT(ISNUMBER(J120)),NOT(ISNUMBER(J121)),NOT(ISNUMBER(J122))),"UNKNOWN","OK"))</f>
        <v/>
      </c>
      <c r="K123">
        <f>IF(OR(K120="ERROR",K121="ERROR",K122="ERROR"),"ERROR",IF(OR(NOT(ISNUMBER(K120)),NOT(ISNUMBER(K121)),NOT(ISNUMBER(K122))),"UNKNOWN","OK"))</f>
        <v/>
      </c>
    </row>
    <row r="124">
      <c r="J124">
        <f>IFERROR(IF(NOT(ISNUMBER(J147)),J147,J147+$I$96),"ERROR")</f>
        <v/>
      </c>
      <c r="K124">
        <f>IFERROR(IF(NOT(ISNUMBER(K147)),K147,K147+$I$96),"ERROR")</f>
        <v/>
      </c>
    </row>
    <row r="125">
      <c r="J125">
        <f>IFERROR(IF(NOT(ISNUMBER(J146)),"UNKNOWN",IF(OR(J146&lt;0,J146&gt;=1),"ERROR",IF(J149=0,IF(1-J146-$I$97&lt;=0,"ERROR",1-J146-$I$97),IF(NOT(ISNUMBER(J143)),"UNKNOWN",IF(1-J146-$I$97-J149*(1+J143)&lt;=0,"ERROR",1-J146-$I$97-J149*(1+J143)))))),"ERROR")</f>
        <v/>
      </c>
      <c r="K125">
        <f>IFERROR(IF(NOT(ISNUMBER(K146)),"UNKNOWN",IF(OR(K146&lt;0,K146&gt;=1),"ERROR",IF(K149=0,IF(1-K146-$I$97&lt;=0,"ERROR",1-K146-$I$97),IF(NOT(ISNUMBER(K143)),"UNKNOWN",IF(1-K146-$I$97-K149*(1+K143)&lt;=0,"ERROR",1-K146-$I$97-K149*(1+K143)))))),"ERROR")</f>
        <v/>
      </c>
    </row>
    <row r="126">
      <c r="J126">
        <f>IFERROR(IF(NOT(ISNUMBER(J124)),J124,IF(NOT(ISNUMBER(J125)),J125,J124/J125)),"ERROR")</f>
        <v/>
      </c>
      <c r="K126">
        <f>IFERROR(IF(NOT(ISNUMBER(K124)),K124,IF(NOT(ISNUMBER(K125)),K125,K124/K125)),"ERROR")</f>
        <v/>
      </c>
    </row>
    <row r="127">
      <c r="J127">
        <f>IFERROR(IF(NOT(ISNUMBER(J126)),J126,IF(NOT(ISNUMBER(J143)),"UNKNOWN",J126*(1+J143))),"ERROR")</f>
        <v/>
      </c>
      <c r="K127">
        <f>IFERROR(IF(NOT(ISNUMBER(K126)),K126,IF(NOT(ISNUMBER(K143)),"UNKNOWN",K126*(1+K143))),"ERROR")</f>
        <v/>
      </c>
    </row>
    <row r="128">
      <c r="J128">
        <f>IFERROR(IF(J142="UNKNOWN","UNKNOWN",IF(J142=FALSE,J126,J127)),"ERROR")</f>
        <v/>
      </c>
      <c r="K128">
        <f>IFERROR(IF(K142="UNKNOWN","UNKNOWN",IF(K142=FALSE,K126,K127)),"ERROR")</f>
        <v/>
      </c>
    </row>
    <row r="129">
      <c r="J129">
        <f>IFERROR(IF(NOT(ISNUMBER(J128)),J128,IF(NOT(ISNUMBER(J145)),"UNKNOWN",IF(OR(J145&lt;0,J145&gt;=1),"ERROR",IF(J145=0,J128,J128/(1-J145))))),"ERROR")</f>
        <v/>
      </c>
      <c r="K129">
        <f>IFERROR(IF(NOT(ISNUMBER(K128)),K128,IF(NOT(ISNUMBER(K145)),"UNKNOWN",IF(OR(K145&lt;0,K145&gt;=1),"ERROR",IF(K145=0,K128,K128/(1-K145))))),"ERROR")</f>
        <v/>
      </c>
    </row>
    <row r="130">
      <c r="J130">
        <f>IF(OR(J128="ERROR",J129="ERROR"),"ERROR",IF(OR(NOT(ISNUMBER(J128)),NOT(ISNUMBER(J129))),"UNKNOWN","OK"))</f>
        <v/>
      </c>
      <c r="K130">
        <f>IF(OR(K128="ERROR",K129="ERROR"),"ERROR",IF(OR(NOT(ISNUMBER(K128)),NOT(ISNUMBER(K129))),"UNKNOWN","OK"))</f>
        <v/>
      </c>
    </row>
    <row r="131">
      <c r="J131">
        <f>IFERROR(IF(NOT(ISNUMBER(J141)),"UNKNOWN",IF(J142="UNKNOWN","UNKNOWN",IF(J142=TRUE,J141,IF(NOT(ISNUMBER(J143)),"UNKNOWN",J141*(1+J143))))),"ERROR")</f>
        <v/>
      </c>
      <c r="K131">
        <f>IFERROR(IF(NOT(ISNUMBER(K141)),"UNKNOWN",IF(K142="UNKNOWN","UNKNOWN",IF(K142=TRUE,K141,IF(NOT(ISNUMBER(K143)),"UNKNOWN",K141*(1+K143))))),"ERROR")</f>
        <v/>
      </c>
    </row>
    <row r="132">
      <c r="J132">
        <f>IFERROR(IF(NOT(ISNUMBER(J144)),"UNKNOWN",IF(J142="UNKNOWN","UNKNOWN",IF(J142=FALSE,J144,IF(NOT(ISNUMBER(J143)),"UNKNOWN",J144/(1+J143))))),"ERROR")</f>
        <v/>
      </c>
      <c r="K132">
        <f>IFERROR(IF(NOT(ISNUMBER(K144)),"UNKNOWN",IF(K142="UNKNOWN","UNKNOWN",IF(K142=FALSE,K144,IF(NOT(ISNUMBER(K143)),"UNKNOWN",K144/(1+K143))))),"ERROR")</f>
        <v/>
      </c>
    </row>
    <row r="133">
      <c r="J133">
        <f>IFERROR(IF(NOT(ISNUMBER(J144)),"UNKNOWN",IF(J142="UNKNOWN","UNKNOWN",IF(J142=TRUE,J144,IF(NOT(ISNUMBER(J143)),"UNKNOWN",J144*(1+J143))))),"ERROR")</f>
        <v/>
      </c>
      <c r="K133">
        <f>IFERROR(IF(NOT(ISNUMBER(K144)),"UNKNOWN",IF(K142="UNKNOWN","UNKNOWN",IF(K142=TRUE,K144,IF(NOT(ISNUMBER(K143)),"UNKNOWN",K144*(1+K143))))),"ERROR")</f>
        <v/>
      </c>
    </row>
    <row r="134">
      <c r="J134">
        <f>IFERROR(IF(J132="ERROR","ERROR",IF(NOT(ISNUMBER(J146)),"UNKNOWN",IF(OR(J146&lt;0,J146&gt;=1),"ERROR",IF(NOT(ISNUMBER(J132)),"UNKNOWN",IF(J149&gt;0,IF(J133="ERROR","ERROR",IF(NOT(ISNUMBER(J133)),"UNKNOWN",J132*(1-J146-$I$97)-J149*J133-$I$96)),J132*(1-J146-$I$97)-$I$96))))),"ERROR")</f>
        <v/>
      </c>
      <c r="K134">
        <f>IFERROR(IF(K132="ERROR","ERROR",IF(NOT(ISNUMBER(K146)),"UNKNOWN",IF(OR(K146&lt;0,K146&gt;=1),"ERROR",IF(NOT(ISNUMBER(K132)),"UNKNOWN",IF(K149&gt;0,IF(K133="ERROR","ERROR",IF(NOT(ISNUMBER(K133)),"UNKNOWN",K132*(1-K146-$I$97)-K149*K133-$I$96)),K132*(1-K146-$I$97)-$I$96))))),"ERROR")</f>
        <v/>
      </c>
    </row>
    <row r="135">
      <c r="J135">
        <f>IFERROR(IF(OR(J134="ERROR",J147="ERROR"),"ERROR",IF(OR(NOT(ISNUMBER(J134)),NOT(ISNUMBER(J147))),"UNKNOWN",J134-J147)),"ERROR")</f>
        <v/>
      </c>
      <c r="K135">
        <f>IFERROR(IF(OR(K134="ERROR",K147="ERROR"),"ERROR",IF(OR(NOT(ISNUMBER(K134)),NOT(ISNUMBER(K147))),"UNKNOWN",K134-K147)),"ERROR")</f>
        <v/>
      </c>
    </row>
    <row r="136">
      <c r="J136">
        <f>IF(OR(J134="ERROR",J147="ERROR",J135="ERROR"),"ERROR",IF(OR(NOT(ISNUMBER(J134)),NOT(ISNUMBER(J147)),NOT(ISNUMBER(J135))),"UNKNOWN","OK"))</f>
        <v/>
      </c>
      <c r="K136">
        <f>IF(OR(K134="ERROR",K147="ERROR",K135="ERROR"),"ERROR",IF(OR(NOT(ISNUMBER(K134)),NOT(ISNUMBER(K147)),NOT(ISNUMBER(K135))),"UNKNOWN","OK"))</f>
        <v/>
      </c>
    </row>
    <row r="137">
      <c r="J137">
        <f>IFERROR(IF(NOT(ISNUMBER(J148)),J148,IF(J148&lt;0,"ERROR",J148)),"ERROR")</f>
        <v/>
      </c>
      <c r="K137">
        <f>IFERROR(IF(NOT(ISNUMBER(K148)),K148,IF(K148&lt;0,"ERROR",K148)),"ERROR")</f>
        <v/>
      </c>
    </row>
    <row r="138">
      <c r="J138">
        <f>IFERROR(IF(OR(J121="ERROR",J137="ERROR"),"ERROR",IF(OR(NOT(ISNUMBER(J121)),NOT(ISNUMBER(J137))),"UNKNOWN",IF(J121&lt;=0,"NOT_APPLICABLE",J137/J121))),"ERROR")</f>
        <v/>
      </c>
      <c r="K138">
        <f>IFERROR(IF(OR(K121="ERROR",K137="ERROR"),"ERROR",IF(OR(NOT(ISNUMBER(K121)),NOT(ISNUMBER(K137))),"UNKNOWN",IF(K121&lt;=0,"NOT_APPLICABLE",K137/K121))),"ERROR")</f>
        <v/>
      </c>
    </row>
    <row r="139">
      <c r="J139">
        <f>IF(OR(J121="ERROR",J137="ERROR",J138="ERROR"),"ERROR",IF(OR(NOT(ISNUMBER(J121)),NOT(ISNUMBER(J137)),AND(NOT(ISNUMBER(J138)),J138&lt;&gt;"NOT_APPLICABLE")),"UNKNOWN","OK"))</f>
        <v/>
      </c>
      <c r="K139">
        <f>IF(OR(K121="ERROR",K137="ERROR",K138="ERROR"),"ERROR",IF(OR(NOT(ISNUMBER(K121)),NOT(ISNUMBER(K137)),AND(NOT(ISNUMBER(K138)),K138&lt;&gt;"NOT_APPLICABLE")),"UNKNOWN","OK"))</f>
        <v/>
      </c>
    </row>
    <row r="140">
      <c r="J140">
        <f>IF(OR(J123="ERROR",J130="ERROR",J136="ERROR",J139="ERROR"),"ERROR",IF(OR(J123="UNKNOWN",J130="UNKNOWN",J136="UNKNOWN",J139="UNKNOWN"),"INCOMPLETE","OK"))</f>
        <v/>
      </c>
      <c r="K140">
        <f>IF(OR(K123="ERROR",K130="ERROR",K136="ERROR",K139="ERROR"),"ERROR",IF(OR(K123="UNKNOWN",K130="UNKNOWN",K136="UNKNOWN",K139="UNKNOWN"),"INCOMPLETE","OK"))</f>
        <v/>
      </c>
    </row>
    <row r="141">
      <c r="J141">
        <f>IF($J$102="inherit",$I$90,IF($J$102="null","UNKNOWN",$J$103))</f>
        <v/>
      </c>
      <c r="K141">
        <f>IF($K$102="inherit",$I$90,IF($K$102="null","UNKNOWN",$K$103))</f>
        <v/>
      </c>
    </row>
    <row r="142">
      <c r="J142">
        <f>IF($J$104="inherit",$I$91,IF($J$104="null","UNKNOWN",$J$105))</f>
        <v/>
      </c>
      <c r="K142">
        <f>IF($K$104="inherit",$I$91,IF($K$104="null","UNKNOWN",$K$105))</f>
        <v/>
      </c>
    </row>
    <row r="143">
      <c r="J143">
        <f>IF($J$106="inherit",$I$92,IF($J$106="null","UNKNOWN",$J$107))</f>
        <v/>
      </c>
      <c r="K143">
        <f>IF($K$106="inherit",$I$92,IF($K$106="null","UNKNOWN",$K$107))</f>
        <v/>
      </c>
    </row>
    <row r="144">
      <c r="J144">
        <f>IF($J$108="inherit",$I$93,IF($J$108="null","UNKNOWN",$J$109))</f>
        <v/>
      </c>
      <c r="K144">
        <f>IF($K$108="inherit",$I$93,IF($K$108="null","UNKNOWN",$K$109))</f>
        <v/>
      </c>
    </row>
    <row r="145">
      <c r="J145">
        <f>IF($J$110="inherit",$I$94,IF($J$110="null","UNKNOWN",$J$111))</f>
        <v/>
      </c>
      <c r="K145">
        <f>IF($K$110="inherit",$I$94,IF($K$110="null","UNKNOWN",$K$111))</f>
        <v/>
      </c>
    </row>
    <row r="146">
      <c r="J146">
        <f>IF($J$112="inherit",$I$100,IF($J$112="null","UNKNOWN",$J$113))</f>
        <v/>
      </c>
      <c r="K146">
        <f>IF($K$112="inherit",$I$100,IF($K$112="null","UNKNOWN",$K$113))</f>
        <v/>
      </c>
    </row>
    <row r="147">
      <c r="J147">
        <f>IF($J$114="inherit",$I$95,IF($J$114="null","UNKNOWN",$J$115))</f>
        <v/>
      </c>
      <c r="K147">
        <f>IF($K$114="inherit",$I$95,IF($K$114="null","UNKNOWN",$K$115))</f>
        <v/>
      </c>
    </row>
    <row r="148">
      <c r="J148">
        <f>IF($J$116="inherit",$I$99,IF($J$116="null","UNKNOWN",$J$117))</f>
        <v/>
      </c>
      <c r="K148">
        <f>IF($K$116="inherit",$I$99,IF($K$116="null","UNKNOWN",$K$117))</f>
        <v/>
      </c>
    </row>
    <row r="149">
      <c r="J149">
        <f>IF($J$118="inherit",$I$98,IF($J$118="null","UNKNOWN",$J$119))</f>
        <v/>
      </c>
      <c r="K149">
        <f>IF($K$118="inherit",$I$98,IF($K$118="null","UNKNOWN",$K$119))</f>
        <v/>
      </c>
    </row>
    <row r="150">
      <c r="I150">
        <f>IFERROR(MATCH($I$101,$J$101:$K$101,0),0)</f>
        <v/>
      </c>
    </row>
    <row r="151">
      <c r="J151">
        <f>IF(I150=0,"ERROR",IF(OR($J$120="ERROR",INDEX($J$120:$K$120,1,I150)="ERROR"),"ERROR",IF(OR($J$120="UNKNOWN",INDEX($J$120:$K$120,1,I150)="UNKNOWN"),"UNKNOWN",IF(OR($J$120="NOT_APPLICABLE",INDEX($J$120:$K$120,1,I150)="NOT_APPLICABLE"),"NOT_APPLICABLE",$J$120-INDEX($J$120:$K$120,1,I150)))))</f>
        <v/>
      </c>
      <c r="K151">
        <f>IF(I150=0,"ERROR",IF(OR($K$120="ERROR",INDEX($J$120:$K$120,1,I150)="ERROR"),"ERROR",IF(OR($K$120="UNKNOWN",INDEX($J$120:$K$120,1,I150)="UNKNOWN"),"UNKNOWN",IF(OR($K$120="NOT_APPLICABLE",INDEX($J$120:$K$120,1,I150)="NOT_APPLICABLE"),"NOT_APPLICABLE",$K$120-INDEX($J$120:$K$120,1,I150)))))</f>
        <v/>
      </c>
    </row>
    <row r="152">
      <c r="J152">
        <f>IF(I150=0,"ERROR",IF(OR($J$121="ERROR",INDEX($J$121:$K$121,1,I150)="ERROR"),"ERROR",IF(OR($J$121="UNKNOWN",INDEX($J$121:$K$121,1,I150)="UNKNOWN"),"UNKNOWN",IF(OR($J$121="NOT_APPLICABLE",INDEX($J$121:$K$121,1,I150)="NOT_APPLICABLE"),"NOT_APPLICABLE",$J$121-INDEX($J$121:$K$121,1,I150)))))</f>
        <v/>
      </c>
      <c r="K152">
        <f>IF(I150=0,"ERROR",IF(OR($K$121="ERROR",INDEX($J$121:$K$121,1,I150)="ERROR"),"ERROR",IF(OR($K$121="UNKNOWN",INDEX($J$121:$K$121,1,I150)="UNKNOWN"),"UNKNOWN",IF(OR($K$121="NOT_APPLICABLE",INDEX($J$121:$K$121,1,I150)="NOT_APPLICABLE"),"NOT_APPLICABLE",$K$121-INDEX($J$121:$K$121,1,I150)))))</f>
        <v/>
      </c>
    </row>
    <row r="153">
      <c r="J153">
        <f>IF(I150=0,"ERROR",IF(OR($J$122="ERROR",INDEX($J$122:$K$122,1,I150)="ERROR"),"ERROR",IF(OR($J$122="UNKNOWN",INDEX($J$122:$K$122,1,I150)="UNKNOWN"),"UNKNOWN",IF(OR($J$122="NOT_APPLICABLE",INDEX($J$122:$K$122,1,I150)="NOT_APPLICABLE"),"NOT_APPLICABLE",$J$122-INDEX($J$122:$K$122,1,I150)))))</f>
        <v/>
      </c>
      <c r="K153">
        <f>IF(I150=0,"ERROR",IF(OR($K$122="ERROR",INDEX($J$122:$K$122,1,I150)="ERROR"),"ERROR",IF(OR($K$122="UNKNOWN",INDEX($J$122:$K$122,1,I150)="UNKNOWN"),"UNKNOWN",IF(OR($K$122="NOT_APPLICABLE",INDEX($J$122:$K$122,1,I150)="NOT_APPLICABLE"),"NOT_APPLICABLE",$K$122-INDEX($J$122:$K$122,1,I150)))))</f>
        <v/>
      </c>
    </row>
    <row r="154">
      <c r="J154">
        <f>IF(I150=0,"ERROR",IF(OR($J$138="ERROR",INDEX($J$138:$K$138,1,I150)="ERROR"),"ERROR",IF(OR($J$138="UNKNOWN",INDEX($J$138:$K$138,1,I150)="UNKNOWN"),"UNKNOWN",IF(OR($J$138="NOT_APPLICABLE",INDEX($J$138:$K$138,1,I150)="NOT_APPLICABLE"),"NOT_APPLICABLE",$J$138-INDEX($J$138:$K$138,1,I150)))))</f>
        <v/>
      </c>
      <c r="K154">
        <f>IF(I150=0,"ERROR",IF(OR($K$138="ERROR",INDEX($J$138:$K$138,1,I150)="ERROR"),"ERROR",IF(OR($K$138="UNKNOWN",INDEX($J$138:$K$138,1,I150)="UNKNOWN"),"UNKNOWN",IF(OR($K$138="NOT_APPLICABLE",INDEX($J$138:$K$138,1,I150)="NOT_APPLICABLE"),"NOT_APPLICABLE",$K$138-INDEX($J$138:$K$138,1,I150)))))</f>
        <v/>
      </c>
    </row>
    <row r="156">
      <c r="B156" s="8" t="inlineStr">
        <is>
          <t>Scenario A: scenario_status</t>
        </is>
      </c>
      <c r="C156" s="16">
        <f>J140</f>
        <v/>
      </c>
      <c r="D156" s="38" t="inlineStr">
        <is>
          <t>OK</t>
        </is>
      </c>
      <c r="F156" s="15">
        <f>IF(J140=D156,"PASS","FAIL")</f>
        <v/>
      </c>
    </row>
    <row r="157">
      <c r="B157" s="8" t="inlineStr">
        <is>
          <t>Scenario A: contribution_margin</t>
        </is>
      </c>
      <c r="C157" s="25">
        <f>J121</f>
        <v/>
      </c>
      <c r="D157" s="42" t="n">
        <v>500</v>
      </c>
      <c r="E157" s="26">
        <f>IF(ISNUMBER(D157),IF(ISNUMBER(J121),ABS(J121-D157),"N/A"),"N/A")</f>
        <v/>
      </c>
      <c r="F157" s="15">
        <f>IFERROR(IF(ISNUMBER(D157),IF(ISNUMBER(J121),IF(ABS(J121-D157)&lt;=0.01,"PASS","FAIL"),"FAIL"),IF(NOT(ISNUMBER(J121)),IF(J121=D157,"PASS","FAIL"),"FAIL")),"FAIL")</f>
        <v/>
      </c>
    </row>
    <row r="158">
      <c r="B158" s="8" t="inlineStr">
        <is>
          <t>Scenario A: break_even_quantity_exact</t>
        </is>
      </c>
      <c r="C158" s="25">
        <f>J138</f>
        <v/>
      </c>
      <c r="D158" s="42" t="n">
        <v>100</v>
      </c>
      <c r="E158" s="26">
        <f>IF(ISNUMBER(D158),IF(ISNUMBER(J138),ABS(J138-D158),"N/A"),"N/A")</f>
        <v/>
      </c>
      <c r="F158" s="15">
        <f>IFERROR(IF(ISNUMBER(D158),IF(ISNUMBER(J138),IF(ABS(J138-D158)&lt;=0.01,"PASS","FAIL"),"FAIL"),IF(NOT(ISNUMBER(J138)),IF(J138=D158,"PASS","FAIL"),"FAIL")),"FAIL")</f>
        <v/>
      </c>
    </row>
    <row r="159">
      <c r="B159" s="8" t="inlineStr">
        <is>
          <t>Scenario A: net_sales_ex_vat_delta</t>
        </is>
      </c>
      <c r="C159" s="43">
        <f>J151</f>
        <v/>
      </c>
      <c r="D159" s="44" t="n">
        <v>0</v>
      </c>
      <c r="F159" s="15">
        <f>IFERROR(IF(ISNUMBER(D159),IF(ISNUMBER(J151),IF(ABS(J151-D159)&lt;=0.01,"PASS","FAIL"),"FAIL"),IF(NOT(ISNUMBER(J151)),IF(J151=D159,"PASS","FAIL"),"FAIL")),"FAIL")</f>
        <v/>
      </c>
    </row>
    <row r="160">
      <c r="B160" s="8" t="inlineStr">
        <is>
          <t>Scenario A: contribution_margin_delta</t>
        </is>
      </c>
      <c r="C160" s="43">
        <f>J152</f>
        <v/>
      </c>
      <c r="D160" s="44" t="n">
        <v>0</v>
      </c>
      <c r="F160" s="15">
        <f>IFERROR(IF(ISNUMBER(D160),IF(ISNUMBER(J152),IF(ABS(J152-D160)&lt;=0.01,"PASS","FAIL"),"FAIL"),IF(NOT(ISNUMBER(J152)),IF(J152=D160,"PASS","FAIL"),"FAIL")),"FAIL")</f>
        <v/>
      </c>
    </row>
    <row r="161">
      <c r="B161" s="8" t="inlineStr">
        <is>
          <t>Scenario A: contribution_margin_rate_delta</t>
        </is>
      </c>
      <c r="C161" s="43">
        <f>J153</f>
        <v/>
      </c>
      <c r="D161" s="44" t="n">
        <v>0</v>
      </c>
      <c r="F161" s="15">
        <f>IFERROR(IF(ISNUMBER(D161),IF(ISNUMBER(J153),IF(ABS(J153-D161)&lt;=0.01,"PASS","FAIL"),"FAIL"),IF(NOT(ISNUMBER(J153)),IF(J153=D161,"PASS","FAIL"),"FAIL")),"FAIL")</f>
        <v/>
      </c>
    </row>
    <row r="162">
      <c r="B162" s="8" t="inlineStr">
        <is>
          <t>Scenario A: break_even_quantity_delta</t>
        </is>
      </c>
      <c r="C162" s="43">
        <f>J154</f>
        <v/>
      </c>
      <c r="D162" s="44" t="n">
        <v>0</v>
      </c>
      <c r="F162" s="15">
        <f>IFERROR(IF(ISNUMBER(D162),IF(ISNUMBER(J154),IF(ABS(J154-D162)&lt;=0.01,"PASS","FAIL"),"FAIL"),IF(NOT(ISNUMBER(J154)),IF(J154=D162,"PASS","FAIL"),"FAIL")),"FAIL")</f>
        <v/>
      </c>
    </row>
    <row r="163">
      <c r="B163" s="8" t="inlineStr">
        <is>
          <t>Scenario B: scenario_status</t>
        </is>
      </c>
      <c r="C163" s="16">
        <f>K140</f>
        <v/>
      </c>
      <c r="D163" s="38" t="inlineStr">
        <is>
          <t>OK</t>
        </is>
      </c>
      <c r="F163" s="15">
        <f>IF(K140=D163,"PASS","FAIL")</f>
        <v/>
      </c>
    </row>
    <row r="164">
      <c r="B164" s="8" t="inlineStr">
        <is>
          <t>Scenario B: contribution_margin</t>
        </is>
      </c>
      <c r="C164" s="25">
        <f>K121</f>
        <v/>
      </c>
      <c r="D164" s="42" t="n">
        <v>700</v>
      </c>
      <c r="E164" s="26">
        <f>IF(ISNUMBER(D164),IF(ISNUMBER(K121),ABS(K121-D164),"N/A"),"N/A")</f>
        <v/>
      </c>
      <c r="F164" s="15">
        <f>IFERROR(IF(ISNUMBER(D164),IF(ISNUMBER(K121),IF(ABS(K121-D164)&lt;=0.01,"PASS","FAIL"),"FAIL"),IF(NOT(ISNUMBER(K121)),IF(K121=D164,"PASS","FAIL"),"FAIL")),"FAIL")</f>
        <v/>
      </c>
    </row>
    <row r="165">
      <c r="B165" s="8" t="inlineStr">
        <is>
          <t>Scenario B: break_even_quantity_exact</t>
        </is>
      </c>
      <c r="C165" s="25">
        <f>K138</f>
        <v/>
      </c>
      <c r="D165" s="42" t="n">
        <v>71.42857142857143</v>
      </c>
      <c r="E165" s="26">
        <f>IF(ISNUMBER(D165),IF(ISNUMBER(K138),ABS(K138-D165),"N/A"),"N/A")</f>
        <v/>
      </c>
      <c r="F165" s="15">
        <f>IFERROR(IF(ISNUMBER(D165),IF(ISNUMBER(K138),IF(ABS(K138-D165)&lt;=0.01,"PASS","FAIL"),"FAIL"),IF(NOT(ISNUMBER(K138)),IF(K138=D165,"PASS","FAIL"),"FAIL")),"FAIL")</f>
        <v/>
      </c>
    </row>
    <row r="166">
      <c r="B166" s="8" t="inlineStr">
        <is>
          <t>Scenario B: net_sales_ex_vat_delta</t>
        </is>
      </c>
      <c r="C166" s="43">
        <f>K151</f>
        <v/>
      </c>
      <c r="D166" s="44" t="n">
        <v>200</v>
      </c>
      <c r="F166" s="15">
        <f>IFERROR(IF(ISNUMBER(D166),IF(ISNUMBER(K151),IF(ABS(K151-D166)&lt;=0.01,"PASS","FAIL"),"FAIL"),IF(NOT(ISNUMBER(K151)),IF(K151=D166,"PASS","FAIL"),"FAIL")),"FAIL")</f>
        <v/>
      </c>
    </row>
    <row r="167">
      <c r="B167" s="8" t="inlineStr">
        <is>
          <t>Scenario B: contribution_margin_delta</t>
        </is>
      </c>
      <c r="C167" s="43">
        <f>K152</f>
        <v/>
      </c>
      <c r="D167" s="44" t="n">
        <v>200</v>
      </c>
      <c r="F167" s="15">
        <f>IFERROR(IF(ISNUMBER(D167),IF(ISNUMBER(K152),IF(ABS(K152-D167)&lt;=0.01,"PASS","FAIL"),"FAIL"),IF(NOT(ISNUMBER(K152)),IF(K152=D167,"PASS","FAIL"),"FAIL")),"FAIL")</f>
        <v/>
      </c>
    </row>
    <row r="168">
      <c r="B168" s="8" t="inlineStr">
        <is>
          <t>Scenario B: contribution_margin_rate_delta</t>
        </is>
      </c>
      <c r="C168" s="43">
        <f>K153</f>
        <v/>
      </c>
      <c r="D168" s="44" t="n">
        <v>0.08333333333333337</v>
      </c>
      <c r="F168" s="15">
        <f>IFERROR(IF(ISNUMBER(D168),IF(ISNUMBER(K153),IF(ABS(K153-D168)&lt;=0.01,"PASS","FAIL"),"FAIL"),IF(NOT(ISNUMBER(K153)),IF(K153=D168,"PASS","FAIL"),"FAIL")),"FAIL")</f>
        <v/>
      </c>
    </row>
    <row r="169">
      <c r="B169" s="8" t="inlineStr">
        <is>
          <t>Scenario B: break_even_quantity_delta</t>
        </is>
      </c>
      <c r="C169" s="43">
        <f>K154</f>
        <v/>
      </c>
      <c r="D169" s="44" t="n">
        <v>-28.57142857142857</v>
      </c>
      <c r="F169" s="15">
        <f>IFERROR(IF(ISNUMBER(D169),IF(ISNUMBER(K154),IF(ABS(K154-D169)&lt;=0.01,"PASS","FAIL"),"FAIL"),IF(NOT(ISNUMBER(K154)),IF(K154=D169,"PASS","FAIL"),"FAIL")),"FAIL")</f>
        <v/>
      </c>
    </row>
    <row r="171" ht="20" customHeight="1">
      <c r="B171" s="2" t="inlineStr">
        <is>
          <t>TC3. Price decrease</t>
        </is>
      </c>
      <c r="C171" s="7" t="n"/>
      <c r="D171" s="7" t="n"/>
      <c r="E171" s="7" t="n"/>
      <c r="F171" s="7" t="n"/>
    </row>
    <row r="172">
      <c r="B172" s="4" t="inlineStr">
        <is>
          <t>Check</t>
        </is>
      </c>
      <c r="C172" s="4" t="inlineStr">
        <is>
          <t>Excel Result</t>
        </is>
      </c>
      <c r="D172" s="4" t="inlineStr">
        <is>
          <t>Python Reference</t>
        </is>
      </c>
      <c r="E172" s="4" t="inlineStr">
        <is>
          <t>Difference</t>
        </is>
      </c>
      <c r="F172" s="4" t="inlineStr">
        <is>
          <t>PASS / FAIL</t>
        </is>
      </c>
    </row>
    <row r="173">
      <c r="I173" t="n">
        <v>1000</v>
      </c>
    </row>
    <row r="174">
      <c r="I174" t="b">
        <v>0</v>
      </c>
    </row>
    <row r="175">
      <c r="I175" t="n">
        <v>0.1</v>
      </c>
    </row>
    <row r="176">
      <c r="I176" t="n">
        <v>1000</v>
      </c>
    </row>
    <row r="177">
      <c r="I177" t="n">
        <v>0</v>
      </c>
    </row>
    <row r="178">
      <c r="I178" t="n">
        <v>400</v>
      </c>
    </row>
    <row r="179">
      <c r="I179" t="n">
        <v>100</v>
      </c>
    </row>
    <row r="180">
      <c r="I180" t="n">
        <v>0</v>
      </c>
    </row>
    <row r="181">
      <c r="I181" t="n">
        <v>0</v>
      </c>
    </row>
    <row r="182">
      <c r="I182" t="n">
        <v>50000</v>
      </c>
    </row>
    <row r="183">
      <c r="I183" t="n">
        <v>0.3</v>
      </c>
    </row>
    <row r="184">
      <c r="I184" t="inlineStr">
        <is>
          <t>A</t>
        </is>
      </c>
      <c r="J184" t="inlineStr">
        <is>
          <t>A</t>
        </is>
      </c>
      <c r="K184" t="inlineStr">
        <is>
          <t>B</t>
        </is>
      </c>
    </row>
    <row r="185">
      <c r="J185" t="inlineStr">
        <is>
          <t>inherit</t>
        </is>
      </c>
      <c r="K185" t="inlineStr">
        <is>
          <t>value</t>
        </is>
      </c>
    </row>
    <row r="186">
      <c r="K186" t="n">
        <v>800</v>
      </c>
    </row>
    <row r="187">
      <c r="J187" t="inlineStr">
        <is>
          <t>inherit</t>
        </is>
      </c>
      <c r="K187" t="inlineStr">
        <is>
          <t>inherit</t>
        </is>
      </c>
    </row>
    <row r="188"/>
    <row r="189">
      <c r="J189" t="inlineStr">
        <is>
          <t>inherit</t>
        </is>
      </c>
      <c r="K189" t="inlineStr">
        <is>
          <t>inherit</t>
        </is>
      </c>
    </row>
    <row r="190"/>
    <row r="191">
      <c r="J191" t="inlineStr">
        <is>
          <t>inherit</t>
        </is>
      </c>
      <c r="K191" t="inlineStr">
        <is>
          <t>inherit</t>
        </is>
      </c>
    </row>
    <row r="192"/>
    <row r="193">
      <c r="J193" t="inlineStr">
        <is>
          <t>inherit</t>
        </is>
      </c>
      <c r="K193" t="inlineStr">
        <is>
          <t>inherit</t>
        </is>
      </c>
    </row>
    <row r="194"/>
    <row r="195">
      <c r="J195" t="inlineStr">
        <is>
          <t>inherit</t>
        </is>
      </c>
      <c r="K195" t="inlineStr">
        <is>
          <t>inherit</t>
        </is>
      </c>
    </row>
    <row r="196"/>
    <row r="197">
      <c r="J197" t="inlineStr">
        <is>
          <t>inherit</t>
        </is>
      </c>
      <c r="K197" t="inlineStr">
        <is>
          <t>inherit</t>
        </is>
      </c>
    </row>
    <row r="198"/>
    <row r="199">
      <c r="J199" t="inlineStr">
        <is>
          <t>inherit</t>
        </is>
      </c>
      <c r="K199" t="inlineStr">
        <is>
          <t>inherit</t>
        </is>
      </c>
    </row>
    <row r="200"/>
    <row r="201">
      <c r="J201" t="inlineStr">
        <is>
          <t>inherit</t>
        </is>
      </c>
      <c r="K201" t="inlineStr">
        <is>
          <t>inherit</t>
        </is>
      </c>
    </row>
    <row r="202"/>
    <row r="203">
      <c r="J203">
        <f>IFERROR(IF(NOT(ISNUMBER(J224)),"UNKNOWN",IF(J225="UNKNOWN","UNKNOWN",IF(J225=FALSE,J224,IF(NOT(ISNUMBER(J226)),"UNKNOWN",J224/(1+J226))))),"ERROR")</f>
        <v/>
      </c>
      <c r="K203">
        <f>IFERROR(IF(NOT(ISNUMBER(K224)),"UNKNOWN",IF(K225="UNKNOWN","UNKNOWN",IF(K225=FALSE,K224,IF(NOT(ISNUMBER(K226)),"UNKNOWN",K224/(1+K226))))),"ERROR")</f>
        <v/>
      </c>
    </row>
    <row r="204">
      <c r="J204">
        <f>IFERROR(IF(J203="ERROR","ERROR",IF(OR(NOT(ISNUMBER(J203)),NOT(ISNUMBER(J230))),"UNKNOWN",IF(J232&gt;0,IF(J214="ERROR","ERROR",IF(NOT(ISNUMBER(J214)),"UNKNOWN",J203-J230-$I$179-$I$180*J203-J232*J214)),J203-J230-$I$179-$I$180*J203))),"ERROR")</f>
        <v/>
      </c>
      <c r="K204">
        <f>IFERROR(IF(K203="ERROR","ERROR",IF(OR(NOT(ISNUMBER(K203)),NOT(ISNUMBER(K230))),"UNKNOWN",IF(K232&gt;0,IF(K214="ERROR","ERROR",IF(NOT(ISNUMBER(K214)),"UNKNOWN",K203-K230-$I$179-$I$180*K203-K232*K214)),K203-K230-$I$179-$I$180*K203))),"ERROR")</f>
        <v/>
      </c>
    </row>
    <row r="205">
      <c r="J205">
        <f>IFERROR(IF(J204="ERROR","ERROR",IF(NOT(ISNUMBER(J204)),"UNKNOWN",IF(J203=0,"ERROR",J204/J203))),"ERROR")</f>
        <v/>
      </c>
      <c r="K205">
        <f>IFERROR(IF(K204="ERROR","ERROR",IF(NOT(ISNUMBER(K204)),"UNKNOWN",IF(K203=0,"ERROR",K204/K203))),"ERROR")</f>
        <v/>
      </c>
    </row>
    <row r="206">
      <c r="J206">
        <f>IF(OR(J203="ERROR",J204="ERROR",J205="ERROR"),"ERROR",IF(OR(NOT(ISNUMBER(J203)),NOT(ISNUMBER(J204)),NOT(ISNUMBER(J205))),"UNKNOWN","OK"))</f>
        <v/>
      </c>
      <c r="K206">
        <f>IF(OR(K203="ERROR",K204="ERROR",K205="ERROR"),"ERROR",IF(OR(NOT(ISNUMBER(K203)),NOT(ISNUMBER(K204)),NOT(ISNUMBER(K205))),"UNKNOWN","OK"))</f>
        <v/>
      </c>
    </row>
    <row r="207">
      <c r="J207">
        <f>IFERROR(IF(NOT(ISNUMBER(J230)),J230,J230+$I$179),"ERROR")</f>
        <v/>
      </c>
      <c r="K207">
        <f>IFERROR(IF(NOT(ISNUMBER(K230)),K230,K230+$I$179),"ERROR")</f>
        <v/>
      </c>
    </row>
    <row r="208">
      <c r="J208">
        <f>IFERROR(IF(NOT(ISNUMBER(J229)),"UNKNOWN",IF(OR(J229&lt;0,J229&gt;=1),"ERROR",IF(J232=0,IF(1-J229-$I$180&lt;=0,"ERROR",1-J229-$I$180),IF(NOT(ISNUMBER(J226)),"UNKNOWN",IF(1-J229-$I$180-J232*(1+J226)&lt;=0,"ERROR",1-J229-$I$180-J232*(1+J226)))))),"ERROR")</f>
        <v/>
      </c>
      <c r="K208">
        <f>IFERROR(IF(NOT(ISNUMBER(K229)),"UNKNOWN",IF(OR(K229&lt;0,K229&gt;=1),"ERROR",IF(K232=0,IF(1-K229-$I$180&lt;=0,"ERROR",1-K229-$I$180),IF(NOT(ISNUMBER(K226)),"UNKNOWN",IF(1-K229-$I$180-K232*(1+K226)&lt;=0,"ERROR",1-K229-$I$180-K232*(1+K226)))))),"ERROR")</f>
        <v/>
      </c>
    </row>
    <row r="209">
      <c r="J209">
        <f>IFERROR(IF(NOT(ISNUMBER(J207)),J207,IF(NOT(ISNUMBER(J208)),J208,J207/J208)),"ERROR")</f>
        <v/>
      </c>
      <c r="K209">
        <f>IFERROR(IF(NOT(ISNUMBER(K207)),K207,IF(NOT(ISNUMBER(K208)),K208,K207/K208)),"ERROR")</f>
        <v/>
      </c>
    </row>
    <row r="210">
      <c r="J210">
        <f>IFERROR(IF(NOT(ISNUMBER(J209)),J209,IF(NOT(ISNUMBER(J226)),"UNKNOWN",J209*(1+J226))),"ERROR")</f>
        <v/>
      </c>
      <c r="K210">
        <f>IFERROR(IF(NOT(ISNUMBER(K209)),K209,IF(NOT(ISNUMBER(K226)),"UNKNOWN",K209*(1+K226))),"ERROR")</f>
        <v/>
      </c>
    </row>
    <row r="211">
      <c r="J211">
        <f>IFERROR(IF(J225="UNKNOWN","UNKNOWN",IF(J225=FALSE,J209,J210)),"ERROR")</f>
        <v/>
      </c>
      <c r="K211">
        <f>IFERROR(IF(K225="UNKNOWN","UNKNOWN",IF(K225=FALSE,K209,K210)),"ERROR")</f>
        <v/>
      </c>
    </row>
    <row r="212">
      <c r="J212">
        <f>IFERROR(IF(NOT(ISNUMBER(J211)),J211,IF(NOT(ISNUMBER(J228)),"UNKNOWN",IF(OR(J228&lt;0,J228&gt;=1),"ERROR",IF(J228=0,J211,J211/(1-J228))))),"ERROR")</f>
        <v/>
      </c>
      <c r="K212">
        <f>IFERROR(IF(NOT(ISNUMBER(K211)),K211,IF(NOT(ISNUMBER(K228)),"UNKNOWN",IF(OR(K228&lt;0,K228&gt;=1),"ERROR",IF(K228=0,K211,K211/(1-K228))))),"ERROR")</f>
        <v/>
      </c>
    </row>
    <row r="213">
      <c r="J213">
        <f>IF(OR(J211="ERROR",J212="ERROR"),"ERROR",IF(OR(NOT(ISNUMBER(J211)),NOT(ISNUMBER(J212))),"UNKNOWN","OK"))</f>
        <v/>
      </c>
      <c r="K213">
        <f>IF(OR(K211="ERROR",K212="ERROR"),"ERROR",IF(OR(NOT(ISNUMBER(K211)),NOT(ISNUMBER(K212))),"UNKNOWN","OK"))</f>
        <v/>
      </c>
    </row>
    <row r="214">
      <c r="J214">
        <f>IFERROR(IF(NOT(ISNUMBER(J224)),"UNKNOWN",IF(J225="UNKNOWN","UNKNOWN",IF(J225=TRUE,J224,IF(NOT(ISNUMBER(J226)),"UNKNOWN",J224*(1+J226))))),"ERROR")</f>
        <v/>
      </c>
      <c r="K214">
        <f>IFERROR(IF(NOT(ISNUMBER(K224)),"UNKNOWN",IF(K225="UNKNOWN","UNKNOWN",IF(K225=TRUE,K224,IF(NOT(ISNUMBER(K226)),"UNKNOWN",K224*(1+K226))))),"ERROR")</f>
        <v/>
      </c>
    </row>
    <row r="215">
      <c r="J215">
        <f>IFERROR(IF(NOT(ISNUMBER(J227)),"UNKNOWN",IF(J225="UNKNOWN","UNKNOWN",IF(J225=FALSE,J227,IF(NOT(ISNUMBER(J226)),"UNKNOWN",J227/(1+J226))))),"ERROR")</f>
        <v/>
      </c>
      <c r="K215">
        <f>IFERROR(IF(NOT(ISNUMBER(K227)),"UNKNOWN",IF(K225="UNKNOWN","UNKNOWN",IF(K225=FALSE,K227,IF(NOT(ISNUMBER(K226)),"UNKNOWN",K227/(1+K226))))),"ERROR")</f>
        <v/>
      </c>
    </row>
    <row r="216">
      <c r="J216">
        <f>IFERROR(IF(NOT(ISNUMBER(J227)),"UNKNOWN",IF(J225="UNKNOWN","UNKNOWN",IF(J225=TRUE,J227,IF(NOT(ISNUMBER(J226)),"UNKNOWN",J227*(1+J226))))),"ERROR")</f>
        <v/>
      </c>
      <c r="K216">
        <f>IFERROR(IF(NOT(ISNUMBER(K227)),"UNKNOWN",IF(K225="UNKNOWN","UNKNOWN",IF(K225=TRUE,K227,IF(NOT(ISNUMBER(K226)),"UNKNOWN",K227*(1+K226))))),"ERROR")</f>
        <v/>
      </c>
    </row>
    <row r="217">
      <c r="J217">
        <f>IFERROR(IF(J215="ERROR","ERROR",IF(NOT(ISNUMBER(J229)),"UNKNOWN",IF(OR(J229&lt;0,J229&gt;=1),"ERROR",IF(NOT(ISNUMBER(J215)),"UNKNOWN",IF(J232&gt;0,IF(J216="ERROR","ERROR",IF(NOT(ISNUMBER(J216)),"UNKNOWN",J215*(1-J229-$I$180)-J232*J216-$I$179)),J215*(1-J229-$I$180)-$I$179))))),"ERROR")</f>
        <v/>
      </c>
      <c r="K217">
        <f>IFERROR(IF(K215="ERROR","ERROR",IF(NOT(ISNUMBER(K229)),"UNKNOWN",IF(OR(K229&lt;0,K229&gt;=1),"ERROR",IF(NOT(ISNUMBER(K215)),"UNKNOWN",IF(K232&gt;0,IF(K216="ERROR","ERROR",IF(NOT(ISNUMBER(K216)),"UNKNOWN",K215*(1-K229-$I$180)-K232*K216-$I$179)),K215*(1-K229-$I$180)-$I$179))))),"ERROR")</f>
        <v/>
      </c>
    </row>
    <row r="218">
      <c r="J218">
        <f>IFERROR(IF(OR(J217="ERROR",J230="ERROR"),"ERROR",IF(OR(NOT(ISNUMBER(J217)),NOT(ISNUMBER(J230))),"UNKNOWN",J217-J230)),"ERROR")</f>
        <v/>
      </c>
      <c r="K218">
        <f>IFERROR(IF(OR(K217="ERROR",K230="ERROR"),"ERROR",IF(OR(NOT(ISNUMBER(K217)),NOT(ISNUMBER(K230))),"UNKNOWN",K217-K230)),"ERROR")</f>
        <v/>
      </c>
    </row>
    <row r="219">
      <c r="J219">
        <f>IF(OR(J217="ERROR",J230="ERROR",J218="ERROR"),"ERROR",IF(OR(NOT(ISNUMBER(J217)),NOT(ISNUMBER(J230)),NOT(ISNUMBER(J218))),"UNKNOWN","OK"))</f>
        <v/>
      </c>
      <c r="K219">
        <f>IF(OR(K217="ERROR",K230="ERROR",K218="ERROR"),"ERROR",IF(OR(NOT(ISNUMBER(K217)),NOT(ISNUMBER(K230)),NOT(ISNUMBER(K218))),"UNKNOWN","OK"))</f>
        <v/>
      </c>
    </row>
    <row r="220">
      <c r="J220">
        <f>IFERROR(IF(NOT(ISNUMBER(J231)),J231,IF(J231&lt;0,"ERROR",J231)),"ERROR")</f>
        <v/>
      </c>
      <c r="K220">
        <f>IFERROR(IF(NOT(ISNUMBER(K231)),K231,IF(K231&lt;0,"ERROR",K231)),"ERROR")</f>
        <v/>
      </c>
    </row>
    <row r="221">
      <c r="J221">
        <f>IFERROR(IF(OR(J204="ERROR",J220="ERROR"),"ERROR",IF(OR(NOT(ISNUMBER(J204)),NOT(ISNUMBER(J220))),"UNKNOWN",IF(J204&lt;=0,"NOT_APPLICABLE",J220/J204))),"ERROR")</f>
        <v/>
      </c>
      <c r="K221">
        <f>IFERROR(IF(OR(K204="ERROR",K220="ERROR"),"ERROR",IF(OR(NOT(ISNUMBER(K204)),NOT(ISNUMBER(K220))),"UNKNOWN",IF(K204&lt;=0,"NOT_APPLICABLE",K220/K204))),"ERROR")</f>
        <v/>
      </c>
    </row>
    <row r="222">
      <c r="J222">
        <f>IF(OR(J204="ERROR",J220="ERROR",J221="ERROR"),"ERROR",IF(OR(NOT(ISNUMBER(J204)),NOT(ISNUMBER(J220)),AND(NOT(ISNUMBER(J221)),J221&lt;&gt;"NOT_APPLICABLE")),"UNKNOWN","OK"))</f>
        <v/>
      </c>
      <c r="K222">
        <f>IF(OR(K204="ERROR",K220="ERROR",K221="ERROR"),"ERROR",IF(OR(NOT(ISNUMBER(K204)),NOT(ISNUMBER(K220)),AND(NOT(ISNUMBER(K221)),K221&lt;&gt;"NOT_APPLICABLE")),"UNKNOWN","OK"))</f>
        <v/>
      </c>
    </row>
    <row r="223">
      <c r="J223">
        <f>IF(OR(J206="ERROR",J213="ERROR",J219="ERROR",J222="ERROR"),"ERROR",IF(OR(J206="UNKNOWN",J213="UNKNOWN",J219="UNKNOWN",J222="UNKNOWN"),"INCOMPLETE","OK"))</f>
        <v/>
      </c>
      <c r="K223">
        <f>IF(OR(K206="ERROR",K213="ERROR",K219="ERROR",K222="ERROR"),"ERROR",IF(OR(K206="UNKNOWN",K213="UNKNOWN",K219="UNKNOWN",K222="UNKNOWN"),"INCOMPLETE","OK"))</f>
        <v/>
      </c>
    </row>
    <row r="224">
      <c r="J224">
        <f>IF($J$185="inherit",$I$173,IF($J$185="null","UNKNOWN",$J$186))</f>
        <v/>
      </c>
      <c r="K224">
        <f>IF($K$185="inherit",$I$173,IF($K$185="null","UNKNOWN",$K$186))</f>
        <v/>
      </c>
    </row>
    <row r="225">
      <c r="J225">
        <f>IF($J$187="inherit",$I$174,IF($J$187="null","UNKNOWN",$J$188))</f>
        <v/>
      </c>
      <c r="K225">
        <f>IF($K$187="inherit",$I$174,IF($K$187="null","UNKNOWN",$K$188))</f>
        <v/>
      </c>
    </row>
    <row r="226">
      <c r="J226">
        <f>IF($J$189="inherit",$I$175,IF($J$189="null","UNKNOWN",$J$190))</f>
        <v/>
      </c>
      <c r="K226">
        <f>IF($K$189="inherit",$I$175,IF($K$189="null","UNKNOWN",$K$190))</f>
        <v/>
      </c>
    </row>
    <row r="227">
      <c r="J227">
        <f>IF($J$191="inherit",$I$176,IF($J$191="null","UNKNOWN",$J$192))</f>
        <v/>
      </c>
      <c r="K227">
        <f>IF($K$191="inherit",$I$176,IF($K$191="null","UNKNOWN",$K$192))</f>
        <v/>
      </c>
    </row>
    <row r="228">
      <c r="J228">
        <f>IF($J$193="inherit",$I$177,IF($J$193="null","UNKNOWN",$J$194))</f>
        <v/>
      </c>
      <c r="K228">
        <f>IF($K$193="inherit",$I$177,IF($K$193="null","UNKNOWN",$K$194))</f>
        <v/>
      </c>
    </row>
    <row r="229">
      <c r="J229">
        <f>IF($J$195="inherit",$I$183,IF($J$195="null","UNKNOWN",$J$196))</f>
        <v/>
      </c>
      <c r="K229">
        <f>IF($K$195="inherit",$I$183,IF($K$195="null","UNKNOWN",$K$196))</f>
        <v/>
      </c>
    </row>
    <row r="230">
      <c r="J230">
        <f>IF($J$197="inherit",$I$178,IF($J$197="null","UNKNOWN",$J$198))</f>
        <v/>
      </c>
      <c r="K230">
        <f>IF($K$197="inherit",$I$178,IF($K$197="null","UNKNOWN",$K$198))</f>
        <v/>
      </c>
    </row>
    <row r="231">
      <c r="J231">
        <f>IF($J$199="inherit",$I$182,IF($J$199="null","UNKNOWN",$J$200))</f>
        <v/>
      </c>
      <c r="K231">
        <f>IF($K$199="inherit",$I$182,IF($K$199="null","UNKNOWN",$K$200))</f>
        <v/>
      </c>
    </row>
    <row r="232">
      <c r="J232">
        <f>IF($J$201="inherit",$I$181,IF($J$201="null","UNKNOWN",$J$202))</f>
        <v/>
      </c>
      <c r="K232">
        <f>IF($K$201="inherit",$I$181,IF($K$201="null","UNKNOWN",$K$202))</f>
        <v/>
      </c>
    </row>
    <row r="233">
      <c r="I233">
        <f>IFERROR(MATCH($I$184,$J$184:$K$184,0),0)</f>
        <v/>
      </c>
    </row>
    <row r="234">
      <c r="J234">
        <f>IF(I233=0,"ERROR",IF(OR($J$203="ERROR",INDEX($J$203:$K$203,1,I233)="ERROR"),"ERROR",IF(OR($J$203="UNKNOWN",INDEX($J$203:$K$203,1,I233)="UNKNOWN"),"UNKNOWN",IF(OR($J$203="NOT_APPLICABLE",INDEX($J$203:$K$203,1,I233)="NOT_APPLICABLE"),"NOT_APPLICABLE",$J$203-INDEX($J$203:$K$203,1,I233)))))</f>
        <v/>
      </c>
      <c r="K234">
        <f>IF(I233=0,"ERROR",IF(OR($K$203="ERROR",INDEX($J$203:$K$203,1,I233)="ERROR"),"ERROR",IF(OR($K$203="UNKNOWN",INDEX($J$203:$K$203,1,I233)="UNKNOWN"),"UNKNOWN",IF(OR($K$203="NOT_APPLICABLE",INDEX($J$203:$K$203,1,I233)="NOT_APPLICABLE"),"NOT_APPLICABLE",$K$203-INDEX($J$203:$K$203,1,I233)))))</f>
        <v/>
      </c>
    </row>
    <row r="235">
      <c r="J235">
        <f>IF(I233=0,"ERROR",IF(OR($J$204="ERROR",INDEX($J$204:$K$204,1,I233)="ERROR"),"ERROR",IF(OR($J$204="UNKNOWN",INDEX($J$204:$K$204,1,I233)="UNKNOWN"),"UNKNOWN",IF(OR($J$204="NOT_APPLICABLE",INDEX($J$204:$K$204,1,I233)="NOT_APPLICABLE"),"NOT_APPLICABLE",$J$204-INDEX($J$204:$K$204,1,I233)))))</f>
        <v/>
      </c>
      <c r="K235">
        <f>IF(I233=0,"ERROR",IF(OR($K$204="ERROR",INDEX($J$204:$K$204,1,I233)="ERROR"),"ERROR",IF(OR($K$204="UNKNOWN",INDEX($J$204:$K$204,1,I233)="UNKNOWN"),"UNKNOWN",IF(OR($K$204="NOT_APPLICABLE",INDEX($J$204:$K$204,1,I233)="NOT_APPLICABLE"),"NOT_APPLICABLE",$K$204-INDEX($J$204:$K$204,1,I233)))))</f>
        <v/>
      </c>
    </row>
    <row r="236">
      <c r="J236">
        <f>IF(I233=0,"ERROR",IF(OR($J$205="ERROR",INDEX($J$205:$K$205,1,I233)="ERROR"),"ERROR",IF(OR($J$205="UNKNOWN",INDEX($J$205:$K$205,1,I233)="UNKNOWN"),"UNKNOWN",IF(OR($J$205="NOT_APPLICABLE",INDEX($J$205:$K$205,1,I233)="NOT_APPLICABLE"),"NOT_APPLICABLE",$J$205-INDEX($J$205:$K$205,1,I233)))))</f>
        <v/>
      </c>
      <c r="K236">
        <f>IF(I233=0,"ERROR",IF(OR($K$205="ERROR",INDEX($J$205:$K$205,1,I233)="ERROR"),"ERROR",IF(OR($K$205="UNKNOWN",INDEX($J$205:$K$205,1,I233)="UNKNOWN"),"UNKNOWN",IF(OR($K$205="NOT_APPLICABLE",INDEX($J$205:$K$205,1,I233)="NOT_APPLICABLE"),"NOT_APPLICABLE",$K$205-INDEX($J$205:$K$205,1,I233)))))</f>
        <v/>
      </c>
    </row>
    <row r="237">
      <c r="J237">
        <f>IF(I233=0,"ERROR",IF(OR($J$221="ERROR",INDEX($J$221:$K$221,1,I233)="ERROR"),"ERROR",IF(OR($J$221="UNKNOWN",INDEX($J$221:$K$221,1,I233)="UNKNOWN"),"UNKNOWN",IF(OR($J$221="NOT_APPLICABLE",INDEX($J$221:$K$221,1,I233)="NOT_APPLICABLE"),"NOT_APPLICABLE",$J$221-INDEX($J$221:$K$221,1,I233)))))</f>
        <v/>
      </c>
      <c r="K237">
        <f>IF(I233=0,"ERROR",IF(OR($K$221="ERROR",INDEX($J$221:$K$221,1,I233)="ERROR"),"ERROR",IF(OR($K$221="UNKNOWN",INDEX($J$221:$K$221,1,I233)="UNKNOWN"),"UNKNOWN",IF(OR($K$221="NOT_APPLICABLE",INDEX($J$221:$K$221,1,I233)="NOT_APPLICABLE"),"NOT_APPLICABLE",$K$221-INDEX($J$221:$K$221,1,I233)))))</f>
        <v/>
      </c>
    </row>
    <row r="239">
      <c r="B239" s="8" t="inlineStr">
        <is>
          <t>Scenario A: scenario_status</t>
        </is>
      </c>
      <c r="C239" s="16">
        <f>J223</f>
        <v/>
      </c>
      <c r="D239" s="38" t="inlineStr">
        <is>
          <t>OK</t>
        </is>
      </c>
      <c r="F239" s="15">
        <f>IF(J223=D239,"PASS","FAIL")</f>
        <v/>
      </c>
    </row>
    <row r="240">
      <c r="B240" s="8" t="inlineStr">
        <is>
          <t>Scenario A: contribution_margin</t>
        </is>
      </c>
      <c r="C240" s="25">
        <f>J204</f>
        <v/>
      </c>
      <c r="D240" s="42" t="n">
        <v>500</v>
      </c>
      <c r="E240" s="26">
        <f>IF(ISNUMBER(D240),IF(ISNUMBER(J204),ABS(J204-D240),"N/A"),"N/A")</f>
        <v/>
      </c>
      <c r="F240" s="15">
        <f>IFERROR(IF(ISNUMBER(D240),IF(ISNUMBER(J204),IF(ABS(J204-D240)&lt;=0.01,"PASS","FAIL"),"FAIL"),IF(NOT(ISNUMBER(J204)),IF(J204=D240,"PASS","FAIL"),"FAIL")),"FAIL")</f>
        <v/>
      </c>
    </row>
    <row r="241">
      <c r="B241" s="8" t="inlineStr">
        <is>
          <t>Scenario A: break_even_quantity_exact</t>
        </is>
      </c>
      <c r="C241" s="25">
        <f>J221</f>
        <v/>
      </c>
      <c r="D241" s="42" t="n">
        <v>100</v>
      </c>
      <c r="E241" s="26">
        <f>IF(ISNUMBER(D241),IF(ISNUMBER(J221),ABS(J221-D241),"N/A"),"N/A")</f>
        <v/>
      </c>
      <c r="F241" s="15">
        <f>IFERROR(IF(ISNUMBER(D241),IF(ISNUMBER(J221),IF(ABS(J221-D241)&lt;=0.01,"PASS","FAIL"),"FAIL"),IF(NOT(ISNUMBER(J221)),IF(J221=D241,"PASS","FAIL"),"FAIL")),"FAIL")</f>
        <v/>
      </c>
    </row>
    <row r="242">
      <c r="B242" s="8" t="inlineStr">
        <is>
          <t>Scenario A: net_sales_ex_vat_delta</t>
        </is>
      </c>
      <c r="C242" s="43">
        <f>J234</f>
        <v/>
      </c>
      <c r="D242" s="44" t="n">
        <v>0</v>
      </c>
      <c r="F242" s="15">
        <f>IFERROR(IF(ISNUMBER(D242),IF(ISNUMBER(J234),IF(ABS(J234-D242)&lt;=0.01,"PASS","FAIL"),"FAIL"),IF(NOT(ISNUMBER(J234)),IF(J234=D242,"PASS","FAIL"),"FAIL")),"FAIL")</f>
        <v/>
      </c>
    </row>
    <row r="243">
      <c r="B243" s="8" t="inlineStr">
        <is>
          <t>Scenario A: contribution_margin_delta</t>
        </is>
      </c>
      <c r="C243" s="43">
        <f>J235</f>
        <v/>
      </c>
      <c r="D243" s="44" t="n">
        <v>0</v>
      </c>
      <c r="F243" s="15">
        <f>IFERROR(IF(ISNUMBER(D243),IF(ISNUMBER(J235),IF(ABS(J235-D243)&lt;=0.01,"PASS","FAIL"),"FAIL"),IF(NOT(ISNUMBER(J235)),IF(J235=D243,"PASS","FAIL"),"FAIL")),"FAIL")</f>
        <v/>
      </c>
    </row>
    <row r="244">
      <c r="B244" s="8" t="inlineStr">
        <is>
          <t>Scenario A: contribution_margin_rate_delta</t>
        </is>
      </c>
      <c r="C244" s="43">
        <f>J236</f>
        <v/>
      </c>
      <c r="D244" s="44" t="n">
        <v>0</v>
      </c>
      <c r="F244" s="15">
        <f>IFERROR(IF(ISNUMBER(D244),IF(ISNUMBER(J236),IF(ABS(J236-D244)&lt;=0.01,"PASS","FAIL"),"FAIL"),IF(NOT(ISNUMBER(J236)),IF(J236=D244,"PASS","FAIL"),"FAIL")),"FAIL")</f>
        <v/>
      </c>
    </row>
    <row r="245">
      <c r="B245" s="8" t="inlineStr">
        <is>
          <t>Scenario A: break_even_quantity_delta</t>
        </is>
      </c>
      <c r="C245" s="43">
        <f>J237</f>
        <v/>
      </c>
      <c r="D245" s="44" t="n">
        <v>0</v>
      </c>
      <c r="F245" s="15">
        <f>IFERROR(IF(ISNUMBER(D245),IF(ISNUMBER(J237),IF(ABS(J237-D245)&lt;=0.01,"PASS","FAIL"),"FAIL"),IF(NOT(ISNUMBER(J237)),IF(J237=D245,"PASS","FAIL"),"FAIL")),"FAIL")</f>
        <v/>
      </c>
    </row>
    <row r="246">
      <c r="B246" s="8" t="inlineStr">
        <is>
          <t>Scenario B: scenario_status</t>
        </is>
      </c>
      <c r="C246" s="16">
        <f>K223</f>
        <v/>
      </c>
      <c r="D246" s="38" t="inlineStr">
        <is>
          <t>OK</t>
        </is>
      </c>
      <c r="F246" s="15">
        <f>IF(K223=D246,"PASS","FAIL")</f>
        <v/>
      </c>
    </row>
    <row r="247">
      <c r="B247" s="8" t="inlineStr">
        <is>
          <t>Scenario B: contribution_margin</t>
        </is>
      </c>
      <c r="C247" s="25">
        <f>K204</f>
        <v/>
      </c>
      <c r="D247" s="42" t="n">
        <v>300</v>
      </c>
      <c r="E247" s="26">
        <f>IF(ISNUMBER(D247),IF(ISNUMBER(K204),ABS(K204-D247),"N/A"),"N/A")</f>
        <v/>
      </c>
      <c r="F247" s="15">
        <f>IFERROR(IF(ISNUMBER(D247),IF(ISNUMBER(K204),IF(ABS(K204-D247)&lt;=0.01,"PASS","FAIL"),"FAIL"),IF(NOT(ISNUMBER(K204)),IF(K204=D247,"PASS","FAIL"),"FAIL")),"FAIL")</f>
        <v/>
      </c>
    </row>
    <row r="248">
      <c r="B248" s="8" t="inlineStr">
        <is>
          <t>Scenario B: break_even_quantity_exact</t>
        </is>
      </c>
      <c r="C248" s="25">
        <f>K221</f>
        <v/>
      </c>
      <c r="D248" s="42" t="n">
        <v>166.6666666666667</v>
      </c>
      <c r="E248" s="26">
        <f>IF(ISNUMBER(D248),IF(ISNUMBER(K221),ABS(K221-D248),"N/A"),"N/A")</f>
        <v/>
      </c>
      <c r="F248" s="15">
        <f>IFERROR(IF(ISNUMBER(D248),IF(ISNUMBER(K221),IF(ABS(K221-D248)&lt;=0.01,"PASS","FAIL"),"FAIL"),IF(NOT(ISNUMBER(K221)),IF(K221=D248,"PASS","FAIL"),"FAIL")),"FAIL")</f>
        <v/>
      </c>
    </row>
    <row r="249">
      <c r="B249" s="8" t="inlineStr">
        <is>
          <t>Scenario B: net_sales_ex_vat_delta</t>
        </is>
      </c>
      <c r="C249" s="43">
        <f>K234</f>
        <v/>
      </c>
      <c r="D249" s="44" t="n">
        <v>-200</v>
      </c>
      <c r="F249" s="15">
        <f>IFERROR(IF(ISNUMBER(D249),IF(ISNUMBER(K234),IF(ABS(K234-D249)&lt;=0.01,"PASS","FAIL"),"FAIL"),IF(NOT(ISNUMBER(K234)),IF(K234=D249,"PASS","FAIL"),"FAIL")),"FAIL")</f>
        <v/>
      </c>
    </row>
    <row r="250">
      <c r="B250" s="8" t="inlineStr">
        <is>
          <t>Scenario B: contribution_margin_delta</t>
        </is>
      </c>
      <c r="C250" s="43">
        <f>K235</f>
        <v/>
      </c>
      <c r="D250" s="44" t="n">
        <v>-200</v>
      </c>
      <c r="F250" s="15">
        <f>IFERROR(IF(ISNUMBER(D250),IF(ISNUMBER(K235),IF(ABS(K235-D250)&lt;=0.01,"PASS","FAIL"),"FAIL"),IF(NOT(ISNUMBER(K235)),IF(K235=D250,"PASS","FAIL"),"FAIL")),"FAIL")</f>
        <v/>
      </c>
    </row>
    <row r="251">
      <c r="B251" s="8" t="inlineStr">
        <is>
          <t>Scenario B: contribution_margin_rate_delta</t>
        </is>
      </c>
      <c r="C251" s="43">
        <f>K236</f>
        <v/>
      </c>
      <c r="D251" s="44" t="n">
        <v>-0.125</v>
      </c>
      <c r="F251" s="15">
        <f>IFERROR(IF(ISNUMBER(D251),IF(ISNUMBER(K236),IF(ABS(K236-D251)&lt;=0.01,"PASS","FAIL"),"FAIL"),IF(NOT(ISNUMBER(K236)),IF(K236=D251,"PASS","FAIL"),"FAIL")),"FAIL")</f>
        <v/>
      </c>
    </row>
    <row r="252">
      <c r="B252" s="8" t="inlineStr">
        <is>
          <t>Scenario B: break_even_quantity_delta</t>
        </is>
      </c>
      <c r="C252" s="43">
        <f>K237</f>
        <v/>
      </c>
      <c r="D252" s="44" t="n">
        <v>66.66666666666666</v>
      </c>
      <c r="F252" s="15">
        <f>IFERROR(IF(ISNUMBER(D252),IF(ISNUMBER(K237),IF(ABS(K237-D252)&lt;=0.01,"PASS","FAIL"),"FAIL"),IF(NOT(ISNUMBER(K237)),IF(K237=D252,"PASS","FAIL"),"FAIL")),"FAIL")</f>
        <v/>
      </c>
    </row>
    <row r="254" ht="20" customHeight="1">
      <c r="B254" s="2" t="inlineStr">
        <is>
          <t>TC4. Direct cost reduction</t>
        </is>
      </c>
      <c r="C254" s="7" t="n"/>
      <c r="D254" s="7" t="n"/>
      <c r="E254" s="7" t="n"/>
      <c r="F254" s="7" t="n"/>
    </row>
    <row r="255">
      <c r="B255" s="4" t="inlineStr">
        <is>
          <t>Check</t>
        </is>
      </c>
      <c r="C255" s="4" t="inlineStr">
        <is>
          <t>Excel Result</t>
        </is>
      </c>
      <c r="D255" s="4" t="inlineStr">
        <is>
          <t>Python Reference</t>
        </is>
      </c>
      <c r="E255" s="4" t="inlineStr">
        <is>
          <t>Difference</t>
        </is>
      </c>
      <c r="F255" s="4" t="inlineStr">
        <is>
          <t>PASS / FAIL</t>
        </is>
      </c>
    </row>
    <row r="256">
      <c r="I256" t="n">
        <v>1000</v>
      </c>
    </row>
    <row r="257">
      <c r="I257" t="b">
        <v>0</v>
      </c>
    </row>
    <row r="258">
      <c r="I258" t="n">
        <v>0.1</v>
      </c>
    </row>
    <row r="259">
      <c r="I259" t="n">
        <v>1000</v>
      </c>
    </row>
    <row r="260">
      <c r="I260" t="n">
        <v>0</v>
      </c>
    </row>
    <row r="261">
      <c r="I261" t="n">
        <v>400</v>
      </c>
    </row>
    <row r="262">
      <c r="I262" t="n">
        <v>100</v>
      </c>
    </row>
    <row r="263">
      <c r="I263" t="n">
        <v>0</v>
      </c>
    </row>
    <row r="264">
      <c r="I264" t="n">
        <v>0</v>
      </c>
    </row>
    <row r="265">
      <c r="I265" t="n">
        <v>50000</v>
      </c>
    </row>
    <row r="266">
      <c r="I266" t="n">
        <v>0.3</v>
      </c>
    </row>
    <row r="267">
      <c r="I267" t="inlineStr">
        <is>
          <t>A</t>
        </is>
      </c>
      <c r="J267" t="inlineStr">
        <is>
          <t>A</t>
        </is>
      </c>
      <c r="K267" t="inlineStr">
        <is>
          <t>B</t>
        </is>
      </c>
    </row>
    <row r="268">
      <c r="J268" t="inlineStr">
        <is>
          <t>inherit</t>
        </is>
      </c>
      <c r="K268" t="inlineStr">
        <is>
          <t>inherit</t>
        </is>
      </c>
    </row>
    <row r="269"/>
    <row r="270">
      <c r="J270" t="inlineStr">
        <is>
          <t>inherit</t>
        </is>
      </c>
      <c r="K270" t="inlineStr">
        <is>
          <t>inherit</t>
        </is>
      </c>
    </row>
    <row r="271"/>
    <row r="272">
      <c r="J272" t="inlineStr">
        <is>
          <t>inherit</t>
        </is>
      </c>
      <c r="K272" t="inlineStr">
        <is>
          <t>inherit</t>
        </is>
      </c>
    </row>
    <row r="273"/>
    <row r="274">
      <c r="J274" t="inlineStr">
        <is>
          <t>inherit</t>
        </is>
      </c>
      <c r="K274" t="inlineStr">
        <is>
          <t>inherit</t>
        </is>
      </c>
    </row>
    <row r="275"/>
    <row r="276">
      <c r="J276" t="inlineStr">
        <is>
          <t>inherit</t>
        </is>
      </c>
      <c r="K276" t="inlineStr">
        <is>
          <t>inherit</t>
        </is>
      </c>
    </row>
    <row r="277"/>
    <row r="278">
      <c r="J278" t="inlineStr">
        <is>
          <t>inherit</t>
        </is>
      </c>
      <c r="K278" t="inlineStr">
        <is>
          <t>inherit</t>
        </is>
      </c>
    </row>
    <row r="279"/>
    <row r="280">
      <c r="J280" t="inlineStr">
        <is>
          <t>inherit</t>
        </is>
      </c>
      <c r="K280" t="inlineStr">
        <is>
          <t>value</t>
        </is>
      </c>
    </row>
    <row r="281">
      <c r="K281" t="n">
        <v>300</v>
      </c>
    </row>
    <row r="282">
      <c r="J282" t="inlineStr">
        <is>
          <t>inherit</t>
        </is>
      </c>
      <c r="K282" t="inlineStr">
        <is>
          <t>inherit</t>
        </is>
      </c>
    </row>
    <row r="283"/>
    <row r="284">
      <c r="J284" t="inlineStr">
        <is>
          <t>inherit</t>
        </is>
      </c>
      <c r="K284" t="inlineStr">
        <is>
          <t>inherit</t>
        </is>
      </c>
    </row>
    <row r="285"/>
    <row r="286">
      <c r="J286">
        <f>IFERROR(IF(NOT(ISNUMBER(J307)),"UNKNOWN",IF(J308="UNKNOWN","UNKNOWN",IF(J308=FALSE,J307,IF(NOT(ISNUMBER(J309)),"UNKNOWN",J307/(1+J309))))),"ERROR")</f>
        <v/>
      </c>
      <c r="K286">
        <f>IFERROR(IF(NOT(ISNUMBER(K307)),"UNKNOWN",IF(K308="UNKNOWN","UNKNOWN",IF(K308=FALSE,K307,IF(NOT(ISNUMBER(K309)),"UNKNOWN",K307/(1+K309))))),"ERROR")</f>
        <v/>
      </c>
    </row>
    <row r="287">
      <c r="J287">
        <f>IFERROR(IF(J286="ERROR","ERROR",IF(OR(NOT(ISNUMBER(J286)),NOT(ISNUMBER(J313))),"UNKNOWN",IF(J315&gt;0,IF(J297="ERROR","ERROR",IF(NOT(ISNUMBER(J297)),"UNKNOWN",J286-J313-$I$262-$I$263*J286-J315*J297)),J286-J313-$I$262-$I$263*J286))),"ERROR")</f>
        <v/>
      </c>
      <c r="K287">
        <f>IFERROR(IF(K286="ERROR","ERROR",IF(OR(NOT(ISNUMBER(K286)),NOT(ISNUMBER(K313))),"UNKNOWN",IF(K315&gt;0,IF(K297="ERROR","ERROR",IF(NOT(ISNUMBER(K297)),"UNKNOWN",K286-K313-$I$262-$I$263*K286-K315*K297)),K286-K313-$I$262-$I$263*K286))),"ERROR")</f>
        <v/>
      </c>
    </row>
    <row r="288">
      <c r="J288">
        <f>IFERROR(IF(J287="ERROR","ERROR",IF(NOT(ISNUMBER(J287)),"UNKNOWN",IF(J286=0,"ERROR",J287/J286))),"ERROR")</f>
        <v/>
      </c>
      <c r="K288">
        <f>IFERROR(IF(K287="ERROR","ERROR",IF(NOT(ISNUMBER(K287)),"UNKNOWN",IF(K286=0,"ERROR",K287/K286))),"ERROR")</f>
        <v/>
      </c>
    </row>
    <row r="289">
      <c r="J289">
        <f>IF(OR(J286="ERROR",J287="ERROR",J288="ERROR"),"ERROR",IF(OR(NOT(ISNUMBER(J286)),NOT(ISNUMBER(J287)),NOT(ISNUMBER(J288))),"UNKNOWN","OK"))</f>
        <v/>
      </c>
      <c r="K289">
        <f>IF(OR(K286="ERROR",K287="ERROR",K288="ERROR"),"ERROR",IF(OR(NOT(ISNUMBER(K286)),NOT(ISNUMBER(K287)),NOT(ISNUMBER(K288))),"UNKNOWN","OK"))</f>
        <v/>
      </c>
    </row>
    <row r="290">
      <c r="J290">
        <f>IFERROR(IF(NOT(ISNUMBER(J313)),J313,J313+$I$262),"ERROR")</f>
        <v/>
      </c>
      <c r="K290">
        <f>IFERROR(IF(NOT(ISNUMBER(K313)),K313,K313+$I$262),"ERROR")</f>
        <v/>
      </c>
    </row>
    <row r="291">
      <c r="J291">
        <f>IFERROR(IF(NOT(ISNUMBER(J312)),"UNKNOWN",IF(OR(J312&lt;0,J312&gt;=1),"ERROR",IF(J315=0,IF(1-J312-$I$263&lt;=0,"ERROR",1-J312-$I$263),IF(NOT(ISNUMBER(J309)),"UNKNOWN",IF(1-J312-$I$263-J315*(1+J309)&lt;=0,"ERROR",1-J312-$I$263-J315*(1+J309)))))),"ERROR")</f>
        <v/>
      </c>
      <c r="K291">
        <f>IFERROR(IF(NOT(ISNUMBER(K312)),"UNKNOWN",IF(OR(K312&lt;0,K312&gt;=1),"ERROR",IF(K315=0,IF(1-K312-$I$263&lt;=0,"ERROR",1-K312-$I$263),IF(NOT(ISNUMBER(K309)),"UNKNOWN",IF(1-K312-$I$263-K315*(1+K309)&lt;=0,"ERROR",1-K312-$I$263-K315*(1+K309)))))),"ERROR")</f>
        <v/>
      </c>
    </row>
    <row r="292">
      <c r="J292">
        <f>IFERROR(IF(NOT(ISNUMBER(J290)),J290,IF(NOT(ISNUMBER(J291)),J291,J290/J291)),"ERROR")</f>
        <v/>
      </c>
      <c r="K292">
        <f>IFERROR(IF(NOT(ISNUMBER(K290)),K290,IF(NOT(ISNUMBER(K291)),K291,K290/K291)),"ERROR")</f>
        <v/>
      </c>
    </row>
    <row r="293">
      <c r="J293">
        <f>IFERROR(IF(NOT(ISNUMBER(J292)),J292,IF(NOT(ISNUMBER(J309)),"UNKNOWN",J292*(1+J309))),"ERROR")</f>
        <v/>
      </c>
      <c r="K293">
        <f>IFERROR(IF(NOT(ISNUMBER(K292)),K292,IF(NOT(ISNUMBER(K309)),"UNKNOWN",K292*(1+K309))),"ERROR")</f>
        <v/>
      </c>
    </row>
    <row r="294">
      <c r="J294">
        <f>IFERROR(IF(J308="UNKNOWN","UNKNOWN",IF(J308=FALSE,J292,J293)),"ERROR")</f>
        <v/>
      </c>
      <c r="K294">
        <f>IFERROR(IF(K308="UNKNOWN","UNKNOWN",IF(K308=FALSE,K292,K293)),"ERROR")</f>
        <v/>
      </c>
    </row>
    <row r="295">
      <c r="J295">
        <f>IFERROR(IF(NOT(ISNUMBER(J294)),J294,IF(NOT(ISNUMBER(J311)),"UNKNOWN",IF(OR(J311&lt;0,J311&gt;=1),"ERROR",IF(J311=0,J294,J294/(1-J311))))),"ERROR")</f>
        <v/>
      </c>
      <c r="K295">
        <f>IFERROR(IF(NOT(ISNUMBER(K294)),K294,IF(NOT(ISNUMBER(K311)),"UNKNOWN",IF(OR(K311&lt;0,K311&gt;=1),"ERROR",IF(K311=0,K294,K294/(1-K311))))),"ERROR")</f>
        <v/>
      </c>
    </row>
    <row r="296">
      <c r="J296">
        <f>IF(OR(J294="ERROR",J295="ERROR"),"ERROR",IF(OR(NOT(ISNUMBER(J294)),NOT(ISNUMBER(J295))),"UNKNOWN","OK"))</f>
        <v/>
      </c>
      <c r="K296">
        <f>IF(OR(K294="ERROR",K295="ERROR"),"ERROR",IF(OR(NOT(ISNUMBER(K294)),NOT(ISNUMBER(K295))),"UNKNOWN","OK"))</f>
        <v/>
      </c>
    </row>
    <row r="297">
      <c r="J297">
        <f>IFERROR(IF(NOT(ISNUMBER(J307)),"UNKNOWN",IF(J308="UNKNOWN","UNKNOWN",IF(J308=TRUE,J307,IF(NOT(ISNUMBER(J309)),"UNKNOWN",J307*(1+J309))))),"ERROR")</f>
        <v/>
      </c>
      <c r="K297">
        <f>IFERROR(IF(NOT(ISNUMBER(K307)),"UNKNOWN",IF(K308="UNKNOWN","UNKNOWN",IF(K308=TRUE,K307,IF(NOT(ISNUMBER(K309)),"UNKNOWN",K307*(1+K309))))),"ERROR")</f>
        <v/>
      </c>
    </row>
    <row r="298">
      <c r="J298">
        <f>IFERROR(IF(NOT(ISNUMBER(J310)),"UNKNOWN",IF(J308="UNKNOWN","UNKNOWN",IF(J308=FALSE,J310,IF(NOT(ISNUMBER(J309)),"UNKNOWN",J310/(1+J309))))),"ERROR")</f>
        <v/>
      </c>
      <c r="K298">
        <f>IFERROR(IF(NOT(ISNUMBER(K310)),"UNKNOWN",IF(K308="UNKNOWN","UNKNOWN",IF(K308=FALSE,K310,IF(NOT(ISNUMBER(K309)),"UNKNOWN",K310/(1+K309))))),"ERROR")</f>
        <v/>
      </c>
    </row>
    <row r="299">
      <c r="J299">
        <f>IFERROR(IF(NOT(ISNUMBER(J310)),"UNKNOWN",IF(J308="UNKNOWN","UNKNOWN",IF(J308=TRUE,J310,IF(NOT(ISNUMBER(J309)),"UNKNOWN",J310*(1+J309))))),"ERROR")</f>
        <v/>
      </c>
      <c r="K299">
        <f>IFERROR(IF(NOT(ISNUMBER(K310)),"UNKNOWN",IF(K308="UNKNOWN","UNKNOWN",IF(K308=TRUE,K310,IF(NOT(ISNUMBER(K309)),"UNKNOWN",K310*(1+K309))))),"ERROR")</f>
        <v/>
      </c>
    </row>
    <row r="300">
      <c r="J300">
        <f>IFERROR(IF(J298="ERROR","ERROR",IF(NOT(ISNUMBER(J312)),"UNKNOWN",IF(OR(J312&lt;0,J312&gt;=1),"ERROR",IF(NOT(ISNUMBER(J298)),"UNKNOWN",IF(J315&gt;0,IF(J299="ERROR","ERROR",IF(NOT(ISNUMBER(J299)),"UNKNOWN",J298*(1-J312-$I$263)-J315*J299-$I$262)),J298*(1-J312-$I$263)-$I$262))))),"ERROR")</f>
        <v/>
      </c>
      <c r="K300">
        <f>IFERROR(IF(K298="ERROR","ERROR",IF(NOT(ISNUMBER(K312)),"UNKNOWN",IF(OR(K312&lt;0,K312&gt;=1),"ERROR",IF(NOT(ISNUMBER(K298)),"UNKNOWN",IF(K315&gt;0,IF(K299="ERROR","ERROR",IF(NOT(ISNUMBER(K299)),"UNKNOWN",K298*(1-K312-$I$263)-K315*K299-$I$262)),K298*(1-K312-$I$263)-$I$262))))),"ERROR")</f>
        <v/>
      </c>
    </row>
    <row r="301">
      <c r="J301">
        <f>IFERROR(IF(OR(J300="ERROR",J313="ERROR"),"ERROR",IF(OR(NOT(ISNUMBER(J300)),NOT(ISNUMBER(J313))),"UNKNOWN",J300-J313)),"ERROR")</f>
        <v/>
      </c>
      <c r="K301">
        <f>IFERROR(IF(OR(K300="ERROR",K313="ERROR"),"ERROR",IF(OR(NOT(ISNUMBER(K300)),NOT(ISNUMBER(K313))),"UNKNOWN",K300-K313)),"ERROR")</f>
        <v/>
      </c>
    </row>
    <row r="302">
      <c r="J302">
        <f>IF(OR(J300="ERROR",J313="ERROR",J301="ERROR"),"ERROR",IF(OR(NOT(ISNUMBER(J300)),NOT(ISNUMBER(J313)),NOT(ISNUMBER(J301))),"UNKNOWN","OK"))</f>
        <v/>
      </c>
      <c r="K302">
        <f>IF(OR(K300="ERROR",K313="ERROR",K301="ERROR"),"ERROR",IF(OR(NOT(ISNUMBER(K300)),NOT(ISNUMBER(K313)),NOT(ISNUMBER(K301))),"UNKNOWN","OK"))</f>
        <v/>
      </c>
    </row>
    <row r="303">
      <c r="J303">
        <f>IFERROR(IF(NOT(ISNUMBER(J314)),J314,IF(J314&lt;0,"ERROR",J314)),"ERROR")</f>
        <v/>
      </c>
      <c r="K303">
        <f>IFERROR(IF(NOT(ISNUMBER(K314)),K314,IF(K314&lt;0,"ERROR",K314)),"ERROR")</f>
        <v/>
      </c>
    </row>
    <row r="304">
      <c r="J304">
        <f>IFERROR(IF(OR(J287="ERROR",J303="ERROR"),"ERROR",IF(OR(NOT(ISNUMBER(J287)),NOT(ISNUMBER(J303))),"UNKNOWN",IF(J287&lt;=0,"NOT_APPLICABLE",J303/J287))),"ERROR")</f>
        <v/>
      </c>
      <c r="K304">
        <f>IFERROR(IF(OR(K287="ERROR",K303="ERROR"),"ERROR",IF(OR(NOT(ISNUMBER(K287)),NOT(ISNUMBER(K303))),"UNKNOWN",IF(K287&lt;=0,"NOT_APPLICABLE",K303/K287))),"ERROR")</f>
        <v/>
      </c>
    </row>
    <row r="305">
      <c r="J305">
        <f>IF(OR(J287="ERROR",J303="ERROR",J304="ERROR"),"ERROR",IF(OR(NOT(ISNUMBER(J287)),NOT(ISNUMBER(J303)),AND(NOT(ISNUMBER(J304)),J304&lt;&gt;"NOT_APPLICABLE")),"UNKNOWN","OK"))</f>
        <v/>
      </c>
      <c r="K305">
        <f>IF(OR(K287="ERROR",K303="ERROR",K304="ERROR"),"ERROR",IF(OR(NOT(ISNUMBER(K287)),NOT(ISNUMBER(K303)),AND(NOT(ISNUMBER(K304)),K304&lt;&gt;"NOT_APPLICABLE")),"UNKNOWN","OK"))</f>
        <v/>
      </c>
    </row>
    <row r="306">
      <c r="J306">
        <f>IF(OR(J289="ERROR",J296="ERROR",J302="ERROR",J305="ERROR"),"ERROR",IF(OR(J289="UNKNOWN",J296="UNKNOWN",J302="UNKNOWN",J305="UNKNOWN"),"INCOMPLETE","OK"))</f>
        <v/>
      </c>
      <c r="K306">
        <f>IF(OR(K289="ERROR",K296="ERROR",K302="ERROR",K305="ERROR"),"ERROR",IF(OR(K289="UNKNOWN",K296="UNKNOWN",K302="UNKNOWN",K305="UNKNOWN"),"INCOMPLETE","OK"))</f>
        <v/>
      </c>
    </row>
    <row r="307">
      <c r="J307">
        <f>IF($J$268="inherit",$I$256,IF($J$268="null","UNKNOWN",$J$269))</f>
        <v/>
      </c>
      <c r="K307">
        <f>IF($K$268="inherit",$I$256,IF($K$268="null","UNKNOWN",$K$269))</f>
        <v/>
      </c>
    </row>
    <row r="308">
      <c r="J308">
        <f>IF($J$270="inherit",$I$257,IF($J$270="null","UNKNOWN",$J$271))</f>
        <v/>
      </c>
      <c r="K308">
        <f>IF($K$270="inherit",$I$257,IF($K$270="null","UNKNOWN",$K$271))</f>
        <v/>
      </c>
    </row>
    <row r="309">
      <c r="J309">
        <f>IF($J$272="inherit",$I$258,IF($J$272="null","UNKNOWN",$J$273))</f>
        <v/>
      </c>
      <c r="K309">
        <f>IF($K$272="inherit",$I$258,IF($K$272="null","UNKNOWN",$K$273))</f>
        <v/>
      </c>
    </row>
    <row r="310">
      <c r="J310">
        <f>IF($J$274="inherit",$I$259,IF($J$274="null","UNKNOWN",$J$275))</f>
        <v/>
      </c>
      <c r="K310">
        <f>IF($K$274="inherit",$I$259,IF($K$274="null","UNKNOWN",$K$275))</f>
        <v/>
      </c>
    </row>
    <row r="311">
      <c r="J311">
        <f>IF($J$276="inherit",$I$260,IF($J$276="null","UNKNOWN",$J$277))</f>
        <v/>
      </c>
      <c r="K311">
        <f>IF($K$276="inherit",$I$260,IF($K$276="null","UNKNOWN",$K$277))</f>
        <v/>
      </c>
    </row>
    <row r="312">
      <c r="J312">
        <f>IF($J$278="inherit",$I$266,IF($J$278="null","UNKNOWN",$J$279))</f>
        <v/>
      </c>
      <c r="K312">
        <f>IF($K$278="inherit",$I$266,IF($K$278="null","UNKNOWN",$K$279))</f>
        <v/>
      </c>
    </row>
    <row r="313">
      <c r="J313">
        <f>IF($J$280="inherit",$I$261,IF($J$280="null","UNKNOWN",$J$281))</f>
        <v/>
      </c>
      <c r="K313">
        <f>IF($K$280="inherit",$I$261,IF($K$280="null","UNKNOWN",$K$281))</f>
        <v/>
      </c>
    </row>
    <row r="314">
      <c r="J314">
        <f>IF($J$282="inherit",$I$265,IF($J$282="null","UNKNOWN",$J$283))</f>
        <v/>
      </c>
      <c r="K314">
        <f>IF($K$282="inherit",$I$265,IF($K$282="null","UNKNOWN",$K$283))</f>
        <v/>
      </c>
    </row>
    <row r="315">
      <c r="J315">
        <f>IF($J$284="inherit",$I$264,IF($J$284="null","UNKNOWN",$J$285))</f>
        <v/>
      </c>
      <c r="K315">
        <f>IF($K$284="inherit",$I$264,IF($K$284="null","UNKNOWN",$K$285))</f>
        <v/>
      </c>
    </row>
    <row r="316">
      <c r="I316">
        <f>IFERROR(MATCH($I$267,$J$267:$K$267,0),0)</f>
        <v/>
      </c>
    </row>
    <row r="317">
      <c r="J317">
        <f>IF(I316=0,"ERROR",IF(OR($J$286="ERROR",INDEX($J$286:$K$286,1,I316)="ERROR"),"ERROR",IF(OR($J$286="UNKNOWN",INDEX($J$286:$K$286,1,I316)="UNKNOWN"),"UNKNOWN",IF(OR($J$286="NOT_APPLICABLE",INDEX($J$286:$K$286,1,I316)="NOT_APPLICABLE"),"NOT_APPLICABLE",$J$286-INDEX($J$286:$K$286,1,I316)))))</f>
        <v/>
      </c>
      <c r="K317">
        <f>IF(I316=0,"ERROR",IF(OR($K$286="ERROR",INDEX($J$286:$K$286,1,I316)="ERROR"),"ERROR",IF(OR($K$286="UNKNOWN",INDEX($J$286:$K$286,1,I316)="UNKNOWN"),"UNKNOWN",IF(OR($K$286="NOT_APPLICABLE",INDEX($J$286:$K$286,1,I316)="NOT_APPLICABLE"),"NOT_APPLICABLE",$K$286-INDEX($J$286:$K$286,1,I316)))))</f>
        <v/>
      </c>
    </row>
    <row r="318">
      <c r="J318">
        <f>IF(I316=0,"ERROR",IF(OR($J$287="ERROR",INDEX($J$287:$K$287,1,I316)="ERROR"),"ERROR",IF(OR($J$287="UNKNOWN",INDEX($J$287:$K$287,1,I316)="UNKNOWN"),"UNKNOWN",IF(OR($J$287="NOT_APPLICABLE",INDEX($J$287:$K$287,1,I316)="NOT_APPLICABLE"),"NOT_APPLICABLE",$J$287-INDEX($J$287:$K$287,1,I316)))))</f>
        <v/>
      </c>
      <c r="K318">
        <f>IF(I316=0,"ERROR",IF(OR($K$287="ERROR",INDEX($J$287:$K$287,1,I316)="ERROR"),"ERROR",IF(OR($K$287="UNKNOWN",INDEX($J$287:$K$287,1,I316)="UNKNOWN"),"UNKNOWN",IF(OR($K$287="NOT_APPLICABLE",INDEX($J$287:$K$287,1,I316)="NOT_APPLICABLE"),"NOT_APPLICABLE",$K$287-INDEX($J$287:$K$287,1,I316)))))</f>
        <v/>
      </c>
    </row>
    <row r="319">
      <c r="J319">
        <f>IF(I316=0,"ERROR",IF(OR($J$288="ERROR",INDEX($J$288:$K$288,1,I316)="ERROR"),"ERROR",IF(OR($J$288="UNKNOWN",INDEX($J$288:$K$288,1,I316)="UNKNOWN"),"UNKNOWN",IF(OR($J$288="NOT_APPLICABLE",INDEX($J$288:$K$288,1,I316)="NOT_APPLICABLE"),"NOT_APPLICABLE",$J$288-INDEX($J$288:$K$288,1,I316)))))</f>
        <v/>
      </c>
      <c r="K319">
        <f>IF(I316=0,"ERROR",IF(OR($K$288="ERROR",INDEX($J$288:$K$288,1,I316)="ERROR"),"ERROR",IF(OR($K$288="UNKNOWN",INDEX($J$288:$K$288,1,I316)="UNKNOWN"),"UNKNOWN",IF(OR($K$288="NOT_APPLICABLE",INDEX($J$288:$K$288,1,I316)="NOT_APPLICABLE"),"NOT_APPLICABLE",$K$288-INDEX($J$288:$K$288,1,I316)))))</f>
        <v/>
      </c>
    </row>
    <row r="320">
      <c r="J320">
        <f>IF(I316=0,"ERROR",IF(OR($J$304="ERROR",INDEX($J$304:$K$304,1,I316)="ERROR"),"ERROR",IF(OR($J$304="UNKNOWN",INDEX($J$304:$K$304,1,I316)="UNKNOWN"),"UNKNOWN",IF(OR($J$304="NOT_APPLICABLE",INDEX($J$304:$K$304,1,I316)="NOT_APPLICABLE"),"NOT_APPLICABLE",$J$304-INDEX($J$304:$K$304,1,I316)))))</f>
        <v/>
      </c>
      <c r="K320">
        <f>IF(I316=0,"ERROR",IF(OR($K$304="ERROR",INDEX($J$304:$K$304,1,I316)="ERROR"),"ERROR",IF(OR($K$304="UNKNOWN",INDEX($J$304:$K$304,1,I316)="UNKNOWN"),"UNKNOWN",IF(OR($K$304="NOT_APPLICABLE",INDEX($J$304:$K$304,1,I316)="NOT_APPLICABLE"),"NOT_APPLICABLE",$K$304-INDEX($J$304:$K$304,1,I316)))))</f>
        <v/>
      </c>
    </row>
    <row r="322">
      <c r="B322" s="8" t="inlineStr">
        <is>
          <t>Scenario A: scenario_status</t>
        </is>
      </c>
      <c r="C322" s="16">
        <f>J306</f>
        <v/>
      </c>
      <c r="D322" s="38" t="inlineStr">
        <is>
          <t>OK</t>
        </is>
      </c>
      <c r="F322" s="15">
        <f>IF(J306=D322,"PASS","FAIL")</f>
        <v/>
      </c>
    </row>
    <row r="323">
      <c r="B323" s="8" t="inlineStr">
        <is>
          <t>Scenario A: contribution_margin</t>
        </is>
      </c>
      <c r="C323" s="25">
        <f>J287</f>
        <v/>
      </c>
      <c r="D323" s="42" t="n">
        <v>500</v>
      </c>
      <c r="E323" s="26">
        <f>IF(ISNUMBER(D323),IF(ISNUMBER(J287),ABS(J287-D323),"N/A"),"N/A")</f>
        <v/>
      </c>
      <c r="F323" s="15">
        <f>IFERROR(IF(ISNUMBER(D323),IF(ISNUMBER(J287),IF(ABS(J287-D323)&lt;=0.01,"PASS","FAIL"),"FAIL"),IF(NOT(ISNUMBER(J287)),IF(J287=D323,"PASS","FAIL"),"FAIL")),"FAIL")</f>
        <v/>
      </c>
    </row>
    <row r="324">
      <c r="B324" s="8" t="inlineStr">
        <is>
          <t>Scenario A: break_even_quantity_exact</t>
        </is>
      </c>
      <c r="C324" s="25">
        <f>J304</f>
        <v/>
      </c>
      <c r="D324" s="42" t="n">
        <v>100</v>
      </c>
      <c r="E324" s="26">
        <f>IF(ISNUMBER(D324),IF(ISNUMBER(J304),ABS(J304-D324),"N/A"),"N/A")</f>
        <v/>
      </c>
      <c r="F324" s="15">
        <f>IFERROR(IF(ISNUMBER(D324),IF(ISNUMBER(J304),IF(ABS(J304-D324)&lt;=0.01,"PASS","FAIL"),"FAIL"),IF(NOT(ISNUMBER(J304)),IF(J304=D324,"PASS","FAIL"),"FAIL")),"FAIL")</f>
        <v/>
      </c>
    </row>
    <row r="325">
      <c r="B325" s="8" t="inlineStr">
        <is>
          <t>Scenario A: net_sales_ex_vat_delta</t>
        </is>
      </c>
      <c r="C325" s="43">
        <f>J317</f>
        <v/>
      </c>
      <c r="D325" s="44" t="n">
        <v>0</v>
      </c>
      <c r="F325" s="15">
        <f>IFERROR(IF(ISNUMBER(D325),IF(ISNUMBER(J317),IF(ABS(J317-D325)&lt;=0.01,"PASS","FAIL"),"FAIL"),IF(NOT(ISNUMBER(J317)),IF(J317=D325,"PASS","FAIL"),"FAIL")),"FAIL")</f>
        <v/>
      </c>
    </row>
    <row r="326">
      <c r="B326" s="8" t="inlineStr">
        <is>
          <t>Scenario A: contribution_margin_delta</t>
        </is>
      </c>
      <c r="C326" s="43">
        <f>J318</f>
        <v/>
      </c>
      <c r="D326" s="44" t="n">
        <v>0</v>
      </c>
      <c r="F326" s="15">
        <f>IFERROR(IF(ISNUMBER(D326),IF(ISNUMBER(J318),IF(ABS(J318-D326)&lt;=0.01,"PASS","FAIL"),"FAIL"),IF(NOT(ISNUMBER(J318)),IF(J318=D326,"PASS","FAIL"),"FAIL")),"FAIL")</f>
        <v/>
      </c>
    </row>
    <row r="327">
      <c r="B327" s="8" t="inlineStr">
        <is>
          <t>Scenario A: contribution_margin_rate_delta</t>
        </is>
      </c>
      <c r="C327" s="43">
        <f>J319</f>
        <v/>
      </c>
      <c r="D327" s="44" t="n">
        <v>0</v>
      </c>
      <c r="F327" s="15">
        <f>IFERROR(IF(ISNUMBER(D327),IF(ISNUMBER(J319),IF(ABS(J319-D327)&lt;=0.01,"PASS","FAIL"),"FAIL"),IF(NOT(ISNUMBER(J319)),IF(J319=D327,"PASS","FAIL"),"FAIL")),"FAIL")</f>
        <v/>
      </c>
    </row>
    <row r="328">
      <c r="B328" s="8" t="inlineStr">
        <is>
          <t>Scenario A: break_even_quantity_delta</t>
        </is>
      </c>
      <c r="C328" s="43">
        <f>J320</f>
        <v/>
      </c>
      <c r="D328" s="44" t="n">
        <v>0</v>
      </c>
      <c r="F328" s="15">
        <f>IFERROR(IF(ISNUMBER(D328),IF(ISNUMBER(J320),IF(ABS(J320-D328)&lt;=0.01,"PASS","FAIL"),"FAIL"),IF(NOT(ISNUMBER(J320)),IF(J320=D328,"PASS","FAIL"),"FAIL")),"FAIL")</f>
        <v/>
      </c>
    </row>
    <row r="329">
      <c r="B329" s="8" t="inlineStr">
        <is>
          <t>Scenario B: scenario_status</t>
        </is>
      </c>
      <c r="C329" s="16">
        <f>K306</f>
        <v/>
      </c>
      <c r="D329" s="38" t="inlineStr">
        <is>
          <t>OK</t>
        </is>
      </c>
      <c r="F329" s="15">
        <f>IF(K306=D329,"PASS","FAIL")</f>
        <v/>
      </c>
    </row>
    <row r="330">
      <c r="B330" s="8" t="inlineStr">
        <is>
          <t>Scenario B: contribution_margin</t>
        </is>
      </c>
      <c r="C330" s="25">
        <f>K287</f>
        <v/>
      </c>
      <c r="D330" s="42" t="n">
        <v>600</v>
      </c>
      <c r="E330" s="26">
        <f>IF(ISNUMBER(D330),IF(ISNUMBER(K287),ABS(K287-D330),"N/A"),"N/A")</f>
        <v/>
      </c>
      <c r="F330" s="15">
        <f>IFERROR(IF(ISNUMBER(D330),IF(ISNUMBER(K287),IF(ABS(K287-D330)&lt;=0.01,"PASS","FAIL"),"FAIL"),IF(NOT(ISNUMBER(K287)),IF(K287=D330,"PASS","FAIL"),"FAIL")),"FAIL")</f>
        <v/>
      </c>
    </row>
    <row r="331">
      <c r="B331" s="8" t="inlineStr">
        <is>
          <t>Scenario B: break_even_quantity_exact</t>
        </is>
      </c>
      <c r="C331" s="25">
        <f>K304</f>
        <v/>
      </c>
      <c r="D331" s="42" t="n">
        <v>83.33333333333333</v>
      </c>
      <c r="E331" s="26">
        <f>IF(ISNUMBER(D331),IF(ISNUMBER(K304),ABS(K304-D331),"N/A"),"N/A")</f>
        <v/>
      </c>
      <c r="F331" s="15">
        <f>IFERROR(IF(ISNUMBER(D331),IF(ISNUMBER(K304),IF(ABS(K304-D331)&lt;=0.01,"PASS","FAIL"),"FAIL"),IF(NOT(ISNUMBER(K304)),IF(K304=D331,"PASS","FAIL"),"FAIL")),"FAIL")</f>
        <v/>
      </c>
    </row>
    <row r="332">
      <c r="B332" s="8" t="inlineStr">
        <is>
          <t>Scenario B: net_sales_ex_vat_delta</t>
        </is>
      </c>
      <c r="C332" s="43">
        <f>K317</f>
        <v/>
      </c>
      <c r="D332" s="44" t="n">
        <v>0</v>
      </c>
      <c r="F332" s="15">
        <f>IFERROR(IF(ISNUMBER(D332),IF(ISNUMBER(K317),IF(ABS(K317-D332)&lt;=0.01,"PASS","FAIL"),"FAIL"),IF(NOT(ISNUMBER(K317)),IF(K317=D332,"PASS","FAIL"),"FAIL")),"FAIL")</f>
        <v/>
      </c>
    </row>
    <row r="333">
      <c r="B333" s="8" t="inlineStr">
        <is>
          <t>Scenario B: contribution_margin_delta</t>
        </is>
      </c>
      <c r="C333" s="43">
        <f>K318</f>
        <v/>
      </c>
      <c r="D333" s="44" t="n">
        <v>100</v>
      </c>
      <c r="F333" s="15">
        <f>IFERROR(IF(ISNUMBER(D333),IF(ISNUMBER(K318),IF(ABS(K318-D333)&lt;=0.01,"PASS","FAIL"),"FAIL"),IF(NOT(ISNUMBER(K318)),IF(K318=D333,"PASS","FAIL"),"FAIL")),"FAIL")</f>
        <v/>
      </c>
    </row>
    <row r="334">
      <c r="B334" s="8" t="inlineStr">
        <is>
          <t>Scenario B: contribution_margin_rate_delta</t>
        </is>
      </c>
      <c r="C334" s="43">
        <f>K319</f>
        <v/>
      </c>
      <c r="D334" s="44" t="n">
        <v>0.09999999999999998</v>
      </c>
      <c r="F334" s="15">
        <f>IFERROR(IF(ISNUMBER(D334),IF(ISNUMBER(K319),IF(ABS(K319-D334)&lt;=0.01,"PASS","FAIL"),"FAIL"),IF(NOT(ISNUMBER(K319)),IF(K319=D334,"PASS","FAIL"),"FAIL")),"FAIL")</f>
        <v/>
      </c>
    </row>
    <row r="335">
      <c r="B335" s="8" t="inlineStr">
        <is>
          <t>Scenario B: break_even_quantity_delta</t>
        </is>
      </c>
      <c r="C335" s="43">
        <f>K320</f>
        <v/>
      </c>
      <c r="D335" s="44" t="n">
        <v>-16.66666666666667</v>
      </c>
      <c r="F335" s="15">
        <f>IFERROR(IF(ISNUMBER(D335),IF(ISNUMBER(K320),IF(ABS(K320-D335)&lt;=0.01,"PASS","FAIL"),"FAIL"),IF(NOT(ISNUMBER(K320)),IF(K320=D335,"PASS","FAIL"),"FAIL")),"FAIL")</f>
        <v/>
      </c>
    </row>
    <row r="337" ht="20" customHeight="1">
      <c r="B337" s="2" t="inlineStr">
        <is>
          <t>TC5. Gross-payment fee increase</t>
        </is>
      </c>
      <c r="C337" s="7" t="n"/>
      <c r="D337" s="7" t="n"/>
      <c r="E337" s="7" t="n"/>
      <c r="F337" s="7" t="n"/>
    </row>
    <row r="338">
      <c r="B338" s="4" t="inlineStr">
        <is>
          <t>Check</t>
        </is>
      </c>
      <c r="C338" s="4" t="inlineStr">
        <is>
          <t>Excel Result</t>
        </is>
      </c>
      <c r="D338" s="4" t="inlineStr">
        <is>
          <t>Python Reference</t>
        </is>
      </c>
      <c r="E338" s="4" t="inlineStr">
        <is>
          <t>Difference</t>
        </is>
      </c>
      <c r="F338" s="4" t="inlineStr">
        <is>
          <t>PASS / FAIL</t>
        </is>
      </c>
    </row>
    <row r="339">
      <c r="I339" t="n">
        <v>1000</v>
      </c>
    </row>
    <row r="340">
      <c r="I340" t="b">
        <v>0</v>
      </c>
    </row>
    <row r="341">
      <c r="I341" t="n">
        <v>0.1</v>
      </c>
    </row>
    <row r="342">
      <c r="I342" t="n">
        <v>1000</v>
      </c>
    </row>
    <row r="343">
      <c r="I343" t="n">
        <v>0</v>
      </c>
    </row>
    <row r="344">
      <c r="I344" t="n">
        <v>400</v>
      </c>
    </row>
    <row r="345">
      <c r="I345" t="n">
        <v>100</v>
      </c>
    </row>
    <row r="346">
      <c r="I346" t="n">
        <v>0</v>
      </c>
    </row>
    <row r="347">
      <c r="I347" t="n">
        <v>0</v>
      </c>
    </row>
    <row r="348">
      <c r="I348" t="n">
        <v>50000</v>
      </c>
    </row>
    <row r="349">
      <c r="I349" t="n">
        <v>0.3</v>
      </c>
    </row>
    <row r="350">
      <c r="I350" t="inlineStr">
        <is>
          <t>A</t>
        </is>
      </c>
      <c r="J350" t="inlineStr">
        <is>
          <t>A</t>
        </is>
      </c>
      <c r="K350" t="inlineStr">
        <is>
          <t>B</t>
        </is>
      </c>
    </row>
    <row r="351">
      <c r="J351" t="inlineStr">
        <is>
          <t>inherit</t>
        </is>
      </c>
      <c r="K351" t="inlineStr">
        <is>
          <t>inherit</t>
        </is>
      </c>
    </row>
    <row r="352"/>
    <row r="353">
      <c r="J353" t="inlineStr">
        <is>
          <t>inherit</t>
        </is>
      </c>
      <c r="K353" t="inlineStr">
        <is>
          <t>inherit</t>
        </is>
      </c>
    </row>
    <row r="354"/>
    <row r="355">
      <c r="J355" t="inlineStr">
        <is>
          <t>inherit</t>
        </is>
      </c>
      <c r="K355" t="inlineStr">
        <is>
          <t>inherit</t>
        </is>
      </c>
    </row>
    <row r="356"/>
    <row r="357">
      <c r="J357" t="inlineStr">
        <is>
          <t>inherit</t>
        </is>
      </c>
      <c r="K357" t="inlineStr">
        <is>
          <t>inherit</t>
        </is>
      </c>
    </row>
    <row r="358"/>
    <row r="359">
      <c r="J359" t="inlineStr">
        <is>
          <t>inherit</t>
        </is>
      </c>
      <c r="K359" t="inlineStr">
        <is>
          <t>inherit</t>
        </is>
      </c>
    </row>
    <row r="360"/>
    <row r="361">
      <c r="J361" t="inlineStr">
        <is>
          <t>inherit</t>
        </is>
      </c>
      <c r="K361" t="inlineStr">
        <is>
          <t>inherit</t>
        </is>
      </c>
    </row>
    <row r="362"/>
    <row r="363">
      <c r="J363" t="inlineStr">
        <is>
          <t>inherit</t>
        </is>
      </c>
      <c r="K363" t="inlineStr">
        <is>
          <t>inherit</t>
        </is>
      </c>
    </row>
    <row r="364"/>
    <row r="365">
      <c r="J365" t="inlineStr">
        <is>
          <t>inherit</t>
        </is>
      </c>
      <c r="K365" t="inlineStr">
        <is>
          <t>inherit</t>
        </is>
      </c>
    </row>
    <row r="366"/>
    <row r="367">
      <c r="J367" t="inlineStr">
        <is>
          <t>inherit</t>
        </is>
      </c>
      <c r="K367" t="inlineStr">
        <is>
          <t>value</t>
        </is>
      </c>
    </row>
    <row r="368">
      <c r="K368" t="n">
        <v>0.05</v>
      </c>
    </row>
    <row r="369">
      <c r="J369">
        <f>IFERROR(IF(NOT(ISNUMBER(J390)),"UNKNOWN",IF(J391="UNKNOWN","UNKNOWN",IF(J391=FALSE,J390,IF(NOT(ISNUMBER(J392)),"UNKNOWN",J390/(1+J392))))),"ERROR")</f>
        <v/>
      </c>
      <c r="K369">
        <f>IFERROR(IF(NOT(ISNUMBER(K390)),"UNKNOWN",IF(K391="UNKNOWN","UNKNOWN",IF(K391=FALSE,K390,IF(NOT(ISNUMBER(K392)),"UNKNOWN",K390/(1+K392))))),"ERROR")</f>
        <v/>
      </c>
    </row>
    <row r="370">
      <c r="J370">
        <f>IFERROR(IF(J369="ERROR","ERROR",IF(OR(NOT(ISNUMBER(J369)),NOT(ISNUMBER(J396))),"UNKNOWN",IF(J398&gt;0,IF(J380="ERROR","ERROR",IF(NOT(ISNUMBER(J380)),"UNKNOWN",J369-J396-$I$345-$I$346*J369-J398*J380)),J369-J396-$I$345-$I$346*J369))),"ERROR")</f>
        <v/>
      </c>
      <c r="K370">
        <f>IFERROR(IF(K369="ERROR","ERROR",IF(OR(NOT(ISNUMBER(K369)),NOT(ISNUMBER(K396))),"UNKNOWN",IF(K398&gt;0,IF(K380="ERROR","ERROR",IF(NOT(ISNUMBER(K380)),"UNKNOWN",K369-K396-$I$345-$I$346*K369-K398*K380)),K369-K396-$I$345-$I$346*K369))),"ERROR")</f>
        <v/>
      </c>
    </row>
    <row r="371">
      <c r="J371">
        <f>IFERROR(IF(J370="ERROR","ERROR",IF(NOT(ISNUMBER(J370)),"UNKNOWN",IF(J369=0,"ERROR",J370/J369))),"ERROR")</f>
        <v/>
      </c>
      <c r="K371">
        <f>IFERROR(IF(K370="ERROR","ERROR",IF(NOT(ISNUMBER(K370)),"UNKNOWN",IF(K369=0,"ERROR",K370/K369))),"ERROR")</f>
        <v/>
      </c>
    </row>
    <row r="372">
      <c r="J372">
        <f>IF(OR(J369="ERROR",J370="ERROR",J371="ERROR"),"ERROR",IF(OR(NOT(ISNUMBER(J369)),NOT(ISNUMBER(J370)),NOT(ISNUMBER(J371))),"UNKNOWN","OK"))</f>
        <v/>
      </c>
      <c r="K372">
        <f>IF(OR(K369="ERROR",K370="ERROR",K371="ERROR"),"ERROR",IF(OR(NOT(ISNUMBER(K369)),NOT(ISNUMBER(K370)),NOT(ISNUMBER(K371))),"UNKNOWN","OK"))</f>
        <v/>
      </c>
    </row>
    <row r="373">
      <c r="J373">
        <f>IFERROR(IF(NOT(ISNUMBER(J396)),J396,J396+$I$345),"ERROR")</f>
        <v/>
      </c>
      <c r="K373">
        <f>IFERROR(IF(NOT(ISNUMBER(K396)),K396,K396+$I$345),"ERROR")</f>
        <v/>
      </c>
    </row>
    <row r="374">
      <c r="J374">
        <f>IFERROR(IF(NOT(ISNUMBER(J395)),"UNKNOWN",IF(OR(J395&lt;0,J395&gt;=1),"ERROR",IF(J398=0,IF(1-J395-$I$346&lt;=0,"ERROR",1-J395-$I$346),IF(NOT(ISNUMBER(J392)),"UNKNOWN",IF(1-J395-$I$346-J398*(1+J392)&lt;=0,"ERROR",1-J395-$I$346-J398*(1+J392)))))),"ERROR")</f>
        <v/>
      </c>
      <c r="K374">
        <f>IFERROR(IF(NOT(ISNUMBER(K395)),"UNKNOWN",IF(OR(K395&lt;0,K395&gt;=1),"ERROR",IF(K398=0,IF(1-K395-$I$346&lt;=0,"ERROR",1-K395-$I$346),IF(NOT(ISNUMBER(K392)),"UNKNOWN",IF(1-K395-$I$346-K398*(1+K392)&lt;=0,"ERROR",1-K395-$I$346-K398*(1+K392)))))),"ERROR")</f>
        <v/>
      </c>
    </row>
    <row r="375">
      <c r="J375">
        <f>IFERROR(IF(NOT(ISNUMBER(J373)),J373,IF(NOT(ISNUMBER(J374)),J374,J373/J374)),"ERROR")</f>
        <v/>
      </c>
      <c r="K375">
        <f>IFERROR(IF(NOT(ISNUMBER(K373)),K373,IF(NOT(ISNUMBER(K374)),K374,K373/K374)),"ERROR")</f>
        <v/>
      </c>
    </row>
    <row r="376">
      <c r="J376">
        <f>IFERROR(IF(NOT(ISNUMBER(J375)),J375,IF(NOT(ISNUMBER(J392)),"UNKNOWN",J375*(1+J392))),"ERROR")</f>
        <v/>
      </c>
      <c r="K376">
        <f>IFERROR(IF(NOT(ISNUMBER(K375)),K375,IF(NOT(ISNUMBER(K392)),"UNKNOWN",K375*(1+K392))),"ERROR")</f>
        <v/>
      </c>
    </row>
    <row r="377">
      <c r="J377">
        <f>IFERROR(IF(J391="UNKNOWN","UNKNOWN",IF(J391=FALSE,J375,J376)),"ERROR")</f>
        <v/>
      </c>
      <c r="K377">
        <f>IFERROR(IF(K391="UNKNOWN","UNKNOWN",IF(K391=FALSE,K375,K376)),"ERROR")</f>
        <v/>
      </c>
    </row>
    <row r="378">
      <c r="J378">
        <f>IFERROR(IF(NOT(ISNUMBER(J377)),J377,IF(NOT(ISNUMBER(J394)),"UNKNOWN",IF(OR(J394&lt;0,J394&gt;=1),"ERROR",IF(J394=0,J377,J377/(1-J394))))),"ERROR")</f>
        <v/>
      </c>
      <c r="K378">
        <f>IFERROR(IF(NOT(ISNUMBER(K377)),K377,IF(NOT(ISNUMBER(K394)),"UNKNOWN",IF(OR(K394&lt;0,K394&gt;=1),"ERROR",IF(K394=0,K377,K377/(1-K394))))),"ERROR")</f>
        <v/>
      </c>
    </row>
    <row r="379">
      <c r="J379">
        <f>IF(OR(J377="ERROR",J378="ERROR"),"ERROR",IF(OR(NOT(ISNUMBER(J377)),NOT(ISNUMBER(J378))),"UNKNOWN","OK"))</f>
        <v/>
      </c>
      <c r="K379">
        <f>IF(OR(K377="ERROR",K378="ERROR"),"ERROR",IF(OR(NOT(ISNUMBER(K377)),NOT(ISNUMBER(K378))),"UNKNOWN","OK"))</f>
        <v/>
      </c>
    </row>
    <row r="380">
      <c r="J380">
        <f>IFERROR(IF(NOT(ISNUMBER(J390)),"UNKNOWN",IF(J391="UNKNOWN","UNKNOWN",IF(J391=TRUE,J390,IF(NOT(ISNUMBER(J392)),"UNKNOWN",J390*(1+J392))))),"ERROR")</f>
        <v/>
      </c>
      <c r="K380">
        <f>IFERROR(IF(NOT(ISNUMBER(K390)),"UNKNOWN",IF(K391="UNKNOWN","UNKNOWN",IF(K391=TRUE,K390,IF(NOT(ISNUMBER(K392)),"UNKNOWN",K390*(1+K392))))),"ERROR")</f>
        <v/>
      </c>
    </row>
    <row r="381">
      <c r="J381">
        <f>IFERROR(IF(NOT(ISNUMBER(J393)),"UNKNOWN",IF(J391="UNKNOWN","UNKNOWN",IF(J391=FALSE,J393,IF(NOT(ISNUMBER(J392)),"UNKNOWN",J393/(1+J392))))),"ERROR")</f>
        <v/>
      </c>
      <c r="K381">
        <f>IFERROR(IF(NOT(ISNUMBER(K393)),"UNKNOWN",IF(K391="UNKNOWN","UNKNOWN",IF(K391=FALSE,K393,IF(NOT(ISNUMBER(K392)),"UNKNOWN",K393/(1+K392))))),"ERROR")</f>
        <v/>
      </c>
    </row>
    <row r="382">
      <c r="J382">
        <f>IFERROR(IF(NOT(ISNUMBER(J393)),"UNKNOWN",IF(J391="UNKNOWN","UNKNOWN",IF(J391=TRUE,J393,IF(NOT(ISNUMBER(J392)),"UNKNOWN",J393*(1+J392))))),"ERROR")</f>
        <v/>
      </c>
      <c r="K382">
        <f>IFERROR(IF(NOT(ISNUMBER(K393)),"UNKNOWN",IF(K391="UNKNOWN","UNKNOWN",IF(K391=TRUE,K393,IF(NOT(ISNUMBER(K392)),"UNKNOWN",K393*(1+K392))))),"ERROR")</f>
        <v/>
      </c>
    </row>
    <row r="383">
      <c r="J383">
        <f>IFERROR(IF(J381="ERROR","ERROR",IF(NOT(ISNUMBER(J395)),"UNKNOWN",IF(OR(J395&lt;0,J395&gt;=1),"ERROR",IF(NOT(ISNUMBER(J381)),"UNKNOWN",IF(J398&gt;0,IF(J382="ERROR","ERROR",IF(NOT(ISNUMBER(J382)),"UNKNOWN",J381*(1-J395-$I$346)-J398*J382-$I$345)),J381*(1-J395-$I$346)-$I$345))))),"ERROR")</f>
        <v/>
      </c>
      <c r="K383">
        <f>IFERROR(IF(K381="ERROR","ERROR",IF(NOT(ISNUMBER(K395)),"UNKNOWN",IF(OR(K395&lt;0,K395&gt;=1),"ERROR",IF(NOT(ISNUMBER(K381)),"UNKNOWN",IF(K398&gt;0,IF(K382="ERROR","ERROR",IF(NOT(ISNUMBER(K382)),"UNKNOWN",K381*(1-K395-$I$346)-K398*K382-$I$345)),K381*(1-K395-$I$346)-$I$345))))),"ERROR")</f>
        <v/>
      </c>
    </row>
    <row r="384">
      <c r="J384">
        <f>IFERROR(IF(OR(J383="ERROR",J396="ERROR"),"ERROR",IF(OR(NOT(ISNUMBER(J383)),NOT(ISNUMBER(J396))),"UNKNOWN",J383-J396)),"ERROR")</f>
        <v/>
      </c>
      <c r="K384">
        <f>IFERROR(IF(OR(K383="ERROR",K396="ERROR"),"ERROR",IF(OR(NOT(ISNUMBER(K383)),NOT(ISNUMBER(K396))),"UNKNOWN",K383-K396)),"ERROR")</f>
        <v/>
      </c>
    </row>
    <row r="385">
      <c r="J385">
        <f>IF(OR(J383="ERROR",J396="ERROR",J384="ERROR"),"ERROR",IF(OR(NOT(ISNUMBER(J383)),NOT(ISNUMBER(J396)),NOT(ISNUMBER(J384))),"UNKNOWN","OK"))</f>
        <v/>
      </c>
      <c r="K385">
        <f>IF(OR(K383="ERROR",K396="ERROR",K384="ERROR"),"ERROR",IF(OR(NOT(ISNUMBER(K383)),NOT(ISNUMBER(K396)),NOT(ISNUMBER(K384))),"UNKNOWN","OK"))</f>
        <v/>
      </c>
    </row>
    <row r="386">
      <c r="J386">
        <f>IFERROR(IF(NOT(ISNUMBER(J397)),J397,IF(J397&lt;0,"ERROR",J397)),"ERROR")</f>
        <v/>
      </c>
      <c r="K386">
        <f>IFERROR(IF(NOT(ISNUMBER(K397)),K397,IF(K397&lt;0,"ERROR",K397)),"ERROR")</f>
        <v/>
      </c>
    </row>
    <row r="387">
      <c r="J387">
        <f>IFERROR(IF(OR(J370="ERROR",J386="ERROR"),"ERROR",IF(OR(NOT(ISNUMBER(J370)),NOT(ISNUMBER(J386))),"UNKNOWN",IF(J370&lt;=0,"NOT_APPLICABLE",J386/J370))),"ERROR")</f>
        <v/>
      </c>
      <c r="K387">
        <f>IFERROR(IF(OR(K370="ERROR",K386="ERROR"),"ERROR",IF(OR(NOT(ISNUMBER(K370)),NOT(ISNUMBER(K386))),"UNKNOWN",IF(K370&lt;=0,"NOT_APPLICABLE",K386/K370))),"ERROR")</f>
        <v/>
      </c>
    </row>
    <row r="388">
      <c r="J388">
        <f>IF(OR(J370="ERROR",J386="ERROR",J387="ERROR"),"ERROR",IF(OR(NOT(ISNUMBER(J370)),NOT(ISNUMBER(J386)),AND(NOT(ISNUMBER(J387)),J387&lt;&gt;"NOT_APPLICABLE")),"UNKNOWN","OK"))</f>
        <v/>
      </c>
      <c r="K388">
        <f>IF(OR(K370="ERROR",K386="ERROR",K387="ERROR"),"ERROR",IF(OR(NOT(ISNUMBER(K370)),NOT(ISNUMBER(K386)),AND(NOT(ISNUMBER(K387)),K387&lt;&gt;"NOT_APPLICABLE")),"UNKNOWN","OK"))</f>
        <v/>
      </c>
    </row>
    <row r="389">
      <c r="J389">
        <f>IF(OR(J372="ERROR",J379="ERROR",J385="ERROR",J388="ERROR"),"ERROR",IF(OR(J372="UNKNOWN",J379="UNKNOWN",J385="UNKNOWN",J388="UNKNOWN"),"INCOMPLETE","OK"))</f>
        <v/>
      </c>
      <c r="K389">
        <f>IF(OR(K372="ERROR",K379="ERROR",K385="ERROR",K388="ERROR"),"ERROR",IF(OR(K372="UNKNOWN",K379="UNKNOWN",K385="UNKNOWN",K388="UNKNOWN"),"INCOMPLETE","OK"))</f>
        <v/>
      </c>
    </row>
    <row r="390">
      <c r="J390">
        <f>IF($J$351="inherit",$I$339,IF($J$351="null","UNKNOWN",$J$352))</f>
        <v/>
      </c>
      <c r="K390">
        <f>IF($K$351="inherit",$I$339,IF($K$351="null","UNKNOWN",$K$352))</f>
        <v/>
      </c>
    </row>
    <row r="391">
      <c r="J391">
        <f>IF($J$353="inherit",$I$340,IF($J$353="null","UNKNOWN",$J$354))</f>
        <v/>
      </c>
      <c r="K391">
        <f>IF($K$353="inherit",$I$340,IF($K$353="null","UNKNOWN",$K$354))</f>
        <v/>
      </c>
    </row>
    <row r="392">
      <c r="J392">
        <f>IF($J$355="inherit",$I$341,IF($J$355="null","UNKNOWN",$J$356))</f>
        <v/>
      </c>
      <c r="K392">
        <f>IF($K$355="inherit",$I$341,IF($K$355="null","UNKNOWN",$K$356))</f>
        <v/>
      </c>
    </row>
    <row r="393">
      <c r="J393">
        <f>IF($J$357="inherit",$I$342,IF($J$357="null","UNKNOWN",$J$358))</f>
        <v/>
      </c>
      <c r="K393">
        <f>IF($K$357="inherit",$I$342,IF($K$357="null","UNKNOWN",$K$358))</f>
        <v/>
      </c>
    </row>
    <row r="394">
      <c r="J394">
        <f>IF($J$359="inherit",$I$343,IF($J$359="null","UNKNOWN",$J$360))</f>
        <v/>
      </c>
      <c r="K394">
        <f>IF($K$359="inherit",$I$343,IF($K$359="null","UNKNOWN",$K$360))</f>
        <v/>
      </c>
    </row>
    <row r="395">
      <c r="J395">
        <f>IF($J$361="inherit",$I$349,IF($J$361="null","UNKNOWN",$J$362))</f>
        <v/>
      </c>
      <c r="K395">
        <f>IF($K$361="inherit",$I$349,IF($K$361="null","UNKNOWN",$K$362))</f>
        <v/>
      </c>
    </row>
    <row r="396">
      <c r="J396">
        <f>IF($J$363="inherit",$I$344,IF($J$363="null","UNKNOWN",$J$364))</f>
        <v/>
      </c>
      <c r="K396">
        <f>IF($K$363="inherit",$I$344,IF($K$363="null","UNKNOWN",$K$364))</f>
        <v/>
      </c>
    </row>
    <row r="397">
      <c r="J397">
        <f>IF($J$365="inherit",$I$348,IF($J$365="null","UNKNOWN",$J$366))</f>
        <v/>
      </c>
      <c r="K397">
        <f>IF($K$365="inherit",$I$348,IF($K$365="null","UNKNOWN",$K$366))</f>
        <v/>
      </c>
    </row>
    <row r="398">
      <c r="J398">
        <f>IF($J$367="inherit",$I$347,IF($J$367="null","UNKNOWN",$J$368))</f>
        <v/>
      </c>
      <c r="K398">
        <f>IF($K$367="inherit",$I$347,IF($K$367="null","UNKNOWN",$K$368))</f>
        <v/>
      </c>
    </row>
    <row r="399">
      <c r="I399">
        <f>IFERROR(MATCH($I$350,$J$350:$K$350,0),0)</f>
        <v/>
      </c>
    </row>
    <row r="400">
      <c r="J400">
        <f>IF(I399=0,"ERROR",IF(OR($J$369="ERROR",INDEX($J$369:$K$369,1,I399)="ERROR"),"ERROR",IF(OR($J$369="UNKNOWN",INDEX($J$369:$K$369,1,I399)="UNKNOWN"),"UNKNOWN",IF(OR($J$369="NOT_APPLICABLE",INDEX($J$369:$K$369,1,I399)="NOT_APPLICABLE"),"NOT_APPLICABLE",$J$369-INDEX($J$369:$K$369,1,I399)))))</f>
        <v/>
      </c>
      <c r="K400">
        <f>IF(I399=0,"ERROR",IF(OR($K$369="ERROR",INDEX($J$369:$K$369,1,I399)="ERROR"),"ERROR",IF(OR($K$369="UNKNOWN",INDEX($J$369:$K$369,1,I399)="UNKNOWN"),"UNKNOWN",IF(OR($K$369="NOT_APPLICABLE",INDEX($J$369:$K$369,1,I399)="NOT_APPLICABLE"),"NOT_APPLICABLE",$K$369-INDEX($J$369:$K$369,1,I399)))))</f>
        <v/>
      </c>
    </row>
    <row r="401">
      <c r="J401">
        <f>IF(I399=0,"ERROR",IF(OR($J$370="ERROR",INDEX($J$370:$K$370,1,I399)="ERROR"),"ERROR",IF(OR($J$370="UNKNOWN",INDEX($J$370:$K$370,1,I399)="UNKNOWN"),"UNKNOWN",IF(OR($J$370="NOT_APPLICABLE",INDEX($J$370:$K$370,1,I399)="NOT_APPLICABLE"),"NOT_APPLICABLE",$J$370-INDEX($J$370:$K$370,1,I399)))))</f>
        <v/>
      </c>
      <c r="K401">
        <f>IF(I399=0,"ERROR",IF(OR($K$370="ERROR",INDEX($J$370:$K$370,1,I399)="ERROR"),"ERROR",IF(OR($K$370="UNKNOWN",INDEX($J$370:$K$370,1,I399)="UNKNOWN"),"UNKNOWN",IF(OR($K$370="NOT_APPLICABLE",INDEX($J$370:$K$370,1,I399)="NOT_APPLICABLE"),"NOT_APPLICABLE",$K$370-INDEX($J$370:$K$370,1,I399)))))</f>
        <v/>
      </c>
    </row>
    <row r="402">
      <c r="J402">
        <f>IF(I399=0,"ERROR",IF(OR($J$371="ERROR",INDEX($J$371:$K$371,1,I399)="ERROR"),"ERROR",IF(OR($J$371="UNKNOWN",INDEX($J$371:$K$371,1,I399)="UNKNOWN"),"UNKNOWN",IF(OR($J$371="NOT_APPLICABLE",INDEX($J$371:$K$371,1,I399)="NOT_APPLICABLE"),"NOT_APPLICABLE",$J$371-INDEX($J$371:$K$371,1,I399)))))</f>
        <v/>
      </c>
      <c r="K402">
        <f>IF(I399=0,"ERROR",IF(OR($K$371="ERROR",INDEX($J$371:$K$371,1,I399)="ERROR"),"ERROR",IF(OR($K$371="UNKNOWN",INDEX($J$371:$K$371,1,I399)="UNKNOWN"),"UNKNOWN",IF(OR($K$371="NOT_APPLICABLE",INDEX($J$371:$K$371,1,I399)="NOT_APPLICABLE"),"NOT_APPLICABLE",$K$371-INDEX($J$371:$K$371,1,I399)))))</f>
        <v/>
      </c>
    </row>
    <row r="403">
      <c r="J403">
        <f>IF(I399=0,"ERROR",IF(OR($J$387="ERROR",INDEX($J$387:$K$387,1,I399)="ERROR"),"ERROR",IF(OR($J$387="UNKNOWN",INDEX($J$387:$K$387,1,I399)="UNKNOWN"),"UNKNOWN",IF(OR($J$387="NOT_APPLICABLE",INDEX($J$387:$K$387,1,I399)="NOT_APPLICABLE"),"NOT_APPLICABLE",$J$387-INDEX($J$387:$K$387,1,I399)))))</f>
        <v/>
      </c>
      <c r="K403">
        <f>IF(I399=0,"ERROR",IF(OR($K$387="ERROR",INDEX($J$387:$K$387,1,I399)="ERROR"),"ERROR",IF(OR($K$387="UNKNOWN",INDEX($J$387:$K$387,1,I399)="UNKNOWN"),"UNKNOWN",IF(OR($K$387="NOT_APPLICABLE",INDEX($J$387:$K$387,1,I399)="NOT_APPLICABLE"),"NOT_APPLICABLE",$K$387-INDEX($J$387:$K$387,1,I399)))))</f>
        <v/>
      </c>
    </row>
    <row r="405">
      <c r="B405" s="8" t="inlineStr">
        <is>
          <t>Scenario A: scenario_status</t>
        </is>
      </c>
      <c r="C405" s="16">
        <f>J389</f>
        <v/>
      </c>
      <c r="D405" s="38" t="inlineStr">
        <is>
          <t>OK</t>
        </is>
      </c>
      <c r="F405" s="15">
        <f>IF(J389=D405,"PASS","FAIL")</f>
        <v/>
      </c>
    </row>
    <row r="406">
      <c r="B406" s="8" t="inlineStr">
        <is>
          <t>Scenario A: contribution_margin</t>
        </is>
      </c>
      <c r="C406" s="25">
        <f>J370</f>
        <v/>
      </c>
      <c r="D406" s="42" t="n">
        <v>500</v>
      </c>
      <c r="E406" s="26">
        <f>IF(ISNUMBER(D406),IF(ISNUMBER(J370),ABS(J370-D406),"N/A"),"N/A")</f>
        <v/>
      </c>
      <c r="F406" s="15">
        <f>IFERROR(IF(ISNUMBER(D406),IF(ISNUMBER(J370),IF(ABS(J370-D406)&lt;=0.01,"PASS","FAIL"),"FAIL"),IF(NOT(ISNUMBER(J370)),IF(J370=D406,"PASS","FAIL"),"FAIL")),"FAIL")</f>
        <v/>
      </c>
    </row>
    <row r="407">
      <c r="B407" s="8" t="inlineStr">
        <is>
          <t>Scenario A: break_even_quantity_exact</t>
        </is>
      </c>
      <c r="C407" s="25">
        <f>J387</f>
        <v/>
      </c>
      <c r="D407" s="42" t="n">
        <v>100</v>
      </c>
      <c r="E407" s="26">
        <f>IF(ISNUMBER(D407),IF(ISNUMBER(J387),ABS(J387-D407),"N/A"),"N/A")</f>
        <v/>
      </c>
      <c r="F407" s="15">
        <f>IFERROR(IF(ISNUMBER(D407),IF(ISNUMBER(J387),IF(ABS(J387-D407)&lt;=0.01,"PASS","FAIL"),"FAIL"),IF(NOT(ISNUMBER(J387)),IF(J387=D407,"PASS","FAIL"),"FAIL")),"FAIL")</f>
        <v/>
      </c>
    </row>
    <row r="408">
      <c r="B408" s="8" t="inlineStr">
        <is>
          <t>Scenario A: net_sales_ex_vat_delta</t>
        </is>
      </c>
      <c r="C408" s="43">
        <f>J400</f>
        <v/>
      </c>
      <c r="D408" s="44" t="n">
        <v>0</v>
      </c>
      <c r="F408" s="15">
        <f>IFERROR(IF(ISNUMBER(D408),IF(ISNUMBER(J400),IF(ABS(J400-D408)&lt;=0.01,"PASS","FAIL"),"FAIL"),IF(NOT(ISNUMBER(J400)),IF(J400=D408,"PASS","FAIL"),"FAIL")),"FAIL")</f>
        <v/>
      </c>
    </row>
    <row r="409">
      <c r="B409" s="8" t="inlineStr">
        <is>
          <t>Scenario A: contribution_margin_delta</t>
        </is>
      </c>
      <c r="C409" s="43">
        <f>J401</f>
        <v/>
      </c>
      <c r="D409" s="44" t="n">
        <v>0</v>
      </c>
      <c r="F409" s="15">
        <f>IFERROR(IF(ISNUMBER(D409),IF(ISNUMBER(J401),IF(ABS(J401-D409)&lt;=0.01,"PASS","FAIL"),"FAIL"),IF(NOT(ISNUMBER(J401)),IF(J401=D409,"PASS","FAIL"),"FAIL")),"FAIL")</f>
        <v/>
      </c>
    </row>
    <row r="410">
      <c r="B410" s="8" t="inlineStr">
        <is>
          <t>Scenario A: contribution_margin_rate_delta</t>
        </is>
      </c>
      <c r="C410" s="43">
        <f>J402</f>
        <v/>
      </c>
      <c r="D410" s="44" t="n">
        <v>0</v>
      </c>
      <c r="F410" s="15">
        <f>IFERROR(IF(ISNUMBER(D410),IF(ISNUMBER(J402),IF(ABS(J402-D410)&lt;=0.01,"PASS","FAIL"),"FAIL"),IF(NOT(ISNUMBER(J402)),IF(J402=D410,"PASS","FAIL"),"FAIL")),"FAIL")</f>
        <v/>
      </c>
    </row>
    <row r="411">
      <c r="B411" s="8" t="inlineStr">
        <is>
          <t>Scenario A: break_even_quantity_delta</t>
        </is>
      </c>
      <c r="C411" s="43">
        <f>J403</f>
        <v/>
      </c>
      <c r="D411" s="44" t="n">
        <v>0</v>
      </c>
      <c r="F411" s="15">
        <f>IFERROR(IF(ISNUMBER(D411),IF(ISNUMBER(J403),IF(ABS(J403-D411)&lt;=0.01,"PASS","FAIL"),"FAIL"),IF(NOT(ISNUMBER(J403)),IF(J403=D411,"PASS","FAIL"),"FAIL")),"FAIL")</f>
        <v/>
      </c>
    </row>
    <row r="412">
      <c r="B412" s="8" t="inlineStr">
        <is>
          <t>Scenario B: scenario_status</t>
        </is>
      </c>
      <c r="C412" s="16">
        <f>K389</f>
        <v/>
      </c>
      <c r="D412" s="38" t="inlineStr">
        <is>
          <t>OK</t>
        </is>
      </c>
      <c r="F412" s="15">
        <f>IF(K389=D412,"PASS","FAIL")</f>
        <v/>
      </c>
    </row>
    <row r="413">
      <c r="B413" s="8" t="inlineStr">
        <is>
          <t>Scenario B: contribution_margin</t>
        </is>
      </c>
      <c r="C413" s="25">
        <f>K370</f>
        <v/>
      </c>
      <c r="D413" s="42" t="n">
        <v>445</v>
      </c>
      <c r="E413" s="26">
        <f>IF(ISNUMBER(D413),IF(ISNUMBER(K370),ABS(K370-D413),"N/A"),"N/A")</f>
        <v/>
      </c>
      <c r="F413" s="15">
        <f>IFERROR(IF(ISNUMBER(D413),IF(ISNUMBER(K370),IF(ABS(K370-D413)&lt;=0.01,"PASS","FAIL"),"FAIL"),IF(NOT(ISNUMBER(K370)),IF(K370=D413,"PASS","FAIL"),"FAIL")),"FAIL")</f>
        <v/>
      </c>
    </row>
    <row r="414">
      <c r="B414" s="8" t="inlineStr">
        <is>
          <t>Scenario B: break_even_quantity_exact</t>
        </is>
      </c>
      <c r="C414" s="25">
        <f>K387</f>
        <v/>
      </c>
      <c r="D414" s="42" t="n">
        <v>112.3595505617977</v>
      </c>
      <c r="E414" s="26">
        <f>IF(ISNUMBER(D414),IF(ISNUMBER(K387),ABS(K387-D414),"N/A"),"N/A")</f>
        <v/>
      </c>
      <c r="F414" s="15">
        <f>IFERROR(IF(ISNUMBER(D414),IF(ISNUMBER(K387),IF(ABS(K387-D414)&lt;=0.01,"PASS","FAIL"),"FAIL"),IF(NOT(ISNUMBER(K387)),IF(K387=D414,"PASS","FAIL"),"FAIL")),"FAIL")</f>
        <v/>
      </c>
    </row>
    <row r="415">
      <c r="B415" s="8" t="inlineStr">
        <is>
          <t>Scenario B: net_sales_ex_vat_delta</t>
        </is>
      </c>
      <c r="C415" s="43">
        <f>K400</f>
        <v/>
      </c>
      <c r="D415" s="44" t="n">
        <v>0</v>
      </c>
      <c r="F415" s="15">
        <f>IFERROR(IF(ISNUMBER(D415),IF(ISNUMBER(K400),IF(ABS(K400-D415)&lt;=0.01,"PASS","FAIL"),"FAIL"),IF(NOT(ISNUMBER(K400)),IF(K400=D415,"PASS","FAIL"),"FAIL")),"FAIL")</f>
        <v/>
      </c>
    </row>
    <row r="416">
      <c r="B416" s="8" t="inlineStr">
        <is>
          <t>Scenario B: contribution_margin_delta</t>
        </is>
      </c>
      <c r="C416" s="43">
        <f>K401</f>
        <v/>
      </c>
      <c r="D416" s="44" t="n">
        <v>-55</v>
      </c>
      <c r="F416" s="15">
        <f>IFERROR(IF(ISNUMBER(D416),IF(ISNUMBER(K401),IF(ABS(K401-D416)&lt;=0.01,"PASS","FAIL"),"FAIL"),IF(NOT(ISNUMBER(K401)),IF(K401=D416,"PASS","FAIL"),"FAIL")),"FAIL")</f>
        <v/>
      </c>
    </row>
    <row r="417">
      <c r="B417" s="8" t="inlineStr">
        <is>
          <t>Scenario B: contribution_margin_rate_delta</t>
        </is>
      </c>
      <c r="C417" s="43">
        <f>K402</f>
        <v/>
      </c>
      <c r="D417" s="44" t="n">
        <v>-0.05499999999999999</v>
      </c>
      <c r="F417" s="15">
        <f>IFERROR(IF(ISNUMBER(D417),IF(ISNUMBER(K402),IF(ABS(K402-D417)&lt;=0.01,"PASS","FAIL"),"FAIL"),IF(NOT(ISNUMBER(K402)),IF(K402=D417,"PASS","FAIL"),"FAIL")),"FAIL")</f>
        <v/>
      </c>
    </row>
    <row r="418">
      <c r="B418" s="8" t="inlineStr">
        <is>
          <t>Scenario B: break_even_quantity_delta</t>
        </is>
      </c>
      <c r="C418" s="43">
        <f>K403</f>
        <v/>
      </c>
      <c r="D418" s="44" t="n">
        <v>12.35955056179775</v>
      </c>
      <c r="F418" s="15">
        <f>IFERROR(IF(ISNUMBER(D418),IF(ISNUMBER(K403),IF(ABS(K403-D418)&lt;=0.01,"PASS","FAIL"),"FAIL"),IF(NOT(ISNUMBER(K403)),IF(K403=D418,"PASS","FAIL"),"FAIL")),"FAIL")</f>
        <v/>
      </c>
    </row>
    <row r="420" ht="20" customHeight="1">
      <c r="B420" s="2" t="inlineStr">
        <is>
          <t>TC6. Target CM increase</t>
        </is>
      </c>
      <c r="C420" s="7" t="n"/>
      <c r="D420" s="7" t="n"/>
      <c r="E420" s="7" t="n"/>
      <c r="F420" s="7" t="n"/>
    </row>
    <row r="421">
      <c r="B421" s="4" t="inlineStr">
        <is>
          <t>Check</t>
        </is>
      </c>
      <c r="C421" s="4" t="inlineStr">
        <is>
          <t>Excel Result</t>
        </is>
      </c>
      <c r="D421" s="4" t="inlineStr">
        <is>
          <t>Python Reference</t>
        </is>
      </c>
      <c r="E421" s="4" t="inlineStr">
        <is>
          <t>Difference</t>
        </is>
      </c>
      <c r="F421" s="4" t="inlineStr">
        <is>
          <t>PASS / FAIL</t>
        </is>
      </c>
    </row>
    <row r="422">
      <c r="I422" t="n">
        <v>1000</v>
      </c>
    </row>
    <row r="423">
      <c r="I423" t="b">
        <v>0</v>
      </c>
    </row>
    <row r="424">
      <c r="I424" t="n">
        <v>0.1</v>
      </c>
    </row>
    <row r="425">
      <c r="I425" t="n">
        <v>1000</v>
      </c>
    </row>
    <row r="426">
      <c r="I426" t="n">
        <v>0</v>
      </c>
    </row>
    <row r="427">
      <c r="I427" t="n">
        <v>400</v>
      </c>
    </row>
    <row r="428">
      <c r="I428" t="n">
        <v>100</v>
      </c>
    </row>
    <row r="429">
      <c r="I429" t="n">
        <v>0</v>
      </c>
    </row>
    <row r="430">
      <c r="I430" t="n">
        <v>0</v>
      </c>
    </row>
    <row r="431">
      <c r="I431" t="n">
        <v>50000</v>
      </c>
    </row>
    <row r="432">
      <c r="I432" t="n">
        <v>0.3</v>
      </c>
    </row>
    <row r="433">
      <c r="I433" t="inlineStr">
        <is>
          <t>A</t>
        </is>
      </c>
      <c r="J433" t="inlineStr">
        <is>
          <t>A</t>
        </is>
      </c>
      <c r="K433" t="inlineStr">
        <is>
          <t>B</t>
        </is>
      </c>
    </row>
    <row r="434">
      <c r="J434" t="inlineStr">
        <is>
          <t>inherit</t>
        </is>
      </c>
      <c r="K434" t="inlineStr">
        <is>
          <t>inherit</t>
        </is>
      </c>
    </row>
    <row r="435"/>
    <row r="436">
      <c r="J436" t="inlineStr">
        <is>
          <t>inherit</t>
        </is>
      </c>
      <c r="K436" t="inlineStr">
        <is>
          <t>inherit</t>
        </is>
      </c>
    </row>
    <row r="437"/>
    <row r="438">
      <c r="J438" t="inlineStr">
        <is>
          <t>inherit</t>
        </is>
      </c>
      <c r="K438" t="inlineStr">
        <is>
          <t>inherit</t>
        </is>
      </c>
    </row>
    <row r="439"/>
    <row r="440">
      <c r="J440" t="inlineStr">
        <is>
          <t>inherit</t>
        </is>
      </c>
      <c r="K440" t="inlineStr">
        <is>
          <t>inherit</t>
        </is>
      </c>
    </row>
    <row r="441"/>
    <row r="442">
      <c r="J442" t="inlineStr">
        <is>
          <t>inherit</t>
        </is>
      </c>
      <c r="K442" t="inlineStr">
        <is>
          <t>inherit</t>
        </is>
      </c>
    </row>
    <row r="443"/>
    <row r="444">
      <c r="J444" t="inlineStr">
        <is>
          <t>inherit</t>
        </is>
      </c>
      <c r="K444" t="inlineStr">
        <is>
          <t>value</t>
        </is>
      </c>
    </row>
    <row r="445">
      <c r="K445" t="n">
        <v>0.5</v>
      </c>
    </row>
    <row r="446">
      <c r="J446" t="inlineStr">
        <is>
          <t>inherit</t>
        </is>
      </c>
      <c r="K446" t="inlineStr">
        <is>
          <t>inherit</t>
        </is>
      </c>
    </row>
    <row r="447"/>
    <row r="448">
      <c r="J448" t="inlineStr">
        <is>
          <t>inherit</t>
        </is>
      </c>
      <c r="K448" t="inlineStr">
        <is>
          <t>inherit</t>
        </is>
      </c>
    </row>
    <row r="449"/>
    <row r="450">
      <c r="J450" t="inlineStr">
        <is>
          <t>inherit</t>
        </is>
      </c>
      <c r="K450" t="inlineStr">
        <is>
          <t>inherit</t>
        </is>
      </c>
    </row>
    <row r="451"/>
    <row r="452">
      <c r="J452">
        <f>IFERROR(IF(NOT(ISNUMBER(J473)),"UNKNOWN",IF(J474="UNKNOWN","UNKNOWN",IF(J474=FALSE,J473,IF(NOT(ISNUMBER(J475)),"UNKNOWN",J473/(1+J475))))),"ERROR")</f>
        <v/>
      </c>
      <c r="K452">
        <f>IFERROR(IF(NOT(ISNUMBER(K473)),"UNKNOWN",IF(K474="UNKNOWN","UNKNOWN",IF(K474=FALSE,K473,IF(NOT(ISNUMBER(K475)),"UNKNOWN",K473/(1+K475))))),"ERROR")</f>
        <v/>
      </c>
    </row>
    <row r="453">
      <c r="J453">
        <f>IFERROR(IF(J452="ERROR","ERROR",IF(OR(NOT(ISNUMBER(J452)),NOT(ISNUMBER(J479))),"UNKNOWN",IF(J481&gt;0,IF(J463="ERROR","ERROR",IF(NOT(ISNUMBER(J463)),"UNKNOWN",J452-J479-$I$428-$I$429*J452-J481*J463)),J452-J479-$I$428-$I$429*J452))),"ERROR")</f>
        <v/>
      </c>
      <c r="K453">
        <f>IFERROR(IF(K452="ERROR","ERROR",IF(OR(NOT(ISNUMBER(K452)),NOT(ISNUMBER(K479))),"UNKNOWN",IF(K481&gt;0,IF(K463="ERROR","ERROR",IF(NOT(ISNUMBER(K463)),"UNKNOWN",K452-K479-$I$428-$I$429*K452-K481*K463)),K452-K479-$I$428-$I$429*K452))),"ERROR")</f>
        <v/>
      </c>
    </row>
    <row r="454">
      <c r="J454">
        <f>IFERROR(IF(J453="ERROR","ERROR",IF(NOT(ISNUMBER(J453)),"UNKNOWN",IF(J452=0,"ERROR",J453/J452))),"ERROR")</f>
        <v/>
      </c>
      <c r="K454">
        <f>IFERROR(IF(K453="ERROR","ERROR",IF(NOT(ISNUMBER(K453)),"UNKNOWN",IF(K452=0,"ERROR",K453/K452))),"ERROR")</f>
        <v/>
      </c>
    </row>
    <row r="455">
      <c r="J455">
        <f>IF(OR(J452="ERROR",J453="ERROR",J454="ERROR"),"ERROR",IF(OR(NOT(ISNUMBER(J452)),NOT(ISNUMBER(J453)),NOT(ISNUMBER(J454))),"UNKNOWN","OK"))</f>
        <v/>
      </c>
      <c r="K455">
        <f>IF(OR(K452="ERROR",K453="ERROR",K454="ERROR"),"ERROR",IF(OR(NOT(ISNUMBER(K452)),NOT(ISNUMBER(K453)),NOT(ISNUMBER(K454))),"UNKNOWN","OK"))</f>
        <v/>
      </c>
    </row>
    <row r="456">
      <c r="J456">
        <f>IFERROR(IF(NOT(ISNUMBER(J479)),J479,J479+$I$428),"ERROR")</f>
        <v/>
      </c>
      <c r="K456">
        <f>IFERROR(IF(NOT(ISNUMBER(K479)),K479,K479+$I$428),"ERROR")</f>
        <v/>
      </c>
    </row>
    <row r="457">
      <c r="J457">
        <f>IFERROR(IF(NOT(ISNUMBER(J478)),"UNKNOWN",IF(OR(J478&lt;0,J478&gt;=1),"ERROR",IF(J481=0,IF(1-J478-$I$429&lt;=0,"ERROR",1-J478-$I$429),IF(NOT(ISNUMBER(J475)),"UNKNOWN",IF(1-J478-$I$429-J481*(1+J475)&lt;=0,"ERROR",1-J478-$I$429-J481*(1+J475)))))),"ERROR")</f>
        <v/>
      </c>
      <c r="K457">
        <f>IFERROR(IF(NOT(ISNUMBER(K478)),"UNKNOWN",IF(OR(K478&lt;0,K478&gt;=1),"ERROR",IF(K481=0,IF(1-K478-$I$429&lt;=0,"ERROR",1-K478-$I$429),IF(NOT(ISNUMBER(K475)),"UNKNOWN",IF(1-K478-$I$429-K481*(1+K475)&lt;=0,"ERROR",1-K478-$I$429-K481*(1+K475)))))),"ERROR")</f>
        <v/>
      </c>
    </row>
    <row r="458">
      <c r="J458">
        <f>IFERROR(IF(NOT(ISNUMBER(J456)),J456,IF(NOT(ISNUMBER(J457)),J457,J456/J457)),"ERROR")</f>
        <v/>
      </c>
      <c r="K458">
        <f>IFERROR(IF(NOT(ISNUMBER(K456)),K456,IF(NOT(ISNUMBER(K457)),K457,K456/K457)),"ERROR")</f>
        <v/>
      </c>
    </row>
    <row r="459">
      <c r="J459">
        <f>IFERROR(IF(NOT(ISNUMBER(J458)),J458,IF(NOT(ISNUMBER(J475)),"UNKNOWN",J458*(1+J475))),"ERROR")</f>
        <v/>
      </c>
      <c r="K459">
        <f>IFERROR(IF(NOT(ISNUMBER(K458)),K458,IF(NOT(ISNUMBER(K475)),"UNKNOWN",K458*(1+K475))),"ERROR")</f>
        <v/>
      </c>
    </row>
    <row r="460">
      <c r="J460">
        <f>IFERROR(IF(J474="UNKNOWN","UNKNOWN",IF(J474=FALSE,J458,J459)),"ERROR")</f>
        <v/>
      </c>
      <c r="K460">
        <f>IFERROR(IF(K474="UNKNOWN","UNKNOWN",IF(K474=FALSE,K458,K459)),"ERROR")</f>
        <v/>
      </c>
    </row>
    <row r="461">
      <c r="J461">
        <f>IFERROR(IF(NOT(ISNUMBER(J460)),J460,IF(NOT(ISNUMBER(J477)),"UNKNOWN",IF(OR(J477&lt;0,J477&gt;=1),"ERROR",IF(J477=0,J460,J460/(1-J477))))),"ERROR")</f>
        <v/>
      </c>
      <c r="K461">
        <f>IFERROR(IF(NOT(ISNUMBER(K460)),K460,IF(NOT(ISNUMBER(K477)),"UNKNOWN",IF(OR(K477&lt;0,K477&gt;=1),"ERROR",IF(K477=0,K460,K460/(1-K477))))),"ERROR")</f>
        <v/>
      </c>
    </row>
    <row r="462">
      <c r="J462">
        <f>IF(OR(J460="ERROR",J461="ERROR"),"ERROR",IF(OR(NOT(ISNUMBER(J460)),NOT(ISNUMBER(J461))),"UNKNOWN","OK"))</f>
        <v/>
      </c>
      <c r="K462">
        <f>IF(OR(K460="ERROR",K461="ERROR"),"ERROR",IF(OR(NOT(ISNUMBER(K460)),NOT(ISNUMBER(K461))),"UNKNOWN","OK"))</f>
        <v/>
      </c>
    </row>
    <row r="463">
      <c r="J463">
        <f>IFERROR(IF(NOT(ISNUMBER(J473)),"UNKNOWN",IF(J474="UNKNOWN","UNKNOWN",IF(J474=TRUE,J473,IF(NOT(ISNUMBER(J475)),"UNKNOWN",J473*(1+J475))))),"ERROR")</f>
        <v/>
      </c>
      <c r="K463">
        <f>IFERROR(IF(NOT(ISNUMBER(K473)),"UNKNOWN",IF(K474="UNKNOWN","UNKNOWN",IF(K474=TRUE,K473,IF(NOT(ISNUMBER(K475)),"UNKNOWN",K473*(1+K475))))),"ERROR")</f>
        <v/>
      </c>
    </row>
    <row r="464">
      <c r="J464">
        <f>IFERROR(IF(NOT(ISNUMBER(J476)),"UNKNOWN",IF(J474="UNKNOWN","UNKNOWN",IF(J474=FALSE,J476,IF(NOT(ISNUMBER(J475)),"UNKNOWN",J476/(1+J475))))),"ERROR")</f>
        <v/>
      </c>
      <c r="K464">
        <f>IFERROR(IF(NOT(ISNUMBER(K476)),"UNKNOWN",IF(K474="UNKNOWN","UNKNOWN",IF(K474=FALSE,K476,IF(NOT(ISNUMBER(K475)),"UNKNOWN",K476/(1+K475))))),"ERROR")</f>
        <v/>
      </c>
    </row>
    <row r="465">
      <c r="J465">
        <f>IFERROR(IF(NOT(ISNUMBER(J476)),"UNKNOWN",IF(J474="UNKNOWN","UNKNOWN",IF(J474=TRUE,J476,IF(NOT(ISNUMBER(J475)),"UNKNOWN",J476*(1+J475))))),"ERROR")</f>
        <v/>
      </c>
      <c r="K465">
        <f>IFERROR(IF(NOT(ISNUMBER(K476)),"UNKNOWN",IF(K474="UNKNOWN","UNKNOWN",IF(K474=TRUE,K476,IF(NOT(ISNUMBER(K475)),"UNKNOWN",K476*(1+K475))))),"ERROR")</f>
        <v/>
      </c>
    </row>
    <row r="466">
      <c r="J466">
        <f>IFERROR(IF(J464="ERROR","ERROR",IF(NOT(ISNUMBER(J478)),"UNKNOWN",IF(OR(J478&lt;0,J478&gt;=1),"ERROR",IF(NOT(ISNUMBER(J464)),"UNKNOWN",IF(J481&gt;0,IF(J465="ERROR","ERROR",IF(NOT(ISNUMBER(J465)),"UNKNOWN",J464*(1-J478-$I$429)-J481*J465-$I$428)),J464*(1-J478-$I$429)-$I$428))))),"ERROR")</f>
        <v/>
      </c>
      <c r="K466">
        <f>IFERROR(IF(K464="ERROR","ERROR",IF(NOT(ISNUMBER(K478)),"UNKNOWN",IF(OR(K478&lt;0,K478&gt;=1),"ERROR",IF(NOT(ISNUMBER(K464)),"UNKNOWN",IF(K481&gt;0,IF(K465="ERROR","ERROR",IF(NOT(ISNUMBER(K465)),"UNKNOWN",K464*(1-K478-$I$429)-K481*K465-$I$428)),K464*(1-K478-$I$429)-$I$428))))),"ERROR")</f>
        <v/>
      </c>
    </row>
    <row r="467">
      <c r="J467">
        <f>IFERROR(IF(OR(J466="ERROR",J479="ERROR"),"ERROR",IF(OR(NOT(ISNUMBER(J466)),NOT(ISNUMBER(J479))),"UNKNOWN",J466-J479)),"ERROR")</f>
        <v/>
      </c>
      <c r="K467">
        <f>IFERROR(IF(OR(K466="ERROR",K479="ERROR"),"ERROR",IF(OR(NOT(ISNUMBER(K466)),NOT(ISNUMBER(K479))),"UNKNOWN",K466-K479)),"ERROR")</f>
        <v/>
      </c>
    </row>
    <row r="468">
      <c r="J468">
        <f>IF(OR(J466="ERROR",J479="ERROR",J467="ERROR"),"ERROR",IF(OR(NOT(ISNUMBER(J466)),NOT(ISNUMBER(J479)),NOT(ISNUMBER(J467))),"UNKNOWN","OK"))</f>
        <v/>
      </c>
      <c r="K468">
        <f>IF(OR(K466="ERROR",K479="ERROR",K467="ERROR"),"ERROR",IF(OR(NOT(ISNUMBER(K466)),NOT(ISNUMBER(K479)),NOT(ISNUMBER(K467))),"UNKNOWN","OK"))</f>
        <v/>
      </c>
    </row>
    <row r="469">
      <c r="J469">
        <f>IFERROR(IF(NOT(ISNUMBER(J480)),J480,IF(J480&lt;0,"ERROR",J480)),"ERROR")</f>
        <v/>
      </c>
      <c r="K469">
        <f>IFERROR(IF(NOT(ISNUMBER(K480)),K480,IF(K480&lt;0,"ERROR",K480)),"ERROR")</f>
        <v/>
      </c>
    </row>
    <row r="470">
      <c r="J470">
        <f>IFERROR(IF(OR(J453="ERROR",J469="ERROR"),"ERROR",IF(OR(NOT(ISNUMBER(J453)),NOT(ISNUMBER(J469))),"UNKNOWN",IF(J453&lt;=0,"NOT_APPLICABLE",J469/J453))),"ERROR")</f>
        <v/>
      </c>
      <c r="K470">
        <f>IFERROR(IF(OR(K453="ERROR",K469="ERROR"),"ERROR",IF(OR(NOT(ISNUMBER(K453)),NOT(ISNUMBER(K469))),"UNKNOWN",IF(K453&lt;=0,"NOT_APPLICABLE",K469/K453))),"ERROR")</f>
        <v/>
      </c>
    </row>
    <row r="471">
      <c r="J471">
        <f>IF(OR(J453="ERROR",J469="ERROR",J470="ERROR"),"ERROR",IF(OR(NOT(ISNUMBER(J453)),NOT(ISNUMBER(J469)),AND(NOT(ISNUMBER(J470)),J470&lt;&gt;"NOT_APPLICABLE")),"UNKNOWN","OK"))</f>
        <v/>
      </c>
      <c r="K471">
        <f>IF(OR(K453="ERROR",K469="ERROR",K470="ERROR"),"ERROR",IF(OR(NOT(ISNUMBER(K453)),NOT(ISNUMBER(K469)),AND(NOT(ISNUMBER(K470)),K470&lt;&gt;"NOT_APPLICABLE")),"UNKNOWN","OK"))</f>
        <v/>
      </c>
    </row>
    <row r="472">
      <c r="J472">
        <f>IF(OR(J455="ERROR",J462="ERROR",J468="ERROR",J471="ERROR"),"ERROR",IF(OR(J455="UNKNOWN",J462="UNKNOWN",J468="UNKNOWN",J471="UNKNOWN"),"INCOMPLETE","OK"))</f>
        <v/>
      </c>
      <c r="K472">
        <f>IF(OR(K455="ERROR",K462="ERROR",K468="ERROR",K471="ERROR"),"ERROR",IF(OR(K455="UNKNOWN",K462="UNKNOWN",K468="UNKNOWN",K471="UNKNOWN"),"INCOMPLETE","OK"))</f>
        <v/>
      </c>
    </row>
    <row r="473">
      <c r="J473">
        <f>IF($J$434="inherit",$I$422,IF($J$434="null","UNKNOWN",$J$435))</f>
        <v/>
      </c>
      <c r="K473">
        <f>IF($K$434="inherit",$I$422,IF($K$434="null","UNKNOWN",$K$435))</f>
        <v/>
      </c>
    </row>
    <row r="474">
      <c r="J474">
        <f>IF($J$436="inherit",$I$423,IF($J$436="null","UNKNOWN",$J$437))</f>
        <v/>
      </c>
      <c r="K474">
        <f>IF($K$436="inherit",$I$423,IF($K$436="null","UNKNOWN",$K$437))</f>
        <v/>
      </c>
    </row>
    <row r="475">
      <c r="J475">
        <f>IF($J$438="inherit",$I$424,IF($J$438="null","UNKNOWN",$J$439))</f>
        <v/>
      </c>
      <c r="K475">
        <f>IF($K$438="inherit",$I$424,IF($K$438="null","UNKNOWN",$K$439))</f>
        <v/>
      </c>
    </row>
    <row r="476">
      <c r="J476">
        <f>IF($J$440="inherit",$I$425,IF($J$440="null","UNKNOWN",$J$441))</f>
        <v/>
      </c>
      <c r="K476">
        <f>IF($K$440="inherit",$I$425,IF($K$440="null","UNKNOWN",$K$441))</f>
        <v/>
      </c>
    </row>
    <row r="477">
      <c r="J477">
        <f>IF($J$442="inherit",$I$426,IF($J$442="null","UNKNOWN",$J$443))</f>
        <v/>
      </c>
      <c r="K477">
        <f>IF($K$442="inherit",$I$426,IF($K$442="null","UNKNOWN",$K$443))</f>
        <v/>
      </c>
    </row>
    <row r="478">
      <c r="J478">
        <f>IF($J$444="inherit",$I$432,IF($J$444="null","UNKNOWN",$J$445))</f>
        <v/>
      </c>
      <c r="K478">
        <f>IF($K$444="inherit",$I$432,IF($K$444="null","UNKNOWN",$K$445))</f>
        <v/>
      </c>
    </row>
    <row r="479">
      <c r="J479">
        <f>IF($J$446="inherit",$I$427,IF($J$446="null","UNKNOWN",$J$447))</f>
        <v/>
      </c>
      <c r="K479">
        <f>IF($K$446="inherit",$I$427,IF($K$446="null","UNKNOWN",$K$447))</f>
        <v/>
      </c>
    </row>
    <row r="480">
      <c r="J480">
        <f>IF($J$448="inherit",$I$431,IF($J$448="null","UNKNOWN",$J$449))</f>
        <v/>
      </c>
      <c r="K480">
        <f>IF($K$448="inherit",$I$431,IF($K$448="null","UNKNOWN",$K$449))</f>
        <v/>
      </c>
    </row>
    <row r="481">
      <c r="J481">
        <f>IF($J$450="inherit",$I$430,IF($J$450="null","UNKNOWN",$J$451))</f>
        <v/>
      </c>
      <c r="K481">
        <f>IF($K$450="inherit",$I$430,IF($K$450="null","UNKNOWN",$K$451))</f>
        <v/>
      </c>
    </row>
    <row r="482">
      <c r="I482">
        <f>IFERROR(MATCH($I$433,$J$433:$K$433,0),0)</f>
        <v/>
      </c>
    </row>
    <row r="483">
      <c r="J483">
        <f>IF(I482=0,"ERROR",IF(OR($J$452="ERROR",INDEX($J$452:$K$452,1,I482)="ERROR"),"ERROR",IF(OR($J$452="UNKNOWN",INDEX($J$452:$K$452,1,I482)="UNKNOWN"),"UNKNOWN",IF(OR($J$452="NOT_APPLICABLE",INDEX($J$452:$K$452,1,I482)="NOT_APPLICABLE"),"NOT_APPLICABLE",$J$452-INDEX($J$452:$K$452,1,I482)))))</f>
        <v/>
      </c>
      <c r="K483">
        <f>IF(I482=0,"ERROR",IF(OR($K$452="ERROR",INDEX($J$452:$K$452,1,I482)="ERROR"),"ERROR",IF(OR($K$452="UNKNOWN",INDEX($J$452:$K$452,1,I482)="UNKNOWN"),"UNKNOWN",IF(OR($K$452="NOT_APPLICABLE",INDEX($J$452:$K$452,1,I482)="NOT_APPLICABLE"),"NOT_APPLICABLE",$K$452-INDEX($J$452:$K$452,1,I482)))))</f>
        <v/>
      </c>
    </row>
    <row r="484">
      <c r="J484">
        <f>IF(I482=0,"ERROR",IF(OR($J$453="ERROR",INDEX($J$453:$K$453,1,I482)="ERROR"),"ERROR",IF(OR($J$453="UNKNOWN",INDEX($J$453:$K$453,1,I482)="UNKNOWN"),"UNKNOWN",IF(OR($J$453="NOT_APPLICABLE",INDEX($J$453:$K$453,1,I482)="NOT_APPLICABLE"),"NOT_APPLICABLE",$J$453-INDEX($J$453:$K$453,1,I482)))))</f>
        <v/>
      </c>
      <c r="K484">
        <f>IF(I482=0,"ERROR",IF(OR($K$453="ERROR",INDEX($J$453:$K$453,1,I482)="ERROR"),"ERROR",IF(OR($K$453="UNKNOWN",INDEX($J$453:$K$453,1,I482)="UNKNOWN"),"UNKNOWN",IF(OR($K$453="NOT_APPLICABLE",INDEX($J$453:$K$453,1,I482)="NOT_APPLICABLE"),"NOT_APPLICABLE",$K$453-INDEX($J$453:$K$453,1,I482)))))</f>
        <v/>
      </c>
    </row>
    <row r="485">
      <c r="J485">
        <f>IF(I482=0,"ERROR",IF(OR($J$454="ERROR",INDEX($J$454:$K$454,1,I482)="ERROR"),"ERROR",IF(OR($J$454="UNKNOWN",INDEX($J$454:$K$454,1,I482)="UNKNOWN"),"UNKNOWN",IF(OR($J$454="NOT_APPLICABLE",INDEX($J$454:$K$454,1,I482)="NOT_APPLICABLE"),"NOT_APPLICABLE",$J$454-INDEX($J$454:$K$454,1,I482)))))</f>
        <v/>
      </c>
      <c r="K485">
        <f>IF(I482=0,"ERROR",IF(OR($K$454="ERROR",INDEX($J$454:$K$454,1,I482)="ERROR"),"ERROR",IF(OR($K$454="UNKNOWN",INDEX($J$454:$K$454,1,I482)="UNKNOWN"),"UNKNOWN",IF(OR($K$454="NOT_APPLICABLE",INDEX($J$454:$K$454,1,I482)="NOT_APPLICABLE"),"NOT_APPLICABLE",$K$454-INDEX($J$454:$K$454,1,I482)))))</f>
        <v/>
      </c>
    </row>
    <row r="486">
      <c r="J486">
        <f>IF(I482=0,"ERROR",IF(OR($J$470="ERROR",INDEX($J$470:$K$470,1,I482)="ERROR"),"ERROR",IF(OR($J$470="UNKNOWN",INDEX($J$470:$K$470,1,I482)="UNKNOWN"),"UNKNOWN",IF(OR($J$470="NOT_APPLICABLE",INDEX($J$470:$K$470,1,I482)="NOT_APPLICABLE"),"NOT_APPLICABLE",$J$470-INDEX($J$470:$K$470,1,I482)))))</f>
        <v/>
      </c>
      <c r="K486">
        <f>IF(I482=0,"ERROR",IF(OR($K$470="ERROR",INDEX($J$470:$K$470,1,I482)="ERROR"),"ERROR",IF(OR($K$470="UNKNOWN",INDEX($J$470:$K$470,1,I482)="UNKNOWN"),"UNKNOWN",IF(OR($K$470="NOT_APPLICABLE",INDEX($J$470:$K$470,1,I482)="NOT_APPLICABLE"),"NOT_APPLICABLE",$K$470-INDEX($J$470:$K$470,1,I482)))))</f>
        <v/>
      </c>
    </row>
    <row r="488">
      <c r="B488" s="8" t="inlineStr">
        <is>
          <t>Scenario A: scenario_status</t>
        </is>
      </c>
      <c r="C488" s="16">
        <f>J472</f>
        <v/>
      </c>
      <c r="D488" s="38" t="inlineStr">
        <is>
          <t>OK</t>
        </is>
      </c>
      <c r="F488" s="15">
        <f>IF(J472=D488,"PASS","FAIL")</f>
        <v/>
      </c>
    </row>
    <row r="489">
      <c r="B489" s="8" t="inlineStr">
        <is>
          <t>Scenario A: contribution_margin</t>
        </is>
      </c>
      <c r="C489" s="25">
        <f>J453</f>
        <v/>
      </c>
      <c r="D489" s="42" t="n">
        <v>500</v>
      </c>
      <c r="E489" s="26">
        <f>IF(ISNUMBER(D489),IF(ISNUMBER(J453),ABS(J453-D489),"N/A"),"N/A")</f>
        <v/>
      </c>
      <c r="F489" s="15">
        <f>IFERROR(IF(ISNUMBER(D489),IF(ISNUMBER(J453),IF(ABS(J453-D489)&lt;=0.01,"PASS","FAIL"),"FAIL"),IF(NOT(ISNUMBER(J453)),IF(J453=D489,"PASS","FAIL"),"FAIL")),"FAIL")</f>
        <v/>
      </c>
    </row>
    <row r="490">
      <c r="B490" s="8" t="inlineStr">
        <is>
          <t>Scenario A: break_even_quantity_exact</t>
        </is>
      </c>
      <c r="C490" s="25">
        <f>J470</f>
        <v/>
      </c>
      <c r="D490" s="42" t="n">
        <v>100</v>
      </c>
      <c r="E490" s="26">
        <f>IF(ISNUMBER(D490),IF(ISNUMBER(J470),ABS(J470-D490),"N/A"),"N/A")</f>
        <v/>
      </c>
      <c r="F490" s="15">
        <f>IFERROR(IF(ISNUMBER(D490),IF(ISNUMBER(J470),IF(ABS(J470-D490)&lt;=0.01,"PASS","FAIL"),"FAIL"),IF(NOT(ISNUMBER(J470)),IF(J470=D490,"PASS","FAIL"),"FAIL")),"FAIL")</f>
        <v/>
      </c>
    </row>
    <row r="491">
      <c r="B491" s="8" t="inlineStr">
        <is>
          <t>Scenario A: net_sales_ex_vat_delta</t>
        </is>
      </c>
      <c r="C491" s="43">
        <f>J483</f>
        <v/>
      </c>
      <c r="D491" s="44" t="n">
        <v>0</v>
      </c>
      <c r="F491" s="15">
        <f>IFERROR(IF(ISNUMBER(D491),IF(ISNUMBER(J483),IF(ABS(J483-D491)&lt;=0.01,"PASS","FAIL"),"FAIL"),IF(NOT(ISNUMBER(J483)),IF(J483=D491,"PASS","FAIL"),"FAIL")),"FAIL")</f>
        <v/>
      </c>
    </row>
    <row r="492">
      <c r="B492" s="8" t="inlineStr">
        <is>
          <t>Scenario A: contribution_margin_delta</t>
        </is>
      </c>
      <c r="C492" s="43">
        <f>J484</f>
        <v/>
      </c>
      <c r="D492" s="44" t="n">
        <v>0</v>
      </c>
      <c r="F492" s="15">
        <f>IFERROR(IF(ISNUMBER(D492),IF(ISNUMBER(J484),IF(ABS(J484-D492)&lt;=0.01,"PASS","FAIL"),"FAIL"),IF(NOT(ISNUMBER(J484)),IF(J484=D492,"PASS","FAIL"),"FAIL")),"FAIL")</f>
        <v/>
      </c>
    </row>
    <row r="493">
      <c r="B493" s="8" t="inlineStr">
        <is>
          <t>Scenario A: contribution_margin_rate_delta</t>
        </is>
      </c>
      <c r="C493" s="43">
        <f>J485</f>
        <v/>
      </c>
      <c r="D493" s="44" t="n">
        <v>0</v>
      </c>
      <c r="F493" s="15">
        <f>IFERROR(IF(ISNUMBER(D493),IF(ISNUMBER(J485),IF(ABS(J485-D493)&lt;=0.01,"PASS","FAIL"),"FAIL"),IF(NOT(ISNUMBER(J485)),IF(J485=D493,"PASS","FAIL"),"FAIL")),"FAIL")</f>
        <v/>
      </c>
    </row>
    <row r="494">
      <c r="B494" s="8" t="inlineStr">
        <is>
          <t>Scenario A: break_even_quantity_delta</t>
        </is>
      </c>
      <c r="C494" s="43">
        <f>J486</f>
        <v/>
      </c>
      <c r="D494" s="44" t="n">
        <v>0</v>
      </c>
      <c r="F494" s="15">
        <f>IFERROR(IF(ISNUMBER(D494),IF(ISNUMBER(J486),IF(ABS(J486-D494)&lt;=0.01,"PASS","FAIL"),"FAIL"),IF(NOT(ISNUMBER(J486)),IF(J486=D494,"PASS","FAIL"),"FAIL")),"FAIL")</f>
        <v/>
      </c>
    </row>
    <row r="495">
      <c r="B495" s="8" t="inlineStr">
        <is>
          <t>Scenario B: scenario_status</t>
        </is>
      </c>
      <c r="C495" s="16">
        <f>K472</f>
        <v/>
      </c>
      <c r="D495" s="38" t="inlineStr">
        <is>
          <t>OK</t>
        </is>
      </c>
      <c r="F495" s="15">
        <f>IF(K472=D495,"PASS","FAIL")</f>
        <v/>
      </c>
    </row>
    <row r="496">
      <c r="B496" s="8" t="inlineStr">
        <is>
          <t>Scenario B: contribution_margin</t>
        </is>
      </c>
      <c r="C496" s="25">
        <f>K453</f>
        <v/>
      </c>
      <c r="D496" s="42" t="n">
        <v>500</v>
      </c>
      <c r="E496" s="26">
        <f>IF(ISNUMBER(D496),IF(ISNUMBER(K453),ABS(K453-D496),"N/A"),"N/A")</f>
        <v/>
      </c>
      <c r="F496" s="15">
        <f>IFERROR(IF(ISNUMBER(D496),IF(ISNUMBER(K453),IF(ABS(K453-D496)&lt;=0.01,"PASS","FAIL"),"FAIL"),IF(NOT(ISNUMBER(K453)),IF(K453=D496,"PASS","FAIL"),"FAIL")),"FAIL")</f>
        <v/>
      </c>
    </row>
    <row r="497">
      <c r="B497" s="8" t="inlineStr">
        <is>
          <t>Scenario B: break_even_quantity_exact</t>
        </is>
      </c>
      <c r="C497" s="25">
        <f>K470</f>
        <v/>
      </c>
      <c r="D497" s="42" t="n">
        <v>100</v>
      </c>
      <c r="E497" s="26">
        <f>IF(ISNUMBER(D497),IF(ISNUMBER(K470),ABS(K470-D497),"N/A"),"N/A")</f>
        <v/>
      </c>
      <c r="F497" s="15">
        <f>IFERROR(IF(ISNUMBER(D497),IF(ISNUMBER(K470),IF(ABS(K470-D497)&lt;=0.01,"PASS","FAIL"),"FAIL"),IF(NOT(ISNUMBER(K470)),IF(K470=D497,"PASS","FAIL"),"FAIL")),"FAIL")</f>
        <v/>
      </c>
    </row>
    <row r="498">
      <c r="B498" s="8" t="inlineStr">
        <is>
          <t>Scenario B: net_sales_ex_vat_delta</t>
        </is>
      </c>
      <c r="C498" s="43">
        <f>K483</f>
        <v/>
      </c>
      <c r="D498" s="44" t="n">
        <v>0</v>
      </c>
      <c r="F498" s="15">
        <f>IFERROR(IF(ISNUMBER(D498),IF(ISNUMBER(K483),IF(ABS(K483-D498)&lt;=0.01,"PASS","FAIL"),"FAIL"),IF(NOT(ISNUMBER(K483)),IF(K483=D498,"PASS","FAIL"),"FAIL")),"FAIL")</f>
        <v/>
      </c>
    </row>
    <row r="499">
      <c r="B499" s="8" t="inlineStr">
        <is>
          <t>Scenario B: contribution_margin_delta</t>
        </is>
      </c>
      <c r="C499" s="43">
        <f>K484</f>
        <v/>
      </c>
      <c r="D499" s="44" t="n">
        <v>0</v>
      </c>
      <c r="F499" s="15">
        <f>IFERROR(IF(ISNUMBER(D499),IF(ISNUMBER(K484),IF(ABS(K484-D499)&lt;=0.01,"PASS","FAIL"),"FAIL"),IF(NOT(ISNUMBER(K484)),IF(K484=D499,"PASS","FAIL"),"FAIL")),"FAIL")</f>
        <v/>
      </c>
    </row>
    <row r="500">
      <c r="B500" s="8" t="inlineStr">
        <is>
          <t>Scenario B: contribution_margin_rate_delta</t>
        </is>
      </c>
      <c r="C500" s="43">
        <f>K485</f>
        <v/>
      </c>
      <c r="D500" s="44" t="n">
        <v>0</v>
      </c>
      <c r="F500" s="15">
        <f>IFERROR(IF(ISNUMBER(D500),IF(ISNUMBER(K485),IF(ABS(K485-D500)&lt;=0.01,"PASS","FAIL"),"FAIL"),IF(NOT(ISNUMBER(K485)),IF(K485=D500,"PASS","FAIL"),"FAIL")),"FAIL")</f>
        <v/>
      </c>
    </row>
    <row r="501">
      <c r="B501" s="8" t="inlineStr">
        <is>
          <t>Scenario B: break_even_quantity_delta</t>
        </is>
      </c>
      <c r="C501" s="43">
        <f>K486</f>
        <v/>
      </c>
      <c r="D501" s="44" t="n">
        <v>0</v>
      </c>
      <c r="F501" s="15">
        <f>IFERROR(IF(ISNUMBER(D501),IF(ISNUMBER(K486),IF(ABS(K486-D501)&lt;=0.01,"PASS","FAIL"),"FAIL"),IF(NOT(ISNUMBER(K486)),IF(K486=D501,"PASS","FAIL"),"FAIL")),"FAIL")</f>
        <v/>
      </c>
    </row>
    <row r="503" ht="20" customHeight="1">
      <c r="B503" s="2" t="inlineStr">
        <is>
          <t>TC7. Market price below required price</t>
        </is>
      </c>
      <c r="C503" s="7" t="n"/>
      <c r="D503" s="7" t="n"/>
      <c r="E503" s="7" t="n"/>
      <c r="F503" s="7" t="n"/>
    </row>
    <row r="504">
      <c r="B504" s="4" t="inlineStr">
        <is>
          <t>Check</t>
        </is>
      </c>
      <c r="C504" s="4" t="inlineStr">
        <is>
          <t>Excel Result</t>
        </is>
      </c>
      <c r="D504" s="4" t="inlineStr">
        <is>
          <t>Python Reference</t>
        </is>
      </c>
      <c r="E504" s="4" t="inlineStr">
        <is>
          <t>Difference</t>
        </is>
      </c>
      <c r="F504" s="4" t="inlineStr">
        <is>
          <t>PASS / FAIL</t>
        </is>
      </c>
    </row>
    <row r="505">
      <c r="I505" t="n">
        <v>1000</v>
      </c>
    </row>
    <row r="506">
      <c r="I506" t="b">
        <v>0</v>
      </c>
    </row>
    <row r="507">
      <c r="I507" t="n">
        <v>0.1</v>
      </c>
    </row>
    <row r="508">
      <c r="I508" t="n">
        <v>1000</v>
      </c>
    </row>
    <row r="509">
      <c r="I509" t="n">
        <v>0</v>
      </c>
    </row>
    <row r="510">
      <c r="I510" t="n">
        <v>400</v>
      </c>
    </row>
    <row r="511">
      <c r="I511" t="n">
        <v>100</v>
      </c>
    </row>
    <row r="512">
      <c r="I512" t="n">
        <v>0</v>
      </c>
    </row>
    <row r="513">
      <c r="I513" t="n">
        <v>0</v>
      </c>
    </row>
    <row r="514">
      <c r="I514" t="n">
        <v>50000</v>
      </c>
    </row>
    <row r="515">
      <c r="I515" t="n">
        <v>0.3</v>
      </c>
    </row>
    <row r="516">
      <c r="I516" t="inlineStr">
        <is>
          <t>A</t>
        </is>
      </c>
      <c r="J516" t="inlineStr">
        <is>
          <t>A</t>
        </is>
      </c>
      <c r="K516" t="inlineStr">
        <is>
          <t>B</t>
        </is>
      </c>
    </row>
    <row r="517">
      <c r="J517" t="inlineStr">
        <is>
          <t>inherit</t>
        </is>
      </c>
      <c r="K517" t="inlineStr">
        <is>
          <t>inherit</t>
        </is>
      </c>
    </row>
    <row r="518"/>
    <row r="519">
      <c r="J519" t="inlineStr">
        <is>
          <t>inherit</t>
        </is>
      </c>
      <c r="K519" t="inlineStr">
        <is>
          <t>inherit</t>
        </is>
      </c>
    </row>
    <row r="520"/>
    <row r="521">
      <c r="J521" t="inlineStr">
        <is>
          <t>inherit</t>
        </is>
      </c>
      <c r="K521" t="inlineStr">
        <is>
          <t>inherit</t>
        </is>
      </c>
    </row>
    <row r="522"/>
    <row r="523">
      <c r="J523" t="inlineStr">
        <is>
          <t>inherit</t>
        </is>
      </c>
      <c r="K523" t="inlineStr">
        <is>
          <t>value</t>
        </is>
      </c>
    </row>
    <row r="524">
      <c r="K524" t="n">
        <v>500</v>
      </c>
    </row>
    <row r="525">
      <c r="J525" t="inlineStr">
        <is>
          <t>inherit</t>
        </is>
      </c>
      <c r="K525" t="inlineStr">
        <is>
          <t>inherit</t>
        </is>
      </c>
    </row>
    <row r="526"/>
    <row r="527">
      <c r="J527" t="inlineStr">
        <is>
          <t>inherit</t>
        </is>
      </c>
      <c r="K527" t="inlineStr">
        <is>
          <t>inherit</t>
        </is>
      </c>
    </row>
    <row r="528"/>
    <row r="529">
      <c r="J529" t="inlineStr">
        <is>
          <t>inherit</t>
        </is>
      </c>
      <c r="K529" t="inlineStr">
        <is>
          <t>inherit</t>
        </is>
      </c>
    </row>
    <row r="530"/>
    <row r="531">
      <c r="J531" t="inlineStr">
        <is>
          <t>inherit</t>
        </is>
      </c>
      <c r="K531" t="inlineStr">
        <is>
          <t>inherit</t>
        </is>
      </c>
    </row>
    <row r="532"/>
    <row r="533">
      <c r="J533" t="inlineStr">
        <is>
          <t>inherit</t>
        </is>
      </c>
      <c r="K533" t="inlineStr">
        <is>
          <t>inherit</t>
        </is>
      </c>
    </row>
    <row r="534"/>
    <row r="535">
      <c r="J535">
        <f>IFERROR(IF(NOT(ISNUMBER(J556)),"UNKNOWN",IF(J557="UNKNOWN","UNKNOWN",IF(J557=FALSE,J556,IF(NOT(ISNUMBER(J558)),"UNKNOWN",J556/(1+J558))))),"ERROR")</f>
        <v/>
      </c>
      <c r="K535">
        <f>IFERROR(IF(NOT(ISNUMBER(K556)),"UNKNOWN",IF(K557="UNKNOWN","UNKNOWN",IF(K557=FALSE,K556,IF(NOT(ISNUMBER(K558)),"UNKNOWN",K556/(1+K558))))),"ERROR")</f>
        <v/>
      </c>
    </row>
    <row r="536">
      <c r="J536">
        <f>IFERROR(IF(J535="ERROR","ERROR",IF(OR(NOT(ISNUMBER(J535)),NOT(ISNUMBER(J562))),"UNKNOWN",IF(J564&gt;0,IF(J546="ERROR","ERROR",IF(NOT(ISNUMBER(J546)),"UNKNOWN",J535-J562-$I$511-$I$512*J535-J564*J546)),J535-J562-$I$511-$I$512*J535))),"ERROR")</f>
        <v/>
      </c>
      <c r="K536">
        <f>IFERROR(IF(K535="ERROR","ERROR",IF(OR(NOT(ISNUMBER(K535)),NOT(ISNUMBER(K562))),"UNKNOWN",IF(K564&gt;0,IF(K546="ERROR","ERROR",IF(NOT(ISNUMBER(K546)),"UNKNOWN",K535-K562-$I$511-$I$512*K535-K564*K546)),K535-K562-$I$511-$I$512*K535))),"ERROR")</f>
        <v/>
      </c>
    </row>
    <row r="537">
      <c r="J537">
        <f>IFERROR(IF(J536="ERROR","ERROR",IF(NOT(ISNUMBER(J536)),"UNKNOWN",IF(J535=0,"ERROR",J536/J535))),"ERROR")</f>
        <v/>
      </c>
      <c r="K537">
        <f>IFERROR(IF(K536="ERROR","ERROR",IF(NOT(ISNUMBER(K536)),"UNKNOWN",IF(K535=0,"ERROR",K536/K535))),"ERROR")</f>
        <v/>
      </c>
    </row>
    <row r="538">
      <c r="J538">
        <f>IF(OR(J535="ERROR",J536="ERROR",J537="ERROR"),"ERROR",IF(OR(NOT(ISNUMBER(J535)),NOT(ISNUMBER(J536)),NOT(ISNUMBER(J537))),"UNKNOWN","OK"))</f>
        <v/>
      </c>
      <c r="K538">
        <f>IF(OR(K535="ERROR",K536="ERROR",K537="ERROR"),"ERROR",IF(OR(NOT(ISNUMBER(K535)),NOT(ISNUMBER(K536)),NOT(ISNUMBER(K537))),"UNKNOWN","OK"))</f>
        <v/>
      </c>
    </row>
    <row r="539">
      <c r="J539">
        <f>IFERROR(IF(NOT(ISNUMBER(J562)),J562,J562+$I$511),"ERROR")</f>
        <v/>
      </c>
      <c r="K539">
        <f>IFERROR(IF(NOT(ISNUMBER(K562)),K562,K562+$I$511),"ERROR")</f>
        <v/>
      </c>
    </row>
    <row r="540">
      <c r="J540">
        <f>IFERROR(IF(NOT(ISNUMBER(J561)),"UNKNOWN",IF(OR(J561&lt;0,J561&gt;=1),"ERROR",IF(J564=0,IF(1-J561-$I$512&lt;=0,"ERROR",1-J561-$I$512),IF(NOT(ISNUMBER(J558)),"UNKNOWN",IF(1-J561-$I$512-J564*(1+J558)&lt;=0,"ERROR",1-J561-$I$512-J564*(1+J558)))))),"ERROR")</f>
        <v/>
      </c>
      <c r="K540">
        <f>IFERROR(IF(NOT(ISNUMBER(K561)),"UNKNOWN",IF(OR(K561&lt;0,K561&gt;=1),"ERROR",IF(K564=0,IF(1-K561-$I$512&lt;=0,"ERROR",1-K561-$I$512),IF(NOT(ISNUMBER(K558)),"UNKNOWN",IF(1-K561-$I$512-K564*(1+K558)&lt;=0,"ERROR",1-K561-$I$512-K564*(1+K558)))))),"ERROR")</f>
        <v/>
      </c>
    </row>
    <row r="541">
      <c r="J541">
        <f>IFERROR(IF(NOT(ISNUMBER(J539)),J539,IF(NOT(ISNUMBER(J540)),J540,J539/J540)),"ERROR")</f>
        <v/>
      </c>
      <c r="K541">
        <f>IFERROR(IF(NOT(ISNUMBER(K539)),K539,IF(NOT(ISNUMBER(K540)),K540,K539/K540)),"ERROR")</f>
        <v/>
      </c>
    </row>
    <row r="542">
      <c r="J542">
        <f>IFERROR(IF(NOT(ISNUMBER(J541)),J541,IF(NOT(ISNUMBER(J558)),"UNKNOWN",J541*(1+J558))),"ERROR")</f>
        <v/>
      </c>
      <c r="K542">
        <f>IFERROR(IF(NOT(ISNUMBER(K541)),K541,IF(NOT(ISNUMBER(K558)),"UNKNOWN",K541*(1+K558))),"ERROR")</f>
        <v/>
      </c>
    </row>
    <row r="543">
      <c r="J543">
        <f>IFERROR(IF(J557="UNKNOWN","UNKNOWN",IF(J557=FALSE,J541,J542)),"ERROR")</f>
        <v/>
      </c>
      <c r="K543">
        <f>IFERROR(IF(K557="UNKNOWN","UNKNOWN",IF(K557=FALSE,K541,K542)),"ERROR")</f>
        <v/>
      </c>
    </row>
    <row r="544">
      <c r="J544">
        <f>IFERROR(IF(NOT(ISNUMBER(J543)),J543,IF(NOT(ISNUMBER(J560)),"UNKNOWN",IF(OR(J560&lt;0,J560&gt;=1),"ERROR",IF(J560=0,J543,J543/(1-J560))))),"ERROR")</f>
        <v/>
      </c>
      <c r="K544">
        <f>IFERROR(IF(NOT(ISNUMBER(K543)),K543,IF(NOT(ISNUMBER(K560)),"UNKNOWN",IF(OR(K560&lt;0,K560&gt;=1),"ERROR",IF(K560=0,K543,K543/(1-K560))))),"ERROR")</f>
        <v/>
      </c>
    </row>
    <row r="545">
      <c r="J545">
        <f>IF(OR(J543="ERROR",J544="ERROR"),"ERROR",IF(OR(NOT(ISNUMBER(J543)),NOT(ISNUMBER(J544))),"UNKNOWN","OK"))</f>
        <v/>
      </c>
      <c r="K545">
        <f>IF(OR(K543="ERROR",K544="ERROR"),"ERROR",IF(OR(NOT(ISNUMBER(K543)),NOT(ISNUMBER(K544))),"UNKNOWN","OK"))</f>
        <v/>
      </c>
    </row>
    <row r="546">
      <c r="J546">
        <f>IFERROR(IF(NOT(ISNUMBER(J556)),"UNKNOWN",IF(J557="UNKNOWN","UNKNOWN",IF(J557=TRUE,J556,IF(NOT(ISNUMBER(J558)),"UNKNOWN",J556*(1+J558))))),"ERROR")</f>
        <v/>
      </c>
      <c r="K546">
        <f>IFERROR(IF(NOT(ISNUMBER(K556)),"UNKNOWN",IF(K557="UNKNOWN","UNKNOWN",IF(K557=TRUE,K556,IF(NOT(ISNUMBER(K558)),"UNKNOWN",K556*(1+K558))))),"ERROR")</f>
        <v/>
      </c>
    </row>
    <row r="547">
      <c r="J547">
        <f>IFERROR(IF(NOT(ISNUMBER(J559)),"UNKNOWN",IF(J557="UNKNOWN","UNKNOWN",IF(J557=FALSE,J559,IF(NOT(ISNUMBER(J558)),"UNKNOWN",J559/(1+J558))))),"ERROR")</f>
        <v/>
      </c>
      <c r="K547">
        <f>IFERROR(IF(NOT(ISNUMBER(K559)),"UNKNOWN",IF(K557="UNKNOWN","UNKNOWN",IF(K557=FALSE,K559,IF(NOT(ISNUMBER(K558)),"UNKNOWN",K559/(1+K558))))),"ERROR")</f>
        <v/>
      </c>
    </row>
    <row r="548">
      <c r="J548">
        <f>IFERROR(IF(NOT(ISNUMBER(J559)),"UNKNOWN",IF(J557="UNKNOWN","UNKNOWN",IF(J557=TRUE,J559,IF(NOT(ISNUMBER(J558)),"UNKNOWN",J559*(1+J558))))),"ERROR")</f>
        <v/>
      </c>
      <c r="K548">
        <f>IFERROR(IF(NOT(ISNUMBER(K559)),"UNKNOWN",IF(K557="UNKNOWN","UNKNOWN",IF(K557=TRUE,K559,IF(NOT(ISNUMBER(K558)),"UNKNOWN",K559*(1+K558))))),"ERROR")</f>
        <v/>
      </c>
    </row>
    <row r="549">
      <c r="J549">
        <f>IFERROR(IF(J547="ERROR","ERROR",IF(NOT(ISNUMBER(J561)),"UNKNOWN",IF(OR(J561&lt;0,J561&gt;=1),"ERROR",IF(NOT(ISNUMBER(J547)),"UNKNOWN",IF(J564&gt;0,IF(J548="ERROR","ERROR",IF(NOT(ISNUMBER(J548)),"UNKNOWN",J547*(1-J561-$I$512)-J564*J548-$I$511)),J547*(1-J561-$I$512)-$I$511))))),"ERROR")</f>
        <v/>
      </c>
      <c r="K549">
        <f>IFERROR(IF(K547="ERROR","ERROR",IF(NOT(ISNUMBER(K561)),"UNKNOWN",IF(OR(K561&lt;0,K561&gt;=1),"ERROR",IF(NOT(ISNUMBER(K547)),"UNKNOWN",IF(K564&gt;0,IF(K548="ERROR","ERROR",IF(NOT(ISNUMBER(K548)),"UNKNOWN",K547*(1-K561-$I$512)-K564*K548-$I$511)),K547*(1-K561-$I$512)-$I$511))))),"ERROR")</f>
        <v/>
      </c>
    </row>
    <row r="550">
      <c r="J550">
        <f>IFERROR(IF(OR(J549="ERROR",J562="ERROR"),"ERROR",IF(OR(NOT(ISNUMBER(J549)),NOT(ISNUMBER(J562))),"UNKNOWN",J549-J562)),"ERROR")</f>
        <v/>
      </c>
      <c r="K550">
        <f>IFERROR(IF(OR(K549="ERROR",K562="ERROR"),"ERROR",IF(OR(NOT(ISNUMBER(K549)),NOT(ISNUMBER(K562))),"UNKNOWN",K549-K562)),"ERROR")</f>
        <v/>
      </c>
    </row>
    <row r="551">
      <c r="J551">
        <f>IF(OR(J549="ERROR",J562="ERROR",J550="ERROR"),"ERROR",IF(OR(NOT(ISNUMBER(J549)),NOT(ISNUMBER(J562)),NOT(ISNUMBER(J550))),"UNKNOWN","OK"))</f>
        <v/>
      </c>
      <c r="K551">
        <f>IF(OR(K549="ERROR",K562="ERROR",K550="ERROR"),"ERROR",IF(OR(NOT(ISNUMBER(K549)),NOT(ISNUMBER(K562)),NOT(ISNUMBER(K550))),"UNKNOWN","OK"))</f>
        <v/>
      </c>
    </row>
    <row r="552">
      <c r="J552">
        <f>IFERROR(IF(NOT(ISNUMBER(J563)),J563,IF(J563&lt;0,"ERROR",J563)),"ERROR")</f>
        <v/>
      </c>
      <c r="K552">
        <f>IFERROR(IF(NOT(ISNUMBER(K563)),K563,IF(K563&lt;0,"ERROR",K563)),"ERROR")</f>
        <v/>
      </c>
    </row>
    <row r="553">
      <c r="J553">
        <f>IFERROR(IF(OR(J536="ERROR",J552="ERROR"),"ERROR",IF(OR(NOT(ISNUMBER(J536)),NOT(ISNUMBER(J552))),"UNKNOWN",IF(J536&lt;=0,"NOT_APPLICABLE",J552/J536))),"ERROR")</f>
        <v/>
      </c>
      <c r="K553">
        <f>IFERROR(IF(OR(K536="ERROR",K552="ERROR"),"ERROR",IF(OR(NOT(ISNUMBER(K536)),NOT(ISNUMBER(K552))),"UNKNOWN",IF(K536&lt;=0,"NOT_APPLICABLE",K552/K536))),"ERROR")</f>
        <v/>
      </c>
    </row>
    <row r="554">
      <c r="J554">
        <f>IF(OR(J536="ERROR",J552="ERROR",J553="ERROR"),"ERROR",IF(OR(NOT(ISNUMBER(J536)),NOT(ISNUMBER(J552)),AND(NOT(ISNUMBER(J553)),J553&lt;&gt;"NOT_APPLICABLE")),"UNKNOWN","OK"))</f>
        <v/>
      </c>
      <c r="K554">
        <f>IF(OR(K536="ERROR",K552="ERROR",K553="ERROR"),"ERROR",IF(OR(NOT(ISNUMBER(K536)),NOT(ISNUMBER(K552)),AND(NOT(ISNUMBER(K553)),K553&lt;&gt;"NOT_APPLICABLE")),"UNKNOWN","OK"))</f>
        <v/>
      </c>
    </row>
    <row r="555">
      <c r="J555">
        <f>IF(OR(J538="ERROR",J545="ERROR",J551="ERROR",J554="ERROR"),"ERROR",IF(OR(J538="UNKNOWN",J545="UNKNOWN",J551="UNKNOWN",J554="UNKNOWN"),"INCOMPLETE","OK"))</f>
        <v/>
      </c>
      <c r="K555">
        <f>IF(OR(K538="ERROR",K545="ERROR",K551="ERROR",K554="ERROR"),"ERROR",IF(OR(K538="UNKNOWN",K545="UNKNOWN",K551="UNKNOWN",K554="UNKNOWN"),"INCOMPLETE","OK"))</f>
        <v/>
      </c>
    </row>
    <row r="556">
      <c r="J556">
        <f>IF($J$517="inherit",$I$505,IF($J$517="null","UNKNOWN",$J$518))</f>
        <v/>
      </c>
      <c r="K556">
        <f>IF($K$517="inherit",$I$505,IF($K$517="null","UNKNOWN",$K$518))</f>
        <v/>
      </c>
    </row>
    <row r="557">
      <c r="J557">
        <f>IF($J$519="inherit",$I$506,IF($J$519="null","UNKNOWN",$J$520))</f>
        <v/>
      </c>
      <c r="K557">
        <f>IF($K$519="inherit",$I$506,IF($K$519="null","UNKNOWN",$K$520))</f>
        <v/>
      </c>
    </row>
    <row r="558">
      <c r="J558">
        <f>IF($J$521="inherit",$I$507,IF($J$521="null","UNKNOWN",$J$522))</f>
        <v/>
      </c>
      <c r="K558">
        <f>IF($K$521="inherit",$I$507,IF($K$521="null","UNKNOWN",$K$522))</f>
        <v/>
      </c>
    </row>
    <row r="559">
      <c r="J559">
        <f>IF($J$523="inherit",$I$508,IF($J$523="null","UNKNOWN",$J$524))</f>
        <v/>
      </c>
      <c r="K559">
        <f>IF($K$523="inherit",$I$508,IF($K$523="null","UNKNOWN",$K$524))</f>
        <v/>
      </c>
    </row>
    <row r="560">
      <c r="J560">
        <f>IF($J$525="inherit",$I$509,IF($J$525="null","UNKNOWN",$J$526))</f>
        <v/>
      </c>
      <c r="K560">
        <f>IF($K$525="inherit",$I$509,IF($K$525="null","UNKNOWN",$K$526))</f>
        <v/>
      </c>
    </row>
    <row r="561">
      <c r="J561">
        <f>IF($J$527="inherit",$I$515,IF($J$527="null","UNKNOWN",$J$528))</f>
        <v/>
      </c>
      <c r="K561">
        <f>IF($K$527="inherit",$I$515,IF($K$527="null","UNKNOWN",$K$528))</f>
        <v/>
      </c>
    </row>
    <row r="562">
      <c r="J562">
        <f>IF($J$529="inherit",$I$510,IF($J$529="null","UNKNOWN",$J$530))</f>
        <v/>
      </c>
      <c r="K562">
        <f>IF($K$529="inherit",$I$510,IF($K$529="null","UNKNOWN",$K$530))</f>
        <v/>
      </c>
    </row>
    <row r="563">
      <c r="J563">
        <f>IF($J$531="inherit",$I$514,IF($J$531="null","UNKNOWN",$J$532))</f>
        <v/>
      </c>
      <c r="K563">
        <f>IF($K$531="inherit",$I$514,IF($K$531="null","UNKNOWN",$K$532))</f>
        <v/>
      </c>
    </row>
    <row r="564">
      <c r="J564">
        <f>IF($J$533="inherit",$I$513,IF($J$533="null","UNKNOWN",$J$534))</f>
        <v/>
      </c>
      <c r="K564">
        <f>IF($K$533="inherit",$I$513,IF($K$533="null","UNKNOWN",$K$534))</f>
        <v/>
      </c>
    </row>
    <row r="565">
      <c r="I565">
        <f>IFERROR(MATCH($I$516,$J$516:$K$516,0),0)</f>
        <v/>
      </c>
    </row>
    <row r="566">
      <c r="J566">
        <f>IF(I565=0,"ERROR",IF(OR($J$535="ERROR",INDEX($J$535:$K$535,1,I565)="ERROR"),"ERROR",IF(OR($J$535="UNKNOWN",INDEX($J$535:$K$535,1,I565)="UNKNOWN"),"UNKNOWN",IF(OR($J$535="NOT_APPLICABLE",INDEX($J$535:$K$535,1,I565)="NOT_APPLICABLE"),"NOT_APPLICABLE",$J$535-INDEX($J$535:$K$535,1,I565)))))</f>
        <v/>
      </c>
      <c r="K566">
        <f>IF(I565=0,"ERROR",IF(OR($K$535="ERROR",INDEX($J$535:$K$535,1,I565)="ERROR"),"ERROR",IF(OR($K$535="UNKNOWN",INDEX($J$535:$K$535,1,I565)="UNKNOWN"),"UNKNOWN",IF(OR($K$535="NOT_APPLICABLE",INDEX($J$535:$K$535,1,I565)="NOT_APPLICABLE"),"NOT_APPLICABLE",$K$535-INDEX($J$535:$K$535,1,I565)))))</f>
        <v/>
      </c>
    </row>
    <row r="567">
      <c r="J567">
        <f>IF(I565=0,"ERROR",IF(OR($J$536="ERROR",INDEX($J$536:$K$536,1,I565)="ERROR"),"ERROR",IF(OR($J$536="UNKNOWN",INDEX($J$536:$K$536,1,I565)="UNKNOWN"),"UNKNOWN",IF(OR($J$536="NOT_APPLICABLE",INDEX($J$536:$K$536,1,I565)="NOT_APPLICABLE"),"NOT_APPLICABLE",$J$536-INDEX($J$536:$K$536,1,I565)))))</f>
        <v/>
      </c>
      <c r="K567">
        <f>IF(I565=0,"ERROR",IF(OR($K$536="ERROR",INDEX($J$536:$K$536,1,I565)="ERROR"),"ERROR",IF(OR($K$536="UNKNOWN",INDEX($J$536:$K$536,1,I565)="UNKNOWN"),"UNKNOWN",IF(OR($K$536="NOT_APPLICABLE",INDEX($J$536:$K$536,1,I565)="NOT_APPLICABLE"),"NOT_APPLICABLE",$K$536-INDEX($J$536:$K$536,1,I565)))))</f>
        <v/>
      </c>
    </row>
    <row r="568">
      <c r="J568">
        <f>IF(I565=0,"ERROR",IF(OR($J$537="ERROR",INDEX($J$537:$K$537,1,I565)="ERROR"),"ERROR",IF(OR($J$537="UNKNOWN",INDEX($J$537:$K$537,1,I565)="UNKNOWN"),"UNKNOWN",IF(OR($J$537="NOT_APPLICABLE",INDEX($J$537:$K$537,1,I565)="NOT_APPLICABLE"),"NOT_APPLICABLE",$J$537-INDEX($J$537:$K$537,1,I565)))))</f>
        <v/>
      </c>
      <c r="K568">
        <f>IF(I565=0,"ERROR",IF(OR($K$537="ERROR",INDEX($J$537:$K$537,1,I565)="ERROR"),"ERROR",IF(OR($K$537="UNKNOWN",INDEX($J$537:$K$537,1,I565)="UNKNOWN"),"UNKNOWN",IF(OR($K$537="NOT_APPLICABLE",INDEX($J$537:$K$537,1,I565)="NOT_APPLICABLE"),"NOT_APPLICABLE",$K$537-INDEX($J$537:$K$537,1,I565)))))</f>
        <v/>
      </c>
    </row>
    <row r="569">
      <c r="J569">
        <f>IF(I565=0,"ERROR",IF(OR($J$553="ERROR",INDEX($J$553:$K$553,1,I565)="ERROR"),"ERROR",IF(OR($J$553="UNKNOWN",INDEX($J$553:$K$553,1,I565)="UNKNOWN"),"UNKNOWN",IF(OR($J$553="NOT_APPLICABLE",INDEX($J$553:$K$553,1,I565)="NOT_APPLICABLE"),"NOT_APPLICABLE",$J$553-INDEX($J$553:$K$553,1,I565)))))</f>
        <v/>
      </c>
      <c r="K569">
        <f>IF(I565=0,"ERROR",IF(OR($K$553="ERROR",INDEX($J$553:$K$553,1,I565)="ERROR"),"ERROR",IF(OR($K$553="UNKNOWN",INDEX($J$553:$K$553,1,I565)="UNKNOWN"),"UNKNOWN",IF(OR($K$553="NOT_APPLICABLE",INDEX($J$553:$K$553,1,I565)="NOT_APPLICABLE"),"NOT_APPLICABLE",$K$553-INDEX($J$553:$K$553,1,I565)))))</f>
        <v/>
      </c>
    </row>
    <row r="571">
      <c r="B571" s="8" t="inlineStr">
        <is>
          <t>Scenario A: scenario_status</t>
        </is>
      </c>
      <c r="C571" s="16">
        <f>J555</f>
        <v/>
      </c>
      <c r="D571" s="38" t="inlineStr">
        <is>
          <t>OK</t>
        </is>
      </c>
      <c r="F571" s="15">
        <f>IF(J555=D571,"PASS","FAIL")</f>
        <v/>
      </c>
    </row>
    <row r="572">
      <c r="B572" s="8" t="inlineStr">
        <is>
          <t>Scenario A: contribution_margin</t>
        </is>
      </c>
      <c r="C572" s="25">
        <f>J536</f>
        <v/>
      </c>
      <c r="D572" s="42" t="n">
        <v>500</v>
      </c>
      <c r="E572" s="26">
        <f>IF(ISNUMBER(D572),IF(ISNUMBER(J536),ABS(J536-D572),"N/A"),"N/A")</f>
        <v/>
      </c>
      <c r="F572" s="15">
        <f>IFERROR(IF(ISNUMBER(D572),IF(ISNUMBER(J536),IF(ABS(J536-D572)&lt;=0.01,"PASS","FAIL"),"FAIL"),IF(NOT(ISNUMBER(J536)),IF(J536=D572,"PASS","FAIL"),"FAIL")),"FAIL")</f>
        <v/>
      </c>
    </row>
    <row r="573">
      <c r="B573" s="8" t="inlineStr">
        <is>
          <t>Scenario A: break_even_quantity_exact</t>
        </is>
      </c>
      <c r="C573" s="25">
        <f>J553</f>
        <v/>
      </c>
      <c r="D573" s="42" t="n">
        <v>100</v>
      </c>
      <c r="E573" s="26">
        <f>IF(ISNUMBER(D573),IF(ISNUMBER(J553),ABS(J553-D573),"N/A"),"N/A")</f>
        <v/>
      </c>
      <c r="F573" s="15">
        <f>IFERROR(IF(ISNUMBER(D573),IF(ISNUMBER(J553),IF(ABS(J553-D573)&lt;=0.01,"PASS","FAIL"),"FAIL"),IF(NOT(ISNUMBER(J553)),IF(J553=D573,"PASS","FAIL"),"FAIL")),"FAIL")</f>
        <v/>
      </c>
    </row>
    <row r="574">
      <c r="B574" s="8" t="inlineStr">
        <is>
          <t>Scenario A: net_sales_ex_vat_delta</t>
        </is>
      </c>
      <c r="C574" s="43">
        <f>J566</f>
        <v/>
      </c>
      <c r="D574" s="44" t="n">
        <v>0</v>
      </c>
      <c r="F574" s="15">
        <f>IFERROR(IF(ISNUMBER(D574),IF(ISNUMBER(J566),IF(ABS(J566-D574)&lt;=0.01,"PASS","FAIL"),"FAIL"),IF(NOT(ISNUMBER(J566)),IF(J566=D574,"PASS","FAIL"),"FAIL")),"FAIL")</f>
        <v/>
      </c>
    </row>
    <row r="575">
      <c r="B575" s="8" t="inlineStr">
        <is>
          <t>Scenario A: contribution_margin_delta</t>
        </is>
      </c>
      <c r="C575" s="43">
        <f>J567</f>
        <v/>
      </c>
      <c r="D575" s="44" t="n">
        <v>0</v>
      </c>
      <c r="F575" s="15">
        <f>IFERROR(IF(ISNUMBER(D575),IF(ISNUMBER(J567),IF(ABS(J567-D575)&lt;=0.01,"PASS","FAIL"),"FAIL"),IF(NOT(ISNUMBER(J567)),IF(J567=D575,"PASS","FAIL"),"FAIL")),"FAIL")</f>
        <v/>
      </c>
    </row>
    <row r="576">
      <c r="B576" s="8" t="inlineStr">
        <is>
          <t>Scenario A: contribution_margin_rate_delta</t>
        </is>
      </c>
      <c r="C576" s="43">
        <f>J568</f>
        <v/>
      </c>
      <c r="D576" s="44" t="n">
        <v>0</v>
      </c>
      <c r="F576" s="15">
        <f>IFERROR(IF(ISNUMBER(D576),IF(ISNUMBER(J568),IF(ABS(J568-D576)&lt;=0.01,"PASS","FAIL"),"FAIL"),IF(NOT(ISNUMBER(J568)),IF(J568=D576,"PASS","FAIL"),"FAIL")),"FAIL")</f>
        <v/>
      </c>
    </row>
    <row r="577">
      <c r="B577" s="8" t="inlineStr">
        <is>
          <t>Scenario A: break_even_quantity_delta</t>
        </is>
      </c>
      <c r="C577" s="43">
        <f>J569</f>
        <v/>
      </c>
      <c r="D577" s="44" t="n">
        <v>0</v>
      </c>
      <c r="F577" s="15">
        <f>IFERROR(IF(ISNUMBER(D577),IF(ISNUMBER(J569),IF(ABS(J569-D577)&lt;=0.01,"PASS","FAIL"),"FAIL"),IF(NOT(ISNUMBER(J569)),IF(J569=D577,"PASS","FAIL"),"FAIL")),"FAIL")</f>
        <v/>
      </c>
    </row>
    <row r="578">
      <c r="B578" s="8" t="inlineStr">
        <is>
          <t>Scenario B: scenario_status</t>
        </is>
      </c>
      <c r="C578" s="16">
        <f>K555</f>
        <v/>
      </c>
      <c r="D578" s="38" t="inlineStr">
        <is>
          <t>OK</t>
        </is>
      </c>
      <c r="F578" s="15">
        <f>IF(K555=D578,"PASS","FAIL")</f>
        <v/>
      </c>
    </row>
    <row r="579">
      <c r="B579" s="8" t="inlineStr">
        <is>
          <t>Scenario B: contribution_margin</t>
        </is>
      </c>
      <c r="C579" s="25">
        <f>K536</f>
        <v/>
      </c>
      <c r="D579" s="42" t="n">
        <v>500</v>
      </c>
      <c r="E579" s="26">
        <f>IF(ISNUMBER(D579),IF(ISNUMBER(K536),ABS(K536-D579),"N/A"),"N/A")</f>
        <v/>
      </c>
      <c r="F579" s="15">
        <f>IFERROR(IF(ISNUMBER(D579),IF(ISNUMBER(K536),IF(ABS(K536-D579)&lt;=0.01,"PASS","FAIL"),"FAIL"),IF(NOT(ISNUMBER(K536)),IF(K536=D579,"PASS","FAIL"),"FAIL")),"FAIL")</f>
        <v/>
      </c>
    </row>
    <row r="580">
      <c r="B580" s="8" t="inlineStr">
        <is>
          <t>Scenario B: break_even_quantity_exact</t>
        </is>
      </c>
      <c r="C580" s="25">
        <f>K553</f>
        <v/>
      </c>
      <c r="D580" s="42" t="n">
        <v>100</v>
      </c>
      <c r="E580" s="26">
        <f>IF(ISNUMBER(D580),IF(ISNUMBER(K553),ABS(K553-D580),"N/A"),"N/A")</f>
        <v/>
      </c>
      <c r="F580" s="15">
        <f>IFERROR(IF(ISNUMBER(D580),IF(ISNUMBER(K553),IF(ABS(K553-D580)&lt;=0.01,"PASS","FAIL"),"FAIL"),IF(NOT(ISNUMBER(K553)),IF(K553=D580,"PASS","FAIL"),"FAIL")),"FAIL")</f>
        <v/>
      </c>
    </row>
    <row r="581">
      <c r="B581" s="8" t="inlineStr">
        <is>
          <t>Scenario B: net_sales_ex_vat_delta</t>
        </is>
      </c>
      <c r="C581" s="43">
        <f>K566</f>
        <v/>
      </c>
      <c r="D581" s="44" t="n">
        <v>0</v>
      </c>
      <c r="F581" s="15">
        <f>IFERROR(IF(ISNUMBER(D581),IF(ISNUMBER(K566),IF(ABS(K566-D581)&lt;=0.01,"PASS","FAIL"),"FAIL"),IF(NOT(ISNUMBER(K566)),IF(K566=D581,"PASS","FAIL"),"FAIL")),"FAIL")</f>
        <v/>
      </c>
    </row>
    <row r="582">
      <c r="B582" s="8" t="inlineStr">
        <is>
          <t>Scenario B: contribution_margin_delta</t>
        </is>
      </c>
      <c r="C582" s="43">
        <f>K567</f>
        <v/>
      </c>
      <c r="D582" s="44" t="n">
        <v>0</v>
      </c>
      <c r="F582" s="15">
        <f>IFERROR(IF(ISNUMBER(D582),IF(ISNUMBER(K567),IF(ABS(K567-D582)&lt;=0.01,"PASS","FAIL"),"FAIL"),IF(NOT(ISNUMBER(K567)),IF(K567=D582,"PASS","FAIL"),"FAIL")),"FAIL")</f>
        <v/>
      </c>
    </row>
    <row r="583">
      <c r="B583" s="8" t="inlineStr">
        <is>
          <t>Scenario B: contribution_margin_rate_delta</t>
        </is>
      </c>
      <c r="C583" s="43">
        <f>K568</f>
        <v/>
      </c>
      <c r="D583" s="44" t="n">
        <v>0</v>
      </c>
      <c r="F583" s="15">
        <f>IFERROR(IF(ISNUMBER(D583),IF(ISNUMBER(K568),IF(ABS(K568-D583)&lt;=0.01,"PASS","FAIL"),"FAIL"),IF(NOT(ISNUMBER(K568)),IF(K568=D583,"PASS","FAIL"),"FAIL")),"FAIL")</f>
        <v/>
      </c>
    </row>
    <row r="584">
      <c r="B584" s="8" t="inlineStr">
        <is>
          <t>Scenario B: break_even_quantity_delta</t>
        </is>
      </c>
      <c r="C584" s="43">
        <f>K569</f>
        <v/>
      </c>
      <c r="D584" s="44" t="n">
        <v>0</v>
      </c>
      <c r="F584" s="15">
        <f>IFERROR(IF(ISNUMBER(D584),IF(ISNUMBER(K569),IF(ABS(K569-D584)&lt;=0.01,"PASS","FAIL"),"FAIL"),IF(NOT(ISNUMBER(K569)),IF(K569=D584,"PASS","FAIL"),"FAIL")),"FAIL")</f>
        <v/>
      </c>
    </row>
    <row r="586" ht="20" customHeight="1">
      <c r="B586" s="2" t="inlineStr">
        <is>
          <t>TC8. Market price above required price</t>
        </is>
      </c>
      <c r="C586" s="7" t="n"/>
      <c r="D586" s="7" t="n"/>
      <c r="E586" s="7" t="n"/>
      <c r="F586" s="7" t="n"/>
    </row>
    <row r="587">
      <c r="B587" s="4" t="inlineStr">
        <is>
          <t>Check</t>
        </is>
      </c>
      <c r="C587" s="4" t="inlineStr">
        <is>
          <t>Excel Result</t>
        </is>
      </c>
      <c r="D587" s="4" t="inlineStr">
        <is>
          <t>Python Reference</t>
        </is>
      </c>
      <c r="E587" s="4" t="inlineStr">
        <is>
          <t>Difference</t>
        </is>
      </c>
      <c r="F587" s="4" t="inlineStr">
        <is>
          <t>PASS / FAIL</t>
        </is>
      </c>
    </row>
    <row r="588">
      <c r="I588" t="n">
        <v>1000</v>
      </c>
    </row>
    <row r="589">
      <c r="I589" t="b">
        <v>0</v>
      </c>
    </row>
    <row r="590">
      <c r="I590" t="n">
        <v>0.1</v>
      </c>
    </row>
    <row r="591">
      <c r="I591" t="n">
        <v>1000</v>
      </c>
    </row>
    <row r="592">
      <c r="I592" t="n">
        <v>0</v>
      </c>
    </row>
    <row r="593">
      <c r="I593" t="n">
        <v>400</v>
      </c>
    </row>
    <row r="594">
      <c r="I594" t="n">
        <v>100</v>
      </c>
    </row>
    <row r="595">
      <c r="I595" t="n">
        <v>0</v>
      </c>
    </row>
    <row r="596">
      <c r="I596" t="n">
        <v>0</v>
      </c>
    </row>
    <row r="597">
      <c r="I597" t="n">
        <v>50000</v>
      </c>
    </row>
    <row r="598">
      <c r="I598" t="n">
        <v>0.3</v>
      </c>
    </row>
    <row r="599">
      <c r="I599" t="inlineStr">
        <is>
          <t>A</t>
        </is>
      </c>
      <c r="J599" t="inlineStr">
        <is>
          <t>A</t>
        </is>
      </c>
      <c r="K599" t="inlineStr">
        <is>
          <t>B</t>
        </is>
      </c>
    </row>
    <row r="600">
      <c r="J600" t="inlineStr">
        <is>
          <t>inherit</t>
        </is>
      </c>
      <c r="K600" t="inlineStr">
        <is>
          <t>inherit</t>
        </is>
      </c>
    </row>
    <row r="601"/>
    <row r="602">
      <c r="J602" t="inlineStr">
        <is>
          <t>inherit</t>
        </is>
      </c>
      <c r="K602" t="inlineStr">
        <is>
          <t>inherit</t>
        </is>
      </c>
    </row>
    <row r="603"/>
    <row r="604">
      <c r="J604" t="inlineStr">
        <is>
          <t>inherit</t>
        </is>
      </c>
      <c r="K604" t="inlineStr">
        <is>
          <t>inherit</t>
        </is>
      </c>
    </row>
    <row r="605"/>
    <row r="606">
      <c r="J606" t="inlineStr">
        <is>
          <t>inherit</t>
        </is>
      </c>
      <c r="K606" t="inlineStr">
        <is>
          <t>value</t>
        </is>
      </c>
    </row>
    <row r="607">
      <c r="K607" t="n">
        <v>1500</v>
      </c>
    </row>
    <row r="608">
      <c r="J608" t="inlineStr">
        <is>
          <t>inherit</t>
        </is>
      </c>
      <c r="K608" t="inlineStr">
        <is>
          <t>inherit</t>
        </is>
      </c>
    </row>
    <row r="609"/>
    <row r="610">
      <c r="J610" t="inlineStr">
        <is>
          <t>inherit</t>
        </is>
      </c>
      <c r="K610" t="inlineStr">
        <is>
          <t>inherit</t>
        </is>
      </c>
    </row>
    <row r="611"/>
    <row r="612">
      <c r="J612" t="inlineStr">
        <is>
          <t>inherit</t>
        </is>
      </c>
      <c r="K612" t="inlineStr">
        <is>
          <t>inherit</t>
        </is>
      </c>
    </row>
    <row r="613"/>
    <row r="614">
      <c r="J614" t="inlineStr">
        <is>
          <t>inherit</t>
        </is>
      </c>
      <c r="K614" t="inlineStr">
        <is>
          <t>inherit</t>
        </is>
      </c>
    </row>
    <row r="615"/>
    <row r="616">
      <c r="J616" t="inlineStr">
        <is>
          <t>inherit</t>
        </is>
      </c>
      <c r="K616" t="inlineStr">
        <is>
          <t>inherit</t>
        </is>
      </c>
    </row>
    <row r="617"/>
    <row r="618">
      <c r="J618">
        <f>IFERROR(IF(NOT(ISNUMBER(J639)),"UNKNOWN",IF(J640="UNKNOWN","UNKNOWN",IF(J640=FALSE,J639,IF(NOT(ISNUMBER(J641)),"UNKNOWN",J639/(1+J641))))),"ERROR")</f>
        <v/>
      </c>
      <c r="K618">
        <f>IFERROR(IF(NOT(ISNUMBER(K639)),"UNKNOWN",IF(K640="UNKNOWN","UNKNOWN",IF(K640=FALSE,K639,IF(NOT(ISNUMBER(K641)),"UNKNOWN",K639/(1+K641))))),"ERROR")</f>
        <v/>
      </c>
    </row>
    <row r="619">
      <c r="J619">
        <f>IFERROR(IF(J618="ERROR","ERROR",IF(OR(NOT(ISNUMBER(J618)),NOT(ISNUMBER(J645))),"UNKNOWN",IF(J647&gt;0,IF(J629="ERROR","ERROR",IF(NOT(ISNUMBER(J629)),"UNKNOWN",J618-J645-$I$594-$I$595*J618-J647*J629)),J618-J645-$I$594-$I$595*J618))),"ERROR")</f>
        <v/>
      </c>
      <c r="K619">
        <f>IFERROR(IF(K618="ERROR","ERROR",IF(OR(NOT(ISNUMBER(K618)),NOT(ISNUMBER(K645))),"UNKNOWN",IF(K647&gt;0,IF(K629="ERROR","ERROR",IF(NOT(ISNUMBER(K629)),"UNKNOWN",K618-K645-$I$594-$I$595*K618-K647*K629)),K618-K645-$I$594-$I$595*K618))),"ERROR")</f>
        <v/>
      </c>
    </row>
    <row r="620">
      <c r="J620">
        <f>IFERROR(IF(J619="ERROR","ERROR",IF(NOT(ISNUMBER(J619)),"UNKNOWN",IF(J618=0,"ERROR",J619/J618))),"ERROR")</f>
        <v/>
      </c>
      <c r="K620">
        <f>IFERROR(IF(K619="ERROR","ERROR",IF(NOT(ISNUMBER(K619)),"UNKNOWN",IF(K618=0,"ERROR",K619/K618))),"ERROR")</f>
        <v/>
      </c>
    </row>
    <row r="621">
      <c r="J621">
        <f>IF(OR(J618="ERROR",J619="ERROR",J620="ERROR"),"ERROR",IF(OR(NOT(ISNUMBER(J618)),NOT(ISNUMBER(J619)),NOT(ISNUMBER(J620))),"UNKNOWN","OK"))</f>
        <v/>
      </c>
      <c r="K621">
        <f>IF(OR(K618="ERROR",K619="ERROR",K620="ERROR"),"ERROR",IF(OR(NOT(ISNUMBER(K618)),NOT(ISNUMBER(K619)),NOT(ISNUMBER(K620))),"UNKNOWN","OK"))</f>
        <v/>
      </c>
    </row>
    <row r="622">
      <c r="J622">
        <f>IFERROR(IF(NOT(ISNUMBER(J645)),J645,J645+$I$594),"ERROR")</f>
        <v/>
      </c>
      <c r="K622">
        <f>IFERROR(IF(NOT(ISNUMBER(K645)),K645,K645+$I$594),"ERROR")</f>
        <v/>
      </c>
    </row>
    <row r="623">
      <c r="J623">
        <f>IFERROR(IF(NOT(ISNUMBER(J644)),"UNKNOWN",IF(OR(J644&lt;0,J644&gt;=1),"ERROR",IF(J647=0,IF(1-J644-$I$595&lt;=0,"ERROR",1-J644-$I$595),IF(NOT(ISNUMBER(J641)),"UNKNOWN",IF(1-J644-$I$595-J647*(1+J641)&lt;=0,"ERROR",1-J644-$I$595-J647*(1+J641)))))),"ERROR")</f>
        <v/>
      </c>
      <c r="K623">
        <f>IFERROR(IF(NOT(ISNUMBER(K644)),"UNKNOWN",IF(OR(K644&lt;0,K644&gt;=1),"ERROR",IF(K647=0,IF(1-K644-$I$595&lt;=0,"ERROR",1-K644-$I$595),IF(NOT(ISNUMBER(K641)),"UNKNOWN",IF(1-K644-$I$595-K647*(1+K641)&lt;=0,"ERROR",1-K644-$I$595-K647*(1+K641)))))),"ERROR")</f>
        <v/>
      </c>
    </row>
    <row r="624">
      <c r="J624">
        <f>IFERROR(IF(NOT(ISNUMBER(J622)),J622,IF(NOT(ISNUMBER(J623)),J623,J622/J623)),"ERROR")</f>
        <v/>
      </c>
      <c r="K624">
        <f>IFERROR(IF(NOT(ISNUMBER(K622)),K622,IF(NOT(ISNUMBER(K623)),K623,K622/K623)),"ERROR")</f>
        <v/>
      </c>
    </row>
    <row r="625">
      <c r="J625">
        <f>IFERROR(IF(NOT(ISNUMBER(J624)),J624,IF(NOT(ISNUMBER(J641)),"UNKNOWN",J624*(1+J641))),"ERROR")</f>
        <v/>
      </c>
      <c r="K625">
        <f>IFERROR(IF(NOT(ISNUMBER(K624)),K624,IF(NOT(ISNUMBER(K641)),"UNKNOWN",K624*(1+K641))),"ERROR")</f>
        <v/>
      </c>
    </row>
    <row r="626">
      <c r="J626">
        <f>IFERROR(IF(J640="UNKNOWN","UNKNOWN",IF(J640=FALSE,J624,J625)),"ERROR")</f>
        <v/>
      </c>
      <c r="K626">
        <f>IFERROR(IF(K640="UNKNOWN","UNKNOWN",IF(K640=FALSE,K624,K625)),"ERROR")</f>
        <v/>
      </c>
    </row>
    <row r="627">
      <c r="J627">
        <f>IFERROR(IF(NOT(ISNUMBER(J626)),J626,IF(NOT(ISNUMBER(J643)),"UNKNOWN",IF(OR(J643&lt;0,J643&gt;=1),"ERROR",IF(J643=0,J626,J626/(1-J643))))),"ERROR")</f>
        <v/>
      </c>
      <c r="K627">
        <f>IFERROR(IF(NOT(ISNUMBER(K626)),K626,IF(NOT(ISNUMBER(K643)),"UNKNOWN",IF(OR(K643&lt;0,K643&gt;=1),"ERROR",IF(K643=0,K626,K626/(1-K643))))),"ERROR")</f>
        <v/>
      </c>
    </row>
    <row r="628">
      <c r="J628">
        <f>IF(OR(J626="ERROR",J627="ERROR"),"ERROR",IF(OR(NOT(ISNUMBER(J626)),NOT(ISNUMBER(J627))),"UNKNOWN","OK"))</f>
        <v/>
      </c>
      <c r="K628">
        <f>IF(OR(K626="ERROR",K627="ERROR"),"ERROR",IF(OR(NOT(ISNUMBER(K626)),NOT(ISNUMBER(K627))),"UNKNOWN","OK"))</f>
        <v/>
      </c>
    </row>
    <row r="629">
      <c r="J629">
        <f>IFERROR(IF(NOT(ISNUMBER(J639)),"UNKNOWN",IF(J640="UNKNOWN","UNKNOWN",IF(J640=TRUE,J639,IF(NOT(ISNUMBER(J641)),"UNKNOWN",J639*(1+J641))))),"ERROR")</f>
        <v/>
      </c>
      <c r="K629">
        <f>IFERROR(IF(NOT(ISNUMBER(K639)),"UNKNOWN",IF(K640="UNKNOWN","UNKNOWN",IF(K640=TRUE,K639,IF(NOT(ISNUMBER(K641)),"UNKNOWN",K639*(1+K641))))),"ERROR")</f>
        <v/>
      </c>
    </row>
    <row r="630">
      <c r="J630">
        <f>IFERROR(IF(NOT(ISNUMBER(J642)),"UNKNOWN",IF(J640="UNKNOWN","UNKNOWN",IF(J640=FALSE,J642,IF(NOT(ISNUMBER(J641)),"UNKNOWN",J642/(1+J641))))),"ERROR")</f>
        <v/>
      </c>
      <c r="K630">
        <f>IFERROR(IF(NOT(ISNUMBER(K642)),"UNKNOWN",IF(K640="UNKNOWN","UNKNOWN",IF(K640=FALSE,K642,IF(NOT(ISNUMBER(K641)),"UNKNOWN",K642/(1+K641))))),"ERROR")</f>
        <v/>
      </c>
    </row>
    <row r="631">
      <c r="J631">
        <f>IFERROR(IF(NOT(ISNUMBER(J642)),"UNKNOWN",IF(J640="UNKNOWN","UNKNOWN",IF(J640=TRUE,J642,IF(NOT(ISNUMBER(J641)),"UNKNOWN",J642*(1+J641))))),"ERROR")</f>
        <v/>
      </c>
      <c r="K631">
        <f>IFERROR(IF(NOT(ISNUMBER(K642)),"UNKNOWN",IF(K640="UNKNOWN","UNKNOWN",IF(K640=TRUE,K642,IF(NOT(ISNUMBER(K641)),"UNKNOWN",K642*(1+K641))))),"ERROR")</f>
        <v/>
      </c>
    </row>
    <row r="632">
      <c r="J632">
        <f>IFERROR(IF(J630="ERROR","ERROR",IF(NOT(ISNUMBER(J644)),"UNKNOWN",IF(OR(J644&lt;0,J644&gt;=1),"ERROR",IF(NOT(ISNUMBER(J630)),"UNKNOWN",IF(J647&gt;0,IF(J631="ERROR","ERROR",IF(NOT(ISNUMBER(J631)),"UNKNOWN",J630*(1-J644-$I$595)-J647*J631-$I$594)),J630*(1-J644-$I$595)-$I$594))))),"ERROR")</f>
        <v/>
      </c>
      <c r="K632">
        <f>IFERROR(IF(K630="ERROR","ERROR",IF(NOT(ISNUMBER(K644)),"UNKNOWN",IF(OR(K644&lt;0,K644&gt;=1),"ERROR",IF(NOT(ISNUMBER(K630)),"UNKNOWN",IF(K647&gt;0,IF(K631="ERROR","ERROR",IF(NOT(ISNUMBER(K631)),"UNKNOWN",K630*(1-K644-$I$595)-K647*K631-$I$594)),K630*(1-K644-$I$595)-$I$594))))),"ERROR")</f>
        <v/>
      </c>
    </row>
    <row r="633">
      <c r="J633">
        <f>IFERROR(IF(OR(J632="ERROR",J645="ERROR"),"ERROR",IF(OR(NOT(ISNUMBER(J632)),NOT(ISNUMBER(J645))),"UNKNOWN",J632-J645)),"ERROR")</f>
        <v/>
      </c>
      <c r="K633">
        <f>IFERROR(IF(OR(K632="ERROR",K645="ERROR"),"ERROR",IF(OR(NOT(ISNUMBER(K632)),NOT(ISNUMBER(K645))),"UNKNOWN",K632-K645)),"ERROR")</f>
        <v/>
      </c>
    </row>
    <row r="634">
      <c r="J634">
        <f>IF(OR(J632="ERROR",J645="ERROR",J633="ERROR"),"ERROR",IF(OR(NOT(ISNUMBER(J632)),NOT(ISNUMBER(J645)),NOT(ISNUMBER(J633))),"UNKNOWN","OK"))</f>
        <v/>
      </c>
      <c r="K634">
        <f>IF(OR(K632="ERROR",K645="ERROR",K633="ERROR"),"ERROR",IF(OR(NOT(ISNUMBER(K632)),NOT(ISNUMBER(K645)),NOT(ISNUMBER(K633))),"UNKNOWN","OK"))</f>
        <v/>
      </c>
    </row>
    <row r="635">
      <c r="J635">
        <f>IFERROR(IF(NOT(ISNUMBER(J646)),J646,IF(J646&lt;0,"ERROR",J646)),"ERROR")</f>
        <v/>
      </c>
      <c r="K635">
        <f>IFERROR(IF(NOT(ISNUMBER(K646)),K646,IF(K646&lt;0,"ERROR",K646)),"ERROR")</f>
        <v/>
      </c>
    </row>
    <row r="636">
      <c r="J636">
        <f>IFERROR(IF(OR(J619="ERROR",J635="ERROR"),"ERROR",IF(OR(NOT(ISNUMBER(J619)),NOT(ISNUMBER(J635))),"UNKNOWN",IF(J619&lt;=0,"NOT_APPLICABLE",J635/J619))),"ERROR")</f>
        <v/>
      </c>
      <c r="K636">
        <f>IFERROR(IF(OR(K619="ERROR",K635="ERROR"),"ERROR",IF(OR(NOT(ISNUMBER(K619)),NOT(ISNUMBER(K635))),"UNKNOWN",IF(K619&lt;=0,"NOT_APPLICABLE",K635/K619))),"ERROR")</f>
        <v/>
      </c>
    </row>
    <row r="637">
      <c r="J637">
        <f>IF(OR(J619="ERROR",J635="ERROR",J636="ERROR"),"ERROR",IF(OR(NOT(ISNUMBER(J619)),NOT(ISNUMBER(J635)),AND(NOT(ISNUMBER(J636)),J636&lt;&gt;"NOT_APPLICABLE")),"UNKNOWN","OK"))</f>
        <v/>
      </c>
      <c r="K637">
        <f>IF(OR(K619="ERROR",K635="ERROR",K636="ERROR"),"ERROR",IF(OR(NOT(ISNUMBER(K619)),NOT(ISNUMBER(K635)),AND(NOT(ISNUMBER(K636)),K636&lt;&gt;"NOT_APPLICABLE")),"UNKNOWN","OK"))</f>
        <v/>
      </c>
    </row>
    <row r="638">
      <c r="J638">
        <f>IF(OR(J621="ERROR",J628="ERROR",J634="ERROR",J637="ERROR"),"ERROR",IF(OR(J621="UNKNOWN",J628="UNKNOWN",J634="UNKNOWN",J637="UNKNOWN"),"INCOMPLETE","OK"))</f>
        <v/>
      </c>
      <c r="K638">
        <f>IF(OR(K621="ERROR",K628="ERROR",K634="ERROR",K637="ERROR"),"ERROR",IF(OR(K621="UNKNOWN",K628="UNKNOWN",K634="UNKNOWN",K637="UNKNOWN"),"INCOMPLETE","OK"))</f>
        <v/>
      </c>
    </row>
    <row r="639">
      <c r="J639">
        <f>IF($J$600="inherit",$I$588,IF($J$600="null","UNKNOWN",$J$601))</f>
        <v/>
      </c>
      <c r="K639">
        <f>IF($K$600="inherit",$I$588,IF($K$600="null","UNKNOWN",$K$601))</f>
        <v/>
      </c>
    </row>
    <row r="640">
      <c r="J640">
        <f>IF($J$602="inherit",$I$589,IF($J$602="null","UNKNOWN",$J$603))</f>
        <v/>
      </c>
      <c r="K640">
        <f>IF($K$602="inherit",$I$589,IF($K$602="null","UNKNOWN",$K$603))</f>
        <v/>
      </c>
    </row>
    <row r="641">
      <c r="J641">
        <f>IF($J$604="inherit",$I$590,IF($J$604="null","UNKNOWN",$J$605))</f>
        <v/>
      </c>
      <c r="K641">
        <f>IF($K$604="inherit",$I$590,IF($K$604="null","UNKNOWN",$K$605))</f>
        <v/>
      </c>
    </row>
    <row r="642">
      <c r="J642">
        <f>IF($J$606="inherit",$I$591,IF($J$606="null","UNKNOWN",$J$607))</f>
        <v/>
      </c>
      <c r="K642">
        <f>IF($K$606="inherit",$I$591,IF($K$606="null","UNKNOWN",$K$607))</f>
        <v/>
      </c>
    </row>
    <row r="643">
      <c r="J643">
        <f>IF($J$608="inherit",$I$592,IF($J$608="null","UNKNOWN",$J$609))</f>
        <v/>
      </c>
      <c r="K643">
        <f>IF($K$608="inherit",$I$592,IF($K$608="null","UNKNOWN",$K$609))</f>
        <v/>
      </c>
    </row>
    <row r="644">
      <c r="J644">
        <f>IF($J$610="inherit",$I$598,IF($J$610="null","UNKNOWN",$J$611))</f>
        <v/>
      </c>
      <c r="K644">
        <f>IF($K$610="inherit",$I$598,IF($K$610="null","UNKNOWN",$K$611))</f>
        <v/>
      </c>
    </row>
    <row r="645">
      <c r="J645">
        <f>IF($J$612="inherit",$I$593,IF($J$612="null","UNKNOWN",$J$613))</f>
        <v/>
      </c>
      <c r="K645">
        <f>IF($K$612="inherit",$I$593,IF($K$612="null","UNKNOWN",$K$613))</f>
        <v/>
      </c>
    </row>
    <row r="646">
      <c r="J646">
        <f>IF($J$614="inherit",$I$597,IF($J$614="null","UNKNOWN",$J$615))</f>
        <v/>
      </c>
      <c r="K646">
        <f>IF($K$614="inherit",$I$597,IF($K$614="null","UNKNOWN",$K$615))</f>
        <v/>
      </c>
    </row>
    <row r="647">
      <c r="J647">
        <f>IF($J$616="inherit",$I$596,IF($J$616="null","UNKNOWN",$J$617))</f>
        <v/>
      </c>
      <c r="K647">
        <f>IF($K$616="inherit",$I$596,IF($K$616="null","UNKNOWN",$K$617))</f>
        <v/>
      </c>
    </row>
    <row r="648">
      <c r="I648">
        <f>IFERROR(MATCH($I$599,$J$599:$K$599,0),0)</f>
        <v/>
      </c>
    </row>
    <row r="649">
      <c r="J649">
        <f>IF(I648=0,"ERROR",IF(OR($J$618="ERROR",INDEX($J$618:$K$618,1,I648)="ERROR"),"ERROR",IF(OR($J$618="UNKNOWN",INDEX($J$618:$K$618,1,I648)="UNKNOWN"),"UNKNOWN",IF(OR($J$618="NOT_APPLICABLE",INDEX($J$618:$K$618,1,I648)="NOT_APPLICABLE"),"NOT_APPLICABLE",$J$618-INDEX($J$618:$K$618,1,I648)))))</f>
        <v/>
      </c>
      <c r="K649">
        <f>IF(I648=0,"ERROR",IF(OR($K$618="ERROR",INDEX($J$618:$K$618,1,I648)="ERROR"),"ERROR",IF(OR($K$618="UNKNOWN",INDEX($J$618:$K$618,1,I648)="UNKNOWN"),"UNKNOWN",IF(OR($K$618="NOT_APPLICABLE",INDEX($J$618:$K$618,1,I648)="NOT_APPLICABLE"),"NOT_APPLICABLE",$K$618-INDEX($J$618:$K$618,1,I648)))))</f>
        <v/>
      </c>
    </row>
    <row r="650">
      <c r="J650">
        <f>IF(I648=0,"ERROR",IF(OR($J$619="ERROR",INDEX($J$619:$K$619,1,I648)="ERROR"),"ERROR",IF(OR($J$619="UNKNOWN",INDEX($J$619:$K$619,1,I648)="UNKNOWN"),"UNKNOWN",IF(OR($J$619="NOT_APPLICABLE",INDEX($J$619:$K$619,1,I648)="NOT_APPLICABLE"),"NOT_APPLICABLE",$J$619-INDEX($J$619:$K$619,1,I648)))))</f>
        <v/>
      </c>
      <c r="K650">
        <f>IF(I648=0,"ERROR",IF(OR($K$619="ERROR",INDEX($J$619:$K$619,1,I648)="ERROR"),"ERROR",IF(OR($K$619="UNKNOWN",INDEX($J$619:$K$619,1,I648)="UNKNOWN"),"UNKNOWN",IF(OR($K$619="NOT_APPLICABLE",INDEX($J$619:$K$619,1,I648)="NOT_APPLICABLE"),"NOT_APPLICABLE",$K$619-INDEX($J$619:$K$619,1,I648)))))</f>
        <v/>
      </c>
    </row>
    <row r="651">
      <c r="J651">
        <f>IF(I648=0,"ERROR",IF(OR($J$620="ERROR",INDEX($J$620:$K$620,1,I648)="ERROR"),"ERROR",IF(OR($J$620="UNKNOWN",INDEX($J$620:$K$620,1,I648)="UNKNOWN"),"UNKNOWN",IF(OR($J$620="NOT_APPLICABLE",INDEX($J$620:$K$620,1,I648)="NOT_APPLICABLE"),"NOT_APPLICABLE",$J$620-INDEX($J$620:$K$620,1,I648)))))</f>
        <v/>
      </c>
      <c r="K651">
        <f>IF(I648=0,"ERROR",IF(OR($K$620="ERROR",INDEX($J$620:$K$620,1,I648)="ERROR"),"ERROR",IF(OR($K$620="UNKNOWN",INDEX($J$620:$K$620,1,I648)="UNKNOWN"),"UNKNOWN",IF(OR($K$620="NOT_APPLICABLE",INDEX($J$620:$K$620,1,I648)="NOT_APPLICABLE"),"NOT_APPLICABLE",$K$620-INDEX($J$620:$K$620,1,I648)))))</f>
        <v/>
      </c>
    </row>
    <row r="652">
      <c r="J652">
        <f>IF(I648=0,"ERROR",IF(OR($J$636="ERROR",INDEX($J$636:$K$636,1,I648)="ERROR"),"ERROR",IF(OR($J$636="UNKNOWN",INDEX($J$636:$K$636,1,I648)="UNKNOWN"),"UNKNOWN",IF(OR($J$636="NOT_APPLICABLE",INDEX($J$636:$K$636,1,I648)="NOT_APPLICABLE"),"NOT_APPLICABLE",$J$636-INDEX($J$636:$K$636,1,I648)))))</f>
        <v/>
      </c>
      <c r="K652">
        <f>IF(I648=0,"ERROR",IF(OR($K$636="ERROR",INDEX($J$636:$K$636,1,I648)="ERROR"),"ERROR",IF(OR($K$636="UNKNOWN",INDEX($J$636:$K$636,1,I648)="UNKNOWN"),"UNKNOWN",IF(OR($K$636="NOT_APPLICABLE",INDEX($J$636:$K$636,1,I648)="NOT_APPLICABLE"),"NOT_APPLICABLE",$K$636-INDEX($J$636:$K$636,1,I648)))))</f>
        <v/>
      </c>
    </row>
    <row r="654">
      <c r="B654" s="8" t="inlineStr">
        <is>
          <t>Scenario A: scenario_status</t>
        </is>
      </c>
      <c r="C654" s="16">
        <f>J638</f>
        <v/>
      </c>
      <c r="D654" s="38" t="inlineStr">
        <is>
          <t>OK</t>
        </is>
      </c>
      <c r="F654" s="15">
        <f>IF(J638=D654,"PASS","FAIL")</f>
        <v/>
      </c>
    </row>
    <row r="655">
      <c r="B655" s="8" t="inlineStr">
        <is>
          <t>Scenario A: contribution_margin</t>
        </is>
      </c>
      <c r="C655" s="25">
        <f>J619</f>
        <v/>
      </c>
      <c r="D655" s="42" t="n">
        <v>500</v>
      </c>
      <c r="E655" s="26">
        <f>IF(ISNUMBER(D655),IF(ISNUMBER(J619),ABS(J619-D655),"N/A"),"N/A")</f>
        <v/>
      </c>
      <c r="F655" s="15">
        <f>IFERROR(IF(ISNUMBER(D655),IF(ISNUMBER(J619),IF(ABS(J619-D655)&lt;=0.01,"PASS","FAIL"),"FAIL"),IF(NOT(ISNUMBER(J619)),IF(J619=D655,"PASS","FAIL"),"FAIL")),"FAIL")</f>
        <v/>
      </c>
    </row>
    <row r="656">
      <c r="B656" s="8" t="inlineStr">
        <is>
          <t>Scenario A: break_even_quantity_exact</t>
        </is>
      </c>
      <c r="C656" s="25">
        <f>J636</f>
        <v/>
      </c>
      <c r="D656" s="42" t="n">
        <v>100</v>
      </c>
      <c r="E656" s="26">
        <f>IF(ISNUMBER(D656),IF(ISNUMBER(J636),ABS(J636-D656),"N/A"),"N/A")</f>
        <v/>
      </c>
      <c r="F656" s="15">
        <f>IFERROR(IF(ISNUMBER(D656),IF(ISNUMBER(J636),IF(ABS(J636-D656)&lt;=0.01,"PASS","FAIL"),"FAIL"),IF(NOT(ISNUMBER(J636)),IF(J636=D656,"PASS","FAIL"),"FAIL")),"FAIL")</f>
        <v/>
      </c>
    </row>
    <row r="657">
      <c r="B657" s="8" t="inlineStr">
        <is>
          <t>Scenario A: net_sales_ex_vat_delta</t>
        </is>
      </c>
      <c r="C657" s="43">
        <f>J649</f>
        <v/>
      </c>
      <c r="D657" s="44" t="n">
        <v>0</v>
      </c>
      <c r="F657" s="15">
        <f>IFERROR(IF(ISNUMBER(D657),IF(ISNUMBER(J649),IF(ABS(J649-D657)&lt;=0.01,"PASS","FAIL"),"FAIL"),IF(NOT(ISNUMBER(J649)),IF(J649=D657,"PASS","FAIL"),"FAIL")),"FAIL")</f>
        <v/>
      </c>
    </row>
    <row r="658">
      <c r="B658" s="8" t="inlineStr">
        <is>
          <t>Scenario A: contribution_margin_delta</t>
        </is>
      </c>
      <c r="C658" s="43">
        <f>J650</f>
        <v/>
      </c>
      <c r="D658" s="44" t="n">
        <v>0</v>
      </c>
      <c r="F658" s="15">
        <f>IFERROR(IF(ISNUMBER(D658),IF(ISNUMBER(J650),IF(ABS(J650-D658)&lt;=0.01,"PASS","FAIL"),"FAIL"),IF(NOT(ISNUMBER(J650)),IF(J650=D658,"PASS","FAIL"),"FAIL")),"FAIL")</f>
        <v/>
      </c>
    </row>
    <row r="659">
      <c r="B659" s="8" t="inlineStr">
        <is>
          <t>Scenario A: contribution_margin_rate_delta</t>
        </is>
      </c>
      <c r="C659" s="43">
        <f>J651</f>
        <v/>
      </c>
      <c r="D659" s="44" t="n">
        <v>0</v>
      </c>
      <c r="F659" s="15">
        <f>IFERROR(IF(ISNUMBER(D659),IF(ISNUMBER(J651),IF(ABS(J651-D659)&lt;=0.01,"PASS","FAIL"),"FAIL"),IF(NOT(ISNUMBER(J651)),IF(J651=D659,"PASS","FAIL"),"FAIL")),"FAIL")</f>
        <v/>
      </c>
    </row>
    <row r="660">
      <c r="B660" s="8" t="inlineStr">
        <is>
          <t>Scenario A: break_even_quantity_delta</t>
        </is>
      </c>
      <c r="C660" s="43">
        <f>J652</f>
        <v/>
      </c>
      <c r="D660" s="44" t="n">
        <v>0</v>
      </c>
      <c r="F660" s="15">
        <f>IFERROR(IF(ISNUMBER(D660),IF(ISNUMBER(J652),IF(ABS(J652-D660)&lt;=0.01,"PASS","FAIL"),"FAIL"),IF(NOT(ISNUMBER(J652)),IF(J652=D660,"PASS","FAIL"),"FAIL")),"FAIL")</f>
        <v/>
      </c>
    </row>
    <row r="661">
      <c r="B661" s="8" t="inlineStr">
        <is>
          <t>Scenario B: scenario_status</t>
        </is>
      </c>
      <c r="C661" s="16">
        <f>K638</f>
        <v/>
      </c>
      <c r="D661" s="38" t="inlineStr">
        <is>
          <t>OK</t>
        </is>
      </c>
      <c r="F661" s="15">
        <f>IF(K638=D661,"PASS","FAIL")</f>
        <v/>
      </c>
    </row>
    <row r="662">
      <c r="B662" s="8" t="inlineStr">
        <is>
          <t>Scenario B: contribution_margin</t>
        </is>
      </c>
      <c r="C662" s="25">
        <f>K619</f>
        <v/>
      </c>
      <c r="D662" s="42" t="n">
        <v>500</v>
      </c>
      <c r="E662" s="26">
        <f>IF(ISNUMBER(D662),IF(ISNUMBER(K619),ABS(K619-D662),"N/A"),"N/A")</f>
        <v/>
      </c>
      <c r="F662" s="15">
        <f>IFERROR(IF(ISNUMBER(D662),IF(ISNUMBER(K619),IF(ABS(K619-D662)&lt;=0.01,"PASS","FAIL"),"FAIL"),IF(NOT(ISNUMBER(K619)),IF(K619=D662,"PASS","FAIL"),"FAIL")),"FAIL")</f>
        <v/>
      </c>
    </row>
    <row r="663">
      <c r="B663" s="8" t="inlineStr">
        <is>
          <t>Scenario B: break_even_quantity_exact</t>
        </is>
      </c>
      <c r="C663" s="25">
        <f>K636</f>
        <v/>
      </c>
      <c r="D663" s="42" t="n">
        <v>100</v>
      </c>
      <c r="E663" s="26">
        <f>IF(ISNUMBER(D663),IF(ISNUMBER(K636),ABS(K636-D663),"N/A"),"N/A")</f>
        <v/>
      </c>
      <c r="F663" s="15">
        <f>IFERROR(IF(ISNUMBER(D663),IF(ISNUMBER(K636),IF(ABS(K636-D663)&lt;=0.01,"PASS","FAIL"),"FAIL"),IF(NOT(ISNUMBER(K636)),IF(K636=D663,"PASS","FAIL"),"FAIL")),"FAIL")</f>
        <v/>
      </c>
    </row>
    <row r="664">
      <c r="B664" s="8" t="inlineStr">
        <is>
          <t>Scenario B: net_sales_ex_vat_delta</t>
        </is>
      </c>
      <c r="C664" s="43">
        <f>K649</f>
        <v/>
      </c>
      <c r="D664" s="44" t="n">
        <v>0</v>
      </c>
      <c r="F664" s="15">
        <f>IFERROR(IF(ISNUMBER(D664),IF(ISNUMBER(K649),IF(ABS(K649-D664)&lt;=0.01,"PASS","FAIL"),"FAIL"),IF(NOT(ISNUMBER(K649)),IF(K649=D664,"PASS","FAIL"),"FAIL")),"FAIL")</f>
        <v/>
      </c>
    </row>
    <row r="665">
      <c r="B665" s="8" t="inlineStr">
        <is>
          <t>Scenario B: contribution_margin_delta</t>
        </is>
      </c>
      <c r="C665" s="43">
        <f>K650</f>
        <v/>
      </c>
      <c r="D665" s="44" t="n">
        <v>0</v>
      </c>
      <c r="F665" s="15">
        <f>IFERROR(IF(ISNUMBER(D665),IF(ISNUMBER(K650),IF(ABS(K650-D665)&lt;=0.01,"PASS","FAIL"),"FAIL"),IF(NOT(ISNUMBER(K650)),IF(K650=D665,"PASS","FAIL"),"FAIL")),"FAIL")</f>
        <v/>
      </c>
    </row>
    <row r="666">
      <c r="B666" s="8" t="inlineStr">
        <is>
          <t>Scenario B: contribution_margin_rate_delta</t>
        </is>
      </c>
      <c r="C666" s="43">
        <f>K651</f>
        <v/>
      </c>
      <c r="D666" s="44" t="n">
        <v>0</v>
      </c>
      <c r="F666" s="15">
        <f>IFERROR(IF(ISNUMBER(D666),IF(ISNUMBER(K651),IF(ABS(K651-D666)&lt;=0.01,"PASS","FAIL"),"FAIL"),IF(NOT(ISNUMBER(K651)),IF(K651=D666,"PASS","FAIL"),"FAIL")),"FAIL")</f>
        <v/>
      </c>
    </row>
    <row r="667">
      <c r="B667" s="8" t="inlineStr">
        <is>
          <t>Scenario B: break_even_quantity_delta</t>
        </is>
      </c>
      <c r="C667" s="43">
        <f>K652</f>
        <v/>
      </c>
      <c r="D667" s="44" t="n">
        <v>0</v>
      </c>
      <c r="F667" s="15">
        <f>IFERROR(IF(ISNUMBER(D667),IF(ISNUMBER(K652),IF(ABS(K652-D667)&lt;=0.01,"PASS","FAIL"),"FAIL"),IF(NOT(ISNUMBER(K652)),IF(K652=D667,"PASS","FAIL"),"FAIL")),"FAIL")</f>
        <v/>
      </c>
    </row>
    <row r="669" ht="20" customHeight="1">
      <c r="B669" s="2" t="inlineStr">
        <is>
          <t>TC9. Negative allowable cost (reuses MODE C TC11)</t>
        </is>
      </c>
      <c r="C669" s="7" t="n"/>
      <c r="D669" s="7" t="n"/>
      <c r="E669" s="7" t="n"/>
      <c r="F669" s="7" t="n"/>
    </row>
    <row r="670">
      <c r="B670" s="4" t="inlineStr">
        <is>
          <t>Check</t>
        </is>
      </c>
      <c r="C670" s="4" t="inlineStr">
        <is>
          <t>Excel Result</t>
        </is>
      </c>
      <c r="D670" s="4" t="inlineStr">
        <is>
          <t>Python Reference</t>
        </is>
      </c>
      <c r="E670" s="4" t="inlineStr">
        <is>
          <t>Difference</t>
        </is>
      </c>
      <c r="F670" s="4" t="inlineStr">
        <is>
          <t>PASS / FAIL</t>
        </is>
      </c>
    </row>
    <row r="671">
      <c r="I671" t="n">
        <v>10000</v>
      </c>
    </row>
    <row r="672">
      <c r="I672" t="b">
        <v>0</v>
      </c>
    </row>
    <row r="673">
      <c r="I673" t="n">
        <v>0.1</v>
      </c>
    </row>
    <row r="674">
      <c r="I674" t="n">
        <v>10000</v>
      </c>
    </row>
    <row r="675">
      <c r="I675" t="n">
        <v>0</v>
      </c>
    </row>
    <row r="676">
      <c r="I676" t="n">
        <v>400</v>
      </c>
    </row>
    <row r="677">
      <c r="I677" t="n">
        <v>0</v>
      </c>
    </row>
    <row r="678">
      <c r="I678" t="n">
        <v>0.3</v>
      </c>
    </row>
    <row r="679">
      <c r="I679" t="n">
        <v>0.3</v>
      </c>
    </row>
    <row r="680">
      <c r="I680" t="n">
        <v>50000</v>
      </c>
    </row>
    <row r="681">
      <c r="I681" t="n">
        <v>0.5</v>
      </c>
    </row>
    <row r="682">
      <c r="I682" t="inlineStr">
        <is>
          <t>A</t>
        </is>
      </c>
      <c r="J682" t="inlineStr">
        <is>
          <t>A</t>
        </is>
      </c>
      <c r="K682" t="inlineStr">
        <is>
          <t>B</t>
        </is>
      </c>
    </row>
    <row r="683">
      <c r="J683" t="inlineStr">
        <is>
          <t>inherit</t>
        </is>
      </c>
      <c r="K683" t="inlineStr">
        <is>
          <t>inherit</t>
        </is>
      </c>
    </row>
    <row r="684"/>
    <row r="685">
      <c r="J685" t="inlineStr">
        <is>
          <t>inherit</t>
        </is>
      </c>
      <c r="K685" t="inlineStr">
        <is>
          <t>inherit</t>
        </is>
      </c>
    </row>
    <row r="686"/>
    <row r="687">
      <c r="J687" t="inlineStr">
        <is>
          <t>inherit</t>
        </is>
      </c>
      <c r="K687" t="inlineStr">
        <is>
          <t>inherit</t>
        </is>
      </c>
    </row>
    <row r="688"/>
    <row r="689">
      <c r="J689" t="inlineStr">
        <is>
          <t>inherit</t>
        </is>
      </c>
      <c r="K689" t="inlineStr">
        <is>
          <t>inherit</t>
        </is>
      </c>
    </row>
    <row r="690"/>
    <row r="691">
      <c r="J691" t="inlineStr">
        <is>
          <t>inherit</t>
        </is>
      </c>
      <c r="K691" t="inlineStr">
        <is>
          <t>inherit</t>
        </is>
      </c>
    </row>
    <row r="692"/>
    <row r="693">
      <c r="J693" t="inlineStr">
        <is>
          <t>inherit</t>
        </is>
      </c>
      <c r="K693" t="inlineStr">
        <is>
          <t>inherit</t>
        </is>
      </c>
    </row>
    <row r="694"/>
    <row r="695">
      <c r="J695" t="inlineStr">
        <is>
          <t>inherit</t>
        </is>
      </c>
      <c r="K695" t="inlineStr">
        <is>
          <t>inherit</t>
        </is>
      </c>
    </row>
    <row r="696"/>
    <row r="697">
      <c r="J697" t="inlineStr">
        <is>
          <t>inherit</t>
        </is>
      </c>
      <c r="K697" t="inlineStr">
        <is>
          <t>inherit</t>
        </is>
      </c>
    </row>
    <row r="698"/>
    <row r="699">
      <c r="J699" t="inlineStr">
        <is>
          <t>inherit</t>
        </is>
      </c>
      <c r="K699" t="inlineStr">
        <is>
          <t>inherit</t>
        </is>
      </c>
    </row>
    <row r="700"/>
    <row r="701">
      <c r="J701">
        <f>IFERROR(IF(NOT(ISNUMBER(J722)),"UNKNOWN",IF(J723="UNKNOWN","UNKNOWN",IF(J723=FALSE,J722,IF(NOT(ISNUMBER(J724)),"UNKNOWN",J722/(1+J724))))),"ERROR")</f>
        <v/>
      </c>
      <c r="K701">
        <f>IFERROR(IF(NOT(ISNUMBER(K722)),"UNKNOWN",IF(K723="UNKNOWN","UNKNOWN",IF(K723=FALSE,K722,IF(NOT(ISNUMBER(K724)),"UNKNOWN",K722/(1+K724))))),"ERROR")</f>
        <v/>
      </c>
    </row>
    <row r="702">
      <c r="J702">
        <f>IFERROR(IF(J701="ERROR","ERROR",IF(OR(NOT(ISNUMBER(J701)),NOT(ISNUMBER(J728))),"UNKNOWN",IF(J730&gt;0,IF(J712="ERROR","ERROR",IF(NOT(ISNUMBER(J712)),"UNKNOWN",J701-J728-$I$677-$I$678*J701-J730*J712)),J701-J728-$I$677-$I$678*J701))),"ERROR")</f>
        <v/>
      </c>
      <c r="K702">
        <f>IFERROR(IF(K701="ERROR","ERROR",IF(OR(NOT(ISNUMBER(K701)),NOT(ISNUMBER(K728))),"UNKNOWN",IF(K730&gt;0,IF(K712="ERROR","ERROR",IF(NOT(ISNUMBER(K712)),"UNKNOWN",K701-K728-$I$677-$I$678*K701-K730*K712)),K701-K728-$I$677-$I$678*K701))),"ERROR")</f>
        <v/>
      </c>
    </row>
    <row r="703">
      <c r="J703">
        <f>IFERROR(IF(J702="ERROR","ERROR",IF(NOT(ISNUMBER(J702)),"UNKNOWN",IF(J701=0,"ERROR",J702/J701))),"ERROR")</f>
        <v/>
      </c>
      <c r="K703">
        <f>IFERROR(IF(K702="ERROR","ERROR",IF(NOT(ISNUMBER(K702)),"UNKNOWN",IF(K701=0,"ERROR",K702/K701))),"ERROR")</f>
        <v/>
      </c>
    </row>
    <row r="704">
      <c r="J704">
        <f>IF(OR(J701="ERROR",J702="ERROR",J703="ERROR"),"ERROR",IF(OR(NOT(ISNUMBER(J701)),NOT(ISNUMBER(J702)),NOT(ISNUMBER(J703))),"UNKNOWN","OK"))</f>
        <v/>
      </c>
      <c r="K704">
        <f>IF(OR(K701="ERROR",K702="ERROR",K703="ERROR"),"ERROR",IF(OR(NOT(ISNUMBER(K701)),NOT(ISNUMBER(K702)),NOT(ISNUMBER(K703))),"UNKNOWN","OK"))</f>
        <v/>
      </c>
    </row>
    <row r="705">
      <c r="J705">
        <f>IFERROR(IF(NOT(ISNUMBER(J728)),J728,J728+$I$677),"ERROR")</f>
        <v/>
      </c>
      <c r="K705">
        <f>IFERROR(IF(NOT(ISNUMBER(K728)),K728,K728+$I$677),"ERROR")</f>
        <v/>
      </c>
    </row>
    <row r="706">
      <c r="J706">
        <f>IFERROR(IF(NOT(ISNUMBER(J727)),"UNKNOWN",IF(OR(J727&lt;0,J727&gt;=1),"ERROR",IF(J730=0,IF(1-J727-$I$678&lt;=0,"ERROR",1-J727-$I$678),IF(NOT(ISNUMBER(J724)),"UNKNOWN",IF(1-J727-$I$678-J730*(1+J724)&lt;=0,"ERROR",1-J727-$I$678-J730*(1+J724)))))),"ERROR")</f>
        <v/>
      </c>
      <c r="K706">
        <f>IFERROR(IF(NOT(ISNUMBER(K727)),"UNKNOWN",IF(OR(K727&lt;0,K727&gt;=1),"ERROR",IF(K730=0,IF(1-K727-$I$678&lt;=0,"ERROR",1-K727-$I$678),IF(NOT(ISNUMBER(K724)),"UNKNOWN",IF(1-K727-$I$678-K730*(1+K724)&lt;=0,"ERROR",1-K727-$I$678-K730*(1+K724)))))),"ERROR")</f>
        <v/>
      </c>
    </row>
    <row r="707">
      <c r="J707">
        <f>IFERROR(IF(NOT(ISNUMBER(J705)),J705,IF(NOT(ISNUMBER(J706)),J706,J705/J706)),"ERROR")</f>
        <v/>
      </c>
      <c r="K707">
        <f>IFERROR(IF(NOT(ISNUMBER(K705)),K705,IF(NOT(ISNUMBER(K706)),K706,K705/K706)),"ERROR")</f>
        <v/>
      </c>
    </row>
    <row r="708">
      <c r="J708">
        <f>IFERROR(IF(NOT(ISNUMBER(J707)),J707,IF(NOT(ISNUMBER(J724)),"UNKNOWN",J707*(1+J724))),"ERROR")</f>
        <v/>
      </c>
      <c r="K708">
        <f>IFERROR(IF(NOT(ISNUMBER(K707)),K707,IF(NOT(ISNUMBER(K724)),"UNKNOWN",K707*(1+K724))),"ERROR")</f>
        <v/>
      </c>
    </row>
    <row r="709">
      <c r="J709">
        <f>IFERROR(IF(J723="UNKNOWN","UNKNOWN",IF(J723=FALSE,J707,J708)),"ERROR")</f>
        <v/>
      </c>
      <c r="K709">
        <f>IFERROR(IF(K723="UNKNOWN","UNKNOWN",IF(K723=FALSE,K707,K708)),"ERROR")</f>
        <v/>
      </c>
    </row>
    <row r="710">
      <c r="J710">
        <f>IFERROR(IF(NOT(ISNUMBER(J709)),J709,IF(NOT(ISNUMBER(J726)),"UNKNOWN",IF(OR(J726&lt;0,J726&gt;=1),"ERROR",IF(J726=0,J709,J709/(1-J726))))),"ERROR")</f>
        <v/>
      </c>
      <c r="K710">
        <f>IFERROR(IF(NOT(ISNUMBER(K709)),K709,IF(NOT(ISNUMBER(K726)),"UNKNOWN",IF(OR(K726&lt;0,K726&gt;=1),"ERROR",IF(K726=0,K709,K709/(1-K726))))),"ERROR")</f>
        <v/>
      </c>
    </row>
    <row r="711">
      <c r="J711">
        <f>IF(OR(J709="ERROR",J710="ERROR"),"ERROR",IF(OR(NOT(ISNUMBER(J709)),NOT(ISNUMBER(J710))),"UNKNOWN","OK"))</f>
        <v/>
      </c>
      <c r="K711">
        <f>IF(OR(K709="ERROR",K710="ERROR"),"ERROR",IF(OR(NOT(ISNUMBER(K709)),NOT(ISNUMBER(K710))),"UNKNOWN","OK"))</f>
        <v/>
      </c>
    </row>
    <row r="712">
      <c r="J712">
        <f>IFERROR(IF(NOT(ISNUMBER(J722)),"UNKNOWN",IF(J723="UNKNOWN","UNKNOWN",IF(J723=TRUE,J722,IF(NOT(ISNUMBER(J724)),"UNKNOWN",J722*(1+J724))))),"ERROR")</f>
        <v/>
      </c>
      <c r="K712">
        <f>IFERROR(IF(NOT(ISNUMBER(K722)),"UNKNOWN",IF(K723="UNKNOWN","UNKNOWN",IF(K723=TRUE,K722,IF(NOT(ISNUMBER(K724)),"UNKNOWN",K722*(1+K724))))),"ERROR")</f>
        <v/>
      </c>
    </row>
    <row r="713">
      <c r="J713">
        <f>IFERROR(IF(NOT(ISNUMBER(J725)),"UNKNOWN",IF(J723="UNKNOWN","UNKNOWN",IF(J723=FALSE,J725,IF(NOT(ISNUMBER(J724)),"UNKNOWN",J725/(1+J724))))),"ERROR")</f>
        <v/>
      </c>
      <c r="K713">
        <f>IFERROR(IF(NOT(ISNUMBER(K725)),"UNKNOWN",IF(K723="UNKNOWN","UNKNOWN",IF(K723=FALSE,K725,IF(NOT(ISNUMBER(K724)),"UNKNOWN",K725/(1+K724))))),"ERROR")</f>
        <v/>
      </c>
    </row>
    <row r="714">
      <c r="J714">
        <f>IFERROR(IF(NOT(ISNUMBER(J725)),"UNKNOWN",IF(J723="UNKNOWN","UNKNOWN",IF(J723=TRUE,J725,IF(NOT(ISNUMBER(J724)),"UNKNOWN",J725*(1+J724))))),"ERROR")</f>
        <v/>
      </c>
      <c r="K714">
        <f>IFERROR(IF(NOT(ISNUMBER(K725)),"UNKNOWN",IF(K723="UNKNOWN","UNKNOWN",IF(K723=TRUE,K725,IF(NOT(ISNUMBER(K724)),"UNKNOWN",K725*(1+K724))))),"ERROR")</f>
        <v/>
      </c>
    </row>
    <row r="715">
      <c r="J715">
        <f>IFERROR(IF(J713="ERROR","ERROR",IF(NOT(ISNUMBER(J727)),"UNKNOWN",IF(OR(J727&lt;0,J727&gt;=1),"ERROR",IF(NOT(ISNUMBER(J713)),"UNKNOWN",IF(J730&gt;0,IF(J714="ERROR","ERROR",IF(NOT(ISNUMBER(J714)),"UNKNOWN",J713*(1-J727-$I$678)-J730*J714-$I$677)),J713*(1-J727-$I$678)-$I$677))))),"ERROR")</f>
        <v/>
      </c>
      <c r="K715">
        <f>IFERROR(IF(K713="ERROR","ERROR",IF(NOT(ISNUMBER(K727)),"UNKNOWN",IF(OR(K727&lt;0,K727&gt;=1),"ERROR",IF(NOT(ISNUMBER(K713)),"UNKNOWN",IF(K730&gt;0,IF(K714="ERROR","ERROR",IF(NOT(ISNUMBER(K714)),"UNKNOWN",K713*(1-K727-$I$678)-K730*K714-$I$677)),K713*(1-K727-$I$678)-$I$677))))),"ERROR")</f>
        <v/>
      </c>
    </row>
    <row r="716">
      <c r="J716">
        <f>IFERROR(IF(OR(J715="ERROR",J728="ERROR"),"ERROR",IF(OR(NOT(ISNUMBER(J715)),NOT(ISNUMBER(J728))),"UNKNOWN",J715-J728)),"ERROR")</f>
        <v/>
      </c>
      <c r="K716">
        <f>IFERROR(IF(OR(K715="ERROR",K728="ERROR"),"ERROR",IF(OR(NOT(ISNUMBER(K715)),NOT(ISNUMBER(K728))),"UNKNOWN",K715-K728)),"ERROR")</f>
        <v/>
      </c>
    </row>
    <row r="717">
      <c r="J717">
        <f>IF(OR(J715="ERROR",J728="ERROR",J716="ERROR"),"ERROR",IF(OR(NOT(ISNUMBER(J715)),NOT(ISNUMBER(J728)),NOT(ISNUMBER(J716))),"UNKNOWN","OK"))</f>
        <v/>
      </c>
      <c r="K717">
        <f>IF(OR(K715="ERROR",K728="ERROR",K716="ERROR"),"ERROR",IF(OR(NOT(ISNUMBER(K715)),NOT(ISNUMBER(K728)),NOT(ISNUMBER(K716))),"UNKNOWN","OK"))</f>
        <v/>
      </c>
    </row>
    <row r="718">
      <c r="J718">
        <f>IFERROR(IF(NOT(ISNUMBER(J729)),J729,IF(J729&lt;0,"ERROR",J729)),"ERROR")</f>
        <v/>
      </c>
      <c r="K718">
        <f>IFERROR(IF(NOT(ISNUMBER(K729)),K729,IF(K729&lt;0,"ERROR",K729)),"ERROR")</f>
        <v/>
      </c>
    </row>
    <row r="719">
      <c r="J719">
        <f>IFERROR(IF(OR(J702="ERROR",J718="ERROR"),"ERROR",IF(OR(NOT(ISNUMBER(J702)),NOT(ISNUMBER(J718))),"UNKNOWN",IF(J702&lt;=0,"NOT_APPLICABLE",J718/J702))),"ERROR")</f>
        <v/>
      </c>
      <c r="K719">
        <f>IFERROR(IF(OR(K702="ERROR",K718="ERROR"),"ERROR",IF(OR(NOT(ISNUMBER(K702)),NOT(ISNUMBER(K718))),"UNKNOWN",IF(K702&lt;=0,"NOT_APPLICABLE",K718/K702))),"ERROR")</f>
        <v/>
      </c>
    </row>
    <row r="720">
      <c r="J720">
        <f>IF(OR(J702="ERROR",J718="ERROR",J719="ERROR"),"ERROR",IF(OR(NOT(ISNUMBER(J702)),NOT(ISNUMBER(J718)),AND(NOT(ISNUMBER(J719)),J719&lt;&gt;"NOT_APPLICABLE")),"UNKNOWN","OK"))</f>
        <v/>
      </c>
      <c r="K720">
        <f>IF(OR(K702="ERROR",K718="ERROR",K719="ERROR"),"ERROR",IF(OR(NOT(ISNUMBER(K702)),NOT(ISNUMBER(K718)),AND(NOT(ISNUMBER(K719)),K719&lt;&gt;"NOT_APPLICABLE")),"UNKNOWN","OK"))</f>
        <v/>
      </c>
    </row>
    <row r="721">
      <c r="J721">
        <f>IF(OR(J704="ERROR",J711="ERROR",J717="ERROR",J720="ERROR"),"ERROR",IF(OR(J704="UNKNOWN",J711="UNKNOWN",J717="UNKNOWN",J720="UNKNOWN"),"INCOMPLETE","OK"))</f>
        <v/>
      </c>
      <c r="K721">
        <f>IF(OR(K704="ERROR",K711="ERROR",K717="ERROR",K720="ERROR"),"ERROR",IF(OR(K704="UNKNOWN",K711="UNKNOWN",K717="UNKNOWN",K720="UNKNOWN"),"INCOMPLETE","OK"))</f>
        <v/>
      </c>
    </row>
    <row r="722">
      <c r="J722">
        <f>IF($J$683="inherit",$I$671,IF($J$683="null","UNKNOWN",$J$684))</f>
        <v/>
      </c>
      <c r="K722">
        <f>IF($K$683="inherit",$I$671,IF($K$683="null","UNKNOWN",$K$684))</f>
        <v/>
      </c>
    </row>
    <row r="723">
      <c r="J723">
        <f>IF($J$685="inherit",$I$672,IF($J$685="null","UNKNOWN",$J$686))</f>
        <v/>
      </c>
      <c r="K723">
        <f>IF($K$685="inherit",$I$672,IF($K$685="null","UNKNOWN",$K$686))</f>
        <v/>
      </c>
    </row>
    <row r="724">
      <c r="J724">
        <f>IF($J$687="inherit",$I$673,IF($J$687="null","UNKNOWN",$J$688))</f>
        <v/>
      </c>
      <c r="K724">
        <f>IF($K$687="inherit",$I$673,IF($K$687="null","UNKNOWN",$K$688))</f>
        <v/>
      </c>
    </row>
    <row r="725">
      <c r="J725">
        <f>IF($J$689="inherit",$I$674,IF($J$689="null","UNKNOWN",$J$690))</f>
        <v/>
      </c>
      <c r="K725">
        <f>IF($K$689="inherit",$I$674,IF($K$689="null","UNKNOWN",$K$690))</f>
        <v/>
      </c>
    </row>
    <row r="726">
      <c r="J726">
        <f>IF($J$691="inherit",$I$675,IF($J$691="null","UNKNOWN",$J$692))</f>
        <v/>
      </c>
      <c r="K726">
        <f>IF($K$691="inherit",$I$675,IF($K$691="null","UNKNOWN",$K$692))</f>
        <v/>
      </c>
    </row>
    <row r="727">
      <c r="J727">
        <f>IF($J$693="inherit",$I$681,IF($J$693="null","UNKNOWN",$J$694))</f>
        <v/>
      </c>
      <c r="K727">
        <f>IF($K$693="inherit",$I$681,IF($K$693="null","UNKNOWN",$K$694))</f>
        <v/>
      </c>
    </row>
    <row r="728">
      <c r="J728">
        <f>IF($J$695="inherit",$I$676,IF($J$695="null","UNKNOWN",$J$696))</f>
        <v/>
      </c>
      <c r="K728">
        <f>IF($K$695="inherit",$I$676,IF($K$695="null","UNKNOWN",$K$696))</f>
        <v/>
      </c>
    </row>
    <row r="729">
      <c r="J729">
        <f>IF($J$697="inherit",$I$680,IF($J$697="null","UNKNOWN",$J$698))</f>
        <v/>
      </c>
      <c r="K729">
        <f>IF($K$697="inherit",$I$680,IF($K$697="null","UNKNOWN",$K$698))</f>
        <v/>
      </c>
    </row>
    <row r="730">
      <c r="J730">
        <f>IF($J$699="inherit",$I$679,IF($J$699="null","UNKNOWN",$J$700))</f>
        <v/>
      </c>
      <c r="K730">
        <f>IF($K$699="inherit",$I$679,IF($K$699="null","UNKNOWN",$K$700))</f>
        <v/>
      </c>
    </row>
    <row r="731">
      <c r="I731">
        <f>IFERROR(MATCH($I$682,$J$682:$K$682,0),0)</f>
        <v/>
      </c>
    </row>
    <row r="732">
      <c r="J732">
        <f>IF(I731=0,"ERROR",IF(OR($J$701="ERROR",INDEX($J$701:$K$701,1,I731)="ERROR"),"ERROR",IF(OR($J$701="UNKNOWN",INDEX($J$701:$K$701,1,I731)="UNKNOWN"),"UNKNOWN",IF(OR($J$701="NOT_APPLICABLE",INDEX($J$701:$K$701,1,I731)="NOT_APPLICABLE"),"NOT_APPLICABLE",$J$701-INDEX($J$701:$K$701,1,I731)))))</f>
        <v/>
      </c>
      <c r="K732">
        <f>IF(I731=0,"ERROR",IF(OR($K$701="ERROR",INDEX($J$701:$K$701,1,I731)="ERROR"),"ERROR",IF(OR($K$701="UNKNOWN",INDEX($J$701:$K$701,1,I731)="UNKNOWN"),"UNKNOWN",IF(OR($K$701="NOT_APPLICABLE",INDEX($J$701:$K$701,1,I731)="NOT_APPLICABLE"),"NOT_APPLICABLE",$K$701-INDEX($J$701:$K$701,1,I731)))))</f>
        <v/>
      </c>
    </row>
    <row r="733">
      <c r="J733">
        <f>IF(I731=0,"ERROR",IF(OR($J$702="ERROR",INDEX($J$702:$K$702,1,I731)="ERROR"),"ERROR",IF(OR($J$702="UNKNOWN",INDEX($J$702:$K$702,1,I731)="UNKNOWN"),"UNKNOWN",IF(OR($J$702="NOT_APPLICABLE",INDEX($J$702:$K$702,1,I731)="NOT_APPLICABLE"),"NOT_APPLICABLE",$J$702-INDEX($J$702:$K$702,1,I731)))))</f>
        <v/>
      </c>
      <c r="K733">
        <f>IF(I731=0,"ERROR",IF(OR($K$702="ERROR",INDEX($J$702:$K$702,1,I731)="ERROR"),"ERROR",IF(OR($K$702="UNKNOWN",INDEX($J$702:$K$702,1,I731)="UNKNOWN"),"UNKNOWN",IF(OR($K$702="NOT_APPLICABLE",INDEX($J$702:$K$702,1,I731)="NOT_APPLICABLE"),"NOT_APPLICABLE",$K$702-INDEX($J$702:$K$702,1,I731)))))</f>
        <v/>
      </c>
    </row>
    <row r="734">
      <c r="J734">
        <f>IF(I731=0,"ERROR",IF(OR($J$703="ERROR",INDEX($J$703:$K$703,1,I731)="ERROR"),"ERROR",IF(OR($J$703="UNKNOWN",INDEX($J$703:$K$703,1,I731)="UNKNOWN"),"UNKNOWN",IF(OR($J$703="NOT_APPLICABLE",INDEX($J$703:$K$703,1,I731)="NOT_APPLICABLE"),"NOT_APPLICABLE",$J$703-INDEX($J$703:$K$703,1,I731)))))</f>
        <v/>
      </c>
      <c r="K734">
        <f>IF(I731=0,"ERROR",IF(OR($K$703="ERROR",INDEX($J$703:$K$703,1,I731)="ERROR"),"ERROR",IF(OR($K$703="UNKNOWN",INDEX($J$703:$K$703,1,I731)="UNKNOWN"),"UNKNOWN",IF(OR($K$703="NOT_APPLICABLE",INDEX($J$703:$K$703,1,I731)="NOT_APPLICABLE"),"NOT_APPLICABLE",$K$703-INDEX($J$703:$K$703,1,I731)))))</f>
        <v/>
      </c>
    </row>
    <row r="735">
      <c r="J735">
        <f>IF(I731=0,"ERROR",IF(OR($J$719="ERROR",INDEX($J$719:$K$719,1,I731)="ERROR"),"ERROR",IF(OR($J$719="UNKNOWN",INDEX($J$719:$K$719,1,I731)="UNKNOWN"),"UNKNOWN",IF(OR($J$719="NOT_APPLICABLE",INDEX($J$719:$K$719,1,I731)="NOT_APPLICABLE"),"NOT_APPLICABLE",$J$719-INDEX($J$719:$K$719,1,I731)))))</f>
        <v/>
      </c>
      <c r="K735">
        <f>IF(I731=0,"ERROR",IF(OR($K$719="ERROR",INDEX($J$719:$K$719,1,I731)="ERROR"),"ERROR",IF(OR($K$719="UNKNOWN",INDEX($J$719:$K$719,1,I731)="UNKNOWN"),"UNKNOWN",IF(OR($K$719="NOT_APPLICABLE",INDEX($J$719:$K$719,1,I731)="NOT_APPLICABLE"),"NOT_APPLICABLE",$K$719-INDEX($J$719:$K$719,1,I731)))))</f>
        <v/>
      </c>
    </row>
    <row r="737">
      <c r="B737" s="8" t="inlineStr">
        <is>
          <t>Scenario A: scenario_status</t>
        </is>
      </c>
      <c r="C737" s="16">
        <f>J721</f>
        <v/>
      </c>
      <c r="D737" s="38" t="inlineStr">
        <is>
          <t>ERROR</t>
        </is>
      </c>
      <c r="F737" s="15">
        <f>IF(J721=D737,"PASS","FAIL")</f>
        <v/>
      </c>
    </row>
    <row r="738">
      <c r="B738" s="8" t="inlineStr">
        <is>
          <t>Scenario A: contribution_margin</t>
        </is>
      </c>
      <c r="C738" s="25">
        <f>J702</f>
        <v/>
      </c>
      <c r="D738" s="42" t="n">
        <v>3300</v>
      </c>
      <c r="E738" s="26">
        <f>IF(ISNUMBER(D738),IF(ISNUMBER(J702),ABS(J702-D738),"N/A"),"N/A")</f>
        <v/>
      </c>
      <c r="F738" s="15">
        <f>IFERROR(IF(ISNUMBER(D738),IF(ISNUMBER(J702),IF(ABS(J702-D738)&lt;=0.01,"PASS","FAIL"),"FAIL"),IF(NOT(ISNUMBER(J702)),IF(J702=D738,"PASS","FAIL"),"FAIL")),"FAIL")</f>
        <v/>
      </c>
    </row>
    <row r="739">
      <c r="B739" s="8" t="inlineStr">
        <is>
          <t>Scenario A: break_even_quantity_exact</t>
        </is>
      </c>
      <c r="C739" s="25">
        <f>J719</f>
        <v/>
      </c>
      <c r="D739" s="42" t="n">
        <v>15.15151515151515</v>
      </c>
      <c r="E739" s="26">
        <f>IF(ISNUMBER(D739),IF(ISNUMBER(J719),ABS(J719-D739),"N/A"),"N/A")</f>
        <v/>
      </c>
      <c r="F739" s="15">
        <f>IFERROR(IF(ISNUMBER(D739),IF(ISNUMBER(J719),IF(ABS(J719-D739)&lt;=0.01,"PASS","FAIL"),"FAIL"),IF(NOT(ISNUMBER(J719)),IF(J719=D739,"PASS","FAIL"),"FAIL")),"FAIL")</f>
        <v/>
      </c>
    </row>
    <row r="740">
      <c r="B740" s="8" t="inlineStr">
        <is>
          <t>Scenario A: net_sales_ex_vat_delta</t>
        </is>
      </c>
      <c r="C740" s="43">
        <f>J732</f>
        <v/>
      </c>
      <c r="D740" s="44" t="n">
        <v>0</v>
      </c>
      <c r="F740" s="15">
        <f>IFERROR(IF(ISNUMBER(D740),IF(ISNUMBER(J732),IF(ABS(J732-D740)&lt;=0.01,"PASS","FAIL"),"FAIL"),IF(NOT(ISNUMBER(J732)),IF(J732=D740,"PASS","FAIL"),"FAIL")),"FAIL")</f>
        <v/>
      </c>
    </row>
    <row r="741">
      <c r="B741" s="8" t="inlineStr">
        <is>
          <t>Scenario A: contribution_margin_delta</t>
        </is>
      </c>
      <c r="C741" s="43">
        <f>J733</f>
        <v/>
      </c>
      <c r="D741" s="44" t="n">
        <v>0</v>
      </c>
      <c r="F741" s="15">
        <f>IFERROR(IF(ISNUMBER(D741),IF(ISNUMBER(J733),IF(ABS(J733-D741)&lt;=0.01,"PASS","FAIL"),"FAIL"),IF(NOT(ISNUMBER(J733)),IF(J733=D741,"PASS","FAIL"),"FAIL")),"FAIL")</f>
        <v/>
      </c>
    </row>
    <row r="742">
      <c r="B742" s="8" t="inlineStr">
        <is>
          <t>Scenario A: contribution_margin_rate_delta</t>
        </is>
      </c>
      <c r="C742" s="43">
        <f>J734</f>
        <v/>
      </c>
      <c r="D742" s="44" t="n">
        <v>0</v>
      </c>
      <c r="F742" s="15">
        <f>IFERROR(IF(ISNUMBER(D742),IF(ISNUMBER(J734),IF(ABS(J734-D742)&lt;=0.01,"PASS","FAIL"),"FAIL"),IF(NOT(ISNUMBER(J734)),IF(J734=D742,"PASS","FAIL"),"FAIL")),"FAIL")</f>
        <v/>
      </c>
    </row>
    <row r="743">
      <c r="B743" s="8" t="inlineStr">
        <is>
          <t>Scenario A: break_even_quantity_delta</t>
        </is>
      </c>
      <c r="C743" s="43">
        <f>J735</f>
        <v/>
      </c>
      <c r="D743" s="44" t="n">
        <v>0</v>
      </c>
      <c r="F743" s="15">
        <f>IFERROR(IF(ISNUMBER(D743),IF(ISNUMBER(J735),IF(ABS(J735-D743)&lt;=0.01,"PASS","FAIL"),"FAIL"),IF(NOT(ISNUMBER(J735)),IF(J735=D743,"PASS","FAIL"),"FAIL")),"FAIL")</f>
        <v/>
      </c>
    </row>
    <row r="744">
      <c r="B744" s="8" t="inlineStr">
        <is>
          <t>Scenario B: scenario_status</t>
        </is>
      </c>
      <c r="C744" s="16">
        <f>K721</f>
        <v/>
      </c>
      <c r="D744" s="38" t="inlineStr">
        <is>
          <t>ERROR</t>
        </is>
      </c>
      <c r="F744" s="15">
        <f>IF(K721=D744,"PASS","FAIL")</f>
        <v/>
      </c>
    </row>
    <row r="745">
      <c r="B745" s="8" t="inlineStr">
        <is>
          <t>Scenario B: contribution_margin</t>
        </is>
      </c>
      <c r="C745" s="25">
        <f>K702</f>
        <v/>
      </c>
      <c r="D745" s="42" t="n">
        <v>3300</v>
      </c>
      <c r="E745" s="26">
        <f>IF(ISNUMBER(D745),IF(ISNUMBER(K702),ABS(K702-D745),"N/A"),"N/A")</f>
        <v/>
      </c>
      <c r="F745" s="15">
        <f>IFERROR(IF(ISNUMBER(D745),IF(ISNUMBER(K702),IF(ABS(K702-D745)&lt;=0.01,"PASS","FAIL"),"FAIL"),IF(NOT(ISNUMBER(K702)),IF(K702=D745,"PASS","FAIL"),"FAIL")),"FAIL")</f>
        <v/>
      </c>
    </row>
    <row r="746">
      <c r="B746" s="8" t="inlineStr">
        <is>
          <t>Scenario B: break_even_quantity_exact</t>
        </is>
      </c>
      <c r="C746" s="25">
        <f>K719</f>
        <v/>
      </c>
      <c r="D746" s="42" t="n">
        <v>15.15151515151515</v>
      </c>
      <c r="E746" s="26">
        <f>IF(ISNUMBER(D746),IF(ISNUMBER(K719),ABS(K719-D746),"N/A"),"N/A")</f>
        <v/>
      </c>
      <c r="F746" s="15">
        <f>IFERROR(IF(ISNUMBER(D746),IF(ISNUMBER(K719),IF(ABS(K719-D746)&lt;=0.01,"PASS","FAIL"),"FAIL"),IF(NOT(ISNUMBER(K719)),IF(K719=D746,"PASS","FAIL"),"FAIL")),"FAIL")</f>
        <v/>
      </c>
    </row>
    <row r="747">
      <c r="B747" s="8" t="inlineStr">
        <is>
          <t>Scenario B: net_sales_ex_vat_delta</t>
        </is>
      </c>
      <c r="C747" s="43">
        <f>K732</f>
        <v/>
      </c>
      <c r="D747" s="44" t="n">
        <v>0</v>
      </c>
      <c r="F747" s="15">
        <f>IFERROR(IF(ISNUMBER(D747),IF(ISNUMBER(K732),IF(ABS(K732-D747)&lt;=0.01,"PASS","FAIL"),"FAIL"),IF(NOT(ISNUMBER(K732)),IF(K732=D747,"PASS","FAIL"),"FAIL")),"FAIL")</f>
        <v/>
      </c>
    </row>
    <row r="748">
      <c r="B748" s="8" t="inlineStr">
        <is>
          <t>Scenario B: contribution_margin_delta</t>
        </is>
      </c>
      <c r="C748" s="43">
        <f>K733</f>
        <v/>
      </c>
      <c r="D748" s="44" t="n">
        <v>0</v>
      </c>
      <c r="F748" s="15">
        <f>IFERROR(IF(ISNUMBER(D748),IF(ISNUMBER(K733),IF(ABS(K733-D748)&lt;=0.01,"PASS","FAIL"),"FAIL"),IF(NOT(ISNUMBER(K733)),IF(K733=D748,"PASS","FAIL"),"FAIL")),"FAIL")</f>
        <v/>
      </c>
    </row>
    <row r="749">
      <c r="B749" s="8" t="inlineStr">
        <is>
          <t>Scenario B: contribution_margin_rate_delta</t>
        </is>
      </c>
      <c r="C749" s="43">
        <f>K734</f>
        <v/>
      </c>
      <c r="D749" s="44" t="n">
        <v>0</v>
      </c>
      <c r="F749" s="15">
        <f>IFERROR(IF(ISNUMBER(D749),IF(ISNUMBER(K734),IF(ABS(K734-D749)&lt;=0.01,"PASS","FAIL"),"FAIL"),IF(NOT(ISNUMBER(K734)),IF(K734=D749,"PASS","FAIL"),"FAIL")),"FAIL")</f>
        <v/>
      </c>
    </row>
    <row r="750">
      <c r="B750" s="8" t="inlineStr">
        <is>
          <t>Scenario B: break_even_quantity_delta</t>
        </is>
      </c>
      <c r="C750" s="43">
        <f>K735</f>
        <v/>
      </c>
      <c r="D750" s="44" t="n">
        <v>0</v>
      </c>
      <c r="F750" s="15">
        <f>IFERROR(IF(ISNUMBER(D750),IF(ISNUMBER(K735),IF(ABS(K735-D750)&lt;=0.01,"PASS","FAIL"),"FAIL"),IF(NOT(ISNUMBER(K735)),IF(K735=D750,"PASS","FAIL"),"FAIL")),"FAIL")</f>
        <v/>
      </c>
    </row>
    <row r="752" ht="20" customHeight="1">
      <c r="B752" s="2" t="inlineStr">
        <is>
          <t>TC10. BEP improves (price up)</t>
        </is>
      </c>
      <c r="C752" s="7" t="n"/>
      <c r="D752" s="7" t="n"/>
      <c r="E752" s="7" t="n"/>
      <c r="F752" s="7" t="n"/>
    </row>
    <row r="753">
      <c r="B753" s="4" t="inlineStr">
        <is>
          <t>Check</t>
        </is>
      </c>
      <c r="C753" s="4" t="inlineStr">
        <is>
          <t>Excel Result</t>
        </is>
      </c>
      <c r="D753" s="4" t="inlineStr">
        <is>
          <t>Python Reference</t>
        </is>
      </c>
      <c r="E753" s="4" t="inlineStr">
        <is>
          <t>Difference</t>
        </is>
      </c>
      <c r="F753" s="4" t="inlineStr">
        <is>
          <t>PASS / FAIL</t>
        </is>
      </c>
    </row>
    <row r="754">
      <c r="I754" t="n">
        <v>1000</v>
      </c>
    </row>
    <row r="755">
      <c r="I755" t="b">
        <v>0</v>
      </c>
    </row>
    <row r="756">
      <c r="I756" t="n">
        <v>0.1</v>
      </c>
    </row>
    <row r="757">
      <c r="I757" t="n">
        <v>1000</v>
      </c>
    </row>
    <row r="758">
      <c r="I758" t="n">
        <v>0</v>
      </c>
    </row>
    <row r="759">
      <c r="I759" t="n">
        <v>400</v>
      </c>
    </row>
    <row r="760">
      <c r="I760" t="n">
        <v>100</v>
      </c>
    </row>
    <row r="761">
      <c r="I761" t="n">
        <v>0</v>
      </c>
    </row>
    <row r="762">
      <c r="I762" t="n">
        <v>0</v>
      </c>
    </row>
    <row r="763">
      <c r="I763" t="n">
        <v>50000</v>
      </c>
    </row>
    <row r="764">
      <c r="I764" t="n">
        <v>0.3</v>
      </c>
    </row>
    <row r="765">
      <c r="I765" t="inlineStr">
        <is>
          <t>A</t>
        </is>
      </c>
      <c r="J765" t="inlineStr">
        <is>
          <t>A</t>
        </is>
      </c>
      <c r="K765" t="inlineStr">
        <is>
          <t>B</t>
        </is>
      </c>
    </row>
    <row r="766">
      <c r="J766" t="inlineStr">
        <is>
          <t>inherit</t>
        </is>
      </c>
      <c r="K766" t="inlineStr">
        <is>
          <t>value</t>
        </is>
      </c>
    </row>
    <row r="767">
      <c r="K767" t="n">
        <v>1300</v>
      </c>
    </row>
    <row r="768">
      <c r="J768" t="inlineStr">
        <is>
          <t>inherit</t>
        </is>
      </c>
      <c r="K768" t="inlineStr">
        <is>
          <t>inherit</t>
        </is>
      </c>
    </row>
    <row r="769"/>
    <row r="770">
      <c r="J770" t="inlineStr">
        <is>
          <t>inherit</t>
        </is>
      </c>
      <c r="K770" t="inlineStr">
        <is>
          <t>inherit</t>
        </is>
      </c>
    </row>
    <row r="771"/>
    <row r="772">
      <c r="J772" t="inlineStr">
        <is>
          <t>inherit</t>
        </is>
      </c>
      <c r="K772" t="inlineStr">
        <is>
          <t>inherit</t>
        </is>
      </c>
    </row>
    <row r="773"/>
    <row r="774">
      <c r="J774" t="inlineStr">
        <is>
          <t>inherit</t>
        </is>
      </c>
      <c r="K774" t="inlineStr">
        <is>
          <t>inherit</t>
        </is>
      </c>
    </row>
    <row r="775"/>
    <row r="776">
      <c r="J776" t="inlineStr">
        <is>
          <t>inherit</t>
        </is>
      </c>
      <c r="K776" t="inlineStr">
        <is>
          <t>inherit</t>
        </is>
      </c>
    </row>
    <row r="777"/>
    <row r="778">
      <c r="J778" t="inlineStr">
        <is>
          <t>inherit</t>
        </is>
      </c>
      <c r="K778" t="inlineStr">
        <is>
          <t>inherit</t>
        </is>
      </c>
    </row>
    <row r="779"/>
    <row r="780">
      <c r="J780" t="inlineStr">
        <is>
          <t>inherit</t>
        </is>
      </c>
      <c r="K780" t="inlineStr">
        <is>
          <t>inherit</t>
        </is>
      </c>
    </row>
    <row r="781"/>
    <row r="782">
      <c r="J782" t="inlineStr">
        <is>
          <t>inherit</t>
        </is>
      </c>
      <c r="K782" t="inlineStr">
        <is>
          <t>inherit</t>
        </is>
      </c>
    </row>
    <row r="783"/>
    <row r="784">
      <c r="J784">
        <f>IFERROR(IF(NOT(ISNUMBER(J805)),"UNKNOWN",IF(J806="UNKNOWN","UNKNOWN",IF(J806=FALSE,J805,IF(NOT(ISNUMBER(J807)),"UNKNOWN",J805/(1+J807))))),"ERROR")</f>
        <v/>
      </c>
      <c r="K784">
        <f>IFERROR(IF(NOT(ISNUMBER(K805)),"UNKNOWN",IF(K806="UNKNOWN","UNKNOWN",IF(K806=FALSE,K805,IF(NOT(ISNUMBER(K807)),"UNKNOWN",K805/(1+K807))))),"ERROR")</f>
        <v/>
      </c>
    </row>
    <row r="785">
      <c r="J785">
        <f>IFERROR(IF(J784="ERROR","ERROR",IF(OR(NOT(ISNUMBER(J784)),NOT(ISNUMBER(J811))),"UNKNOWN",IF(J813&gt;0,IF(J795="ERROR","ERROR",IF(NOT(ISNUMBER(J795)),"UNKNOWN",J784-J811-$I$760-$I$761*J784-J813*J795)),J784-J811-$I$760-$I$761*J784))),"ERROR")</f>
        <v/>
      </c>
      <c r="K785">
        <f>IFERROR(IF(K784="ERROR","ERROR",IF(OR(NOT(ISNUMBER(K784)),NOT(ISNUMBER(K811))),"UNKNOWN",IF(K813&gt;0,IF(K795="ERROR","ERROR",IF(NOT(ISNUMBER(K795)),"UNKNOWN",K784-K811-$I$760-$I$761*K784-K813*K795)),K784-K811-$I$760-$I$761*K784))),"ERROR")</f>
        <v/>
      </c>
    </row>
    <row r="786">
      <c r="J786">
        <f>IFERROR(IF(J785="ERROR","ERROR",IF(NOT(ISNUMBER(J785)),"UNKNOWN",IF(J784=0,"ERROR",J785/J784))),"ERROR")</f>
        <v/>
      </c>
      <c r="K786">
        <f>IFERROR(IF(K785="ERROR","ERROR",IF(NOT(ISNUMBER(K785)),"UNKNOWN",IF(K784=0,"ERROR",K785/K784))),"ERROR")</f>
        <v/>
      </c>
    </row>
    <row r="787">
      <c r="J787">
        <f>IF(OR(J784="ERROR",J785="ERROR",J786="ERROR"),"ERROR",IF(OR(NOT(ISNUMBER(J784)),NOT(ISNUMBER(J785)),NOT(ISNUMBER(J786))),"UNKNOWN","OK"))</f>
        <v/>
      </c>
      <c r="K787">
        <f>IF(OR(K784="ERROR",K785="ERROR",K786="ERROR"),"ERROR",IF(OR(NOT(ISNUMBER(K784)),NOT(ISNUMBER(K785)),NOT(ISNUMBER(K786))),"UNKNOWN","OK"))</f>
        <v/>
      </c>
    </row>
    <row r="788">
      <c r="J788">
        <f>IFERROR(IF(NOT(ISNUMBER(J811)),J811,J811+$I$760),"ERROR")</f>
        <v/>
      </c>
      <c r="K788">
        <f>IFERROR(IF(NOT(ISNUMBER(K811)),K811,K811+$I$760),"ERROR")</f>
        <v/>
      </c>
    </row>
    <row r="789">
      <c r="J789">
        <f>IFERROR(IF(NOT(ISNUMBER(J810)),"UNKNOWN",IF(OR(J810&lt;0,J810&gt;=1),"ERROR",IF(J813=0,IF(1-J810-$I$761&lt;=0,"ERROR",1-J810-$I$761),IF(NOT(ISNUMBER(J807)),"UNKNOWN",IF(1-J810-$I$761-J813*(1+J807)&lt;=0,"ERROR",1-J810-$I$761-J813*(1+J807)))))),"ERROR")</f>
        <v/>
      </c>
      <c r="K789">
        <f>IFERROR(IF(NOT(ISNUMBER(K810)),"UNKNOWN",IF(OR(K810&lt;0,K810&gt;=1),"ERROR",IF(K813=0,IF(1-K810-$I$761&lt;=0,"ERROR",1-K810-$I$761),IF(NOT(ISNUMBER(K807)),"UNKNOWN",IF(1-K810-$I$761-K813*(1+K807)&lt;=0,"ERROR",1-K810-$I$761-K813*(1+K807)))))),"ERROR")</f>
        <v/>
      </c>
    </row>
    <row r="790">
      <c r="J790">
        <f>IFERROR(IF(NOT(ISNUMBER(J788)),J788,IF(NOT(ISNUMBER(J789)),J789,J788/J789)),"ERROR")</f>
        <v/>
      </c>
      <c r="K790">
        <f>IFERROR(IF(NOT(ISNUMBER(K788)),K788,IF(NOT(ISNUMBER(K789)),K789,K788/K789)),"ERROR")</f>
        <v/>
      </c>
    </row>
    <row r="791">
      <c r="J791">
        <f>IFERROR(IF(NOT(ISNUMBER(J790)),J790,IF(NOT(ISNUMBER(J807)),"UNKNOWN",J790*(1+J807))),"ERROR")</f>
        <v/>
      </c>
      <c r="K791">
        <f>IFERROR(IF(NOT(ISNUMBER(K790)),K790,IF(NOT(ISNUMBER(K807)),"UNKNOWN",K790*(1+K807))),"ERROR")</f>
        <v/>
      </c>
    </row>
    <row r="792">
      <c r="J792">
        <f>IFERROR(IF(J806="UNKNOWN","UNKNOWN",IF(J806=FALSE,J790,J791)),"ERROR")</f>
        <v/>
      </c>
      <c r="K792">
        <f>IFERROR(IF(K806="UNKNOWN","UNKNOWN",IF(K806=FALSE,K790,K791)),"ERROR")</f>
        <v/>
      </c>
    </row>
    <row r="793">
      <c r="J793">
        <f>IFERROR(IF(NOT(ISNUMBER(J792)),J792,IF(NOT(ISNUMBER(J809)),"UNKNOWN",IF(OR(J809&lt;0,J809&gt;=1),"ERROR",IF(J809=0,J792,J792/(1-J809))))),"ERROR")</f>
        <v/>
      </c>
      <c r="K793">
        <f>IFERROR(IF(NOT(ISNUMBER(K792)),K792,IF(NOT(ISNUMBER(K809)),"UNKNOWN",IF(OR(K809&lt;0,K809&gt;=1),"ERROR",IF(K809=0,K792,K792/(1-K809))))),"ERROR")</f>
        <v/>
      </c>
    </row>
    <row r="794">
      <c r="J794">
        <f>IF(OR(J792="ERROR",J793="ERROR"),"ERROR",IF(OR(NOT(ISNUMBER(J792)),NOT(ISNUMBER(J793))),"UNKNOWN","OK"))</f>
        <v/>
      </c>
      <c r="K794">
        <f>IF(OR(K792="ERROR",K793="ERROR"),"ERROR",IF(OR(NOT(ISNUMBER(K792)),NOT(ISNUMBER(K793))),"UNKNOWN","OK"))</f>
        <v/>
      </c>
    </row>
    <row r="795">
      <c r="J795">
        <f>IFERROR(IF(NOT(ISNUMBER(J805)),"UNKNOWN",IF(J806="UNKNOWN","UNKNOWN",IF(J806=TRUE,J805,IF(NOT(ISNUMBER(J807)),"UNKNOWN",J805*(1+J807))))),"ERROR")</f>
        <v/>
      </c>
      <c r="K795">
        <f>IFERROR(IF(NOT(ISNUMBER(K805)),"UNKNOWN",IF(K806="UNKNOWN","UNKNOWN",IF(K806=TRUE,K805,IF(NOT(ISNUMBER(K807)),"UNKNOWN",K805*(1+K807))))),"ERROR")</f>
        <v/>
      </c>
    </row>
    <row r="796">
      <c r="J796">
        <f>IFERROR(IF(NOT(ISNUMBER(J808)),"UNKNOWN",IF(J806="UNKNOWN","UNKNOWN",IF(J806=FALSE,J808,IF(NOT(ISNUMBER(J807)),"UNKNOWN",J808/(1+J807))))),"ERROR")</f>
        <v/>
      </c>
      <c r="K796">
        <f>IFERROR(IF(NOT(ISNUMBER(K808)),"UNKNOWN",IF(K806="UNKNOWN","UNKNOWN",IF(K806=FALSE,K808,IF(NOT(ISNUMBER(K807)),"UNKNOWN",K808/(1+K807))))),"ERROR")</f>
        <v/>
      </c>
    </row>
    <row r="797">
      <c r="J797">
        <f>IFERROR(IF(NOT(ISNUMBER(J808)),"UNKNOWN",IF(J806="UNKNOWN","UNKNOWN",IF(J806=TRUE,J808,IF(NOT(ISNUMBER(J807)),"UNKNOWN",J808*(1+J807))))),"ERROR")</f>
        <v/>
      </c>
      <c r="K797">
        <f>IFERROR(IF(NOT(ISNUMBER(K808)),"UNKNOWN",IF(K806="UNKNOWN","UNKNOWN",IF(K806=TRUE,K808,IF(NOT(ISNUMBER(K807)),"UNKNOWN",K808*(1+K807))))),"ERROR")</f>
        <v/>
      </c>
    </row>
    <row r="798">
      <c r="J798">
        <f>IFERROR(IF(J796="ERROR","ERROR",IF(NOT(ISNUMBER(J810)),"UNKNOWN",IF(OR(J810&lt;0,J810&gt;=1),"ERROR",IF(NOT(ISNUMBER(J796)),"UNKNOWN",IF(J813&gt;0,IF(J797="ERROR","ERROR",IF(NOT(ISNUMBER(J797)),"UNKNOWN",J796*(1-J810-$I$761)-J813*J797-$I$760)),J796*(1-J810-$I$761)-$I$760))))),"ERROR")</f>
        <v/>
      </c>
      <c r="K798">
        <f>IFERROR(IF(K796="ERROR","ERROR",IF(NOT(ISNUMBER(K810)),"UNKNOWN",IF(OR(K810&lt;0,K810&gt;=1),"ERROR",IF(NOT(ISNUMBER(K796)),"UNKNOWN",IF(K813&gt;0,IF(K797="ERROR","ERROR",IF(NOT(ISNUMBER(K797)),"UNKNOWN",K796*(1-K810-$I$761)-K813*K797-$I$760)),K796*(1-K810-$I$761)-$I$760))))),"ERROR")</f>
        <v/>
      </c>
    </row>
    <row r="799">
      <c r="J799">
        <f>IFERROR(IF(OR(J798="ERROR",J811="ERROR"),"ERROR",IF(OR(NOT(ISNUMBER(J798)),NOT(ISNUMBER(J811))),"UNKNOWN",J798-J811)),"ERROR")</f>
        <v/>
      </c>
      <c r="K799">
        <f>IFERROR(IF(OR(K798="ERROR",K811="ERROR"),"ERROR",IF(OR(NOT(ISNUMBER(K798)),NOT(ISNUMBER(K811))),"UNKNOWN",K798-K811)),"ERROR")</f>
        <v/>
      </c>
    </row>
    <row r="800">
      <c r="J800">
        <f>IF(OR(J798="ERROR",J811="ERROR",J799="ERROR"),"ERROR",IF(OR(NOT(ISNUMBER(J798)),NOT(ISNUMBER(J811)),NOT(ISNUMBER(J799))),"UNKNOWN","OK"))</f>
        <v/>
      </c>
      <c r="K800">
        <f>IF(OR(K798="ERROR",K811="ERROR",K799="ERROR"),"ERROR",IF(OR(NOT(ISNUMBER(K798)),NOT(ISNUMBER(K811)),NOT(ISNUMBER(K799))),"UNKNOWN","OK"))</f>
        <v/>
      </c>
    </row>
    <row r="801">
      <c r="J801">
        <f>IFERROR(IF(NOT(ISNUMBER(J812)),J812,IF(J812&lt;0,"ERROR",J812)),"ERROR")</f>
        <v/>
      </c>
      <c r="K801">
        <f>IFERROR(IF(NOT(ISNUMBER(K812)),K812,IF(K812&lt;0,"ERROR",K812)),"ERROR")</f>
        <v/>
      </c>
    </row>
    <row r="802">
      <c r="J802">
        <f>IFERROR(IF(OR(J785="ERROR",J801="ERROR"),"ERROR",IF(OR(NOT(ISNUMBER(J785)),NOT(ISNUMBER(J801))),"UNKNOWN",IF(J785&lt;=0,"NOT_APPLICABLE",J801/J785))),"ERROR")</f>
        <v/>
      </c>
      <c r="K802">
        <f>IFERROR(IF(OR(K785="ERROR",K801="ERROR"),"ERROR",IF(OR(NOT(ISNUMBER(K785)),NOT(ISNUMBER(K801))),"UNKNOWN",IF(K785&lt;=0,"NOT_APPLICABLE",K801/K785))),"ERROR")</f>
        <v/>
      </c>
    </row>
    <row r="803">
      <c r="J803">
        <f>IF(OR(J785="ERROR",J801="ERROR",J802="ERROR"),"ERROR",IF(OR(NOT(ISNUMBER(J785)),NOT(ISNUMBER(J801)),AND(NOT(ISNUMBER(J802)),J802&lt;&gt;"NOT_APPLICABLE")),"UNKNOWN","OK"))</f>
        <v/>
      </c>
      <c r="K803">
        <f>IF(OR(K785="ERROR",K801="ERROR",K802="ERROR"),"ERROR",IF(OR(NOT(ISNUMBER(K785)),NOT(ISNUMBER(K801)),AND(NOT(ISNUMBER(K802)),K802&lt;&gt;"NOT_APPLICABLE")),"UNKNOWN","OK"))</f>
        <v/>
      </c>
    </row>
    <row r="804">
      <c r="J804">
        <f>IF(OR(J787="ERROR",J794="ERROR",J800="ERROR",J803="ERROR"),"ERROR",IF(OR(J787="UNKNOWN",J794="UNKNOWN",J800="UNKNOWN",J803="UNKNOWN"),"INCOMPLETE","OK"))</f>
        <v/>
      </c>
      <c r="K804">
        <f>IF(OR(K787="ERROR",K794="ERROR",K800="ERROR",K803="ERROR"),"ERROR",IF(OR(K787="UNKNOWN",K794="UNKNOWN",K800="UNKNOWN",K803="UNKNOWN"),"INCOMPLETE","OK"))</f>
        <v/>
      </c>
    </row>
    <row r="805">
      <c r="J805">
        <f>IF($J$766="inherit",$I$754,IF($J$766="null","UNKNOWN",$J$767))</f>
        <v/>
      </c>
      <c r="K805">
        <f>IF($K$766="inherit",$I$754,IF($K$766="null","UNKNOWN",$K$767))</f>
        <v/>
      </c>
    </row>
    <row r="806">
      <c r="J806">
        <f>IF($J$768="inherit",$I$755,IF($J$768="null","UNKNOWN",$J$769))</f>
        <v/>
      </c>
      <c r="K806">
        <f>IF($K$768="inherit",$I$755,IF($K$768="null","UNKNOWN",$K$769))</f>
        <v/>
      </c>
    </row>
    <row r="807">
      <c r="J807">
        <f>IF($J$770="inherit",$I$756,IF($J$770="null","UNKNOWN",$J$771))</f>
        <v/>
      </c>
      <c r="K807">
        <f>IF($K$770="inherit",$I$756,IF($K$770="null","UNKNOWN",$K$771))</f>
        <v/>
      </c>
    </row>
    <row r="808">
      <c r="J808">
        <f>IF($J$772="inherit",$I$757,IF($J$772="null","UNKNOWN",$J$773))</f>
        <v/>
      </c>
      <c r="K808">
        <f>IF($K$772="inherit",$I$757,IF($K$772="null","UNKNOWN",$K$773))</f>
        <v/>
      </c>
    </row>
    <row r="809">
      <c r="J809">
        <f>IF($J$774="inherit",$I$758,IF($J$774="null","UNKNOWN",$J$775))</f>
        <v/>
      </c>
      <c r="K809">
        <f>IF($K$774="inherit",$I$758,IF($K$774="null","UNKNOWN",$K$775))</f>
        <v/>
      </c>
    </row>
    <row r="810">
      <c r="J810">
        <f>IF($J$776="inherit",$I$764,IF($J$776="null","UNKNOWN",$J$777))</f>
        <v/>
      </c>
      <c r="K810">
        <f>IF($K$776="inherit",$I$764,IF($K$776="null","UNKNOWN",$K$777))</f>
        <v/>
      </c>
    </row>
    <row r="811">
      <c r="J811">
        <f>IF($J$778="inherit",$I$759,IF($J$778="null","UNKNOWN",$J$779))</f>
        <v/>
      </c>
      <c r="K811">
        <f>IF($K$778="inherit",$I$759,IF($K$778="null","UNKNOWN",$K$779))</f>
        <v/>
      </c>
    </row>
    <row r="812">
      <c r="J812">
        <f>IF($J$780="inherit",$I$763,IF($J$780="null","UNKNOWN",$J$781))</f>
        <v/>
      </c>
      <c r="K812">
        <f>IF($K$780="inherit",$I$763,IF($K$780="null","UNKNOWN",$K$781))</f>
        <v/>
      </c>
    </row>
    <row r="813">
      <c r="J813">
        <f>IF($J$782="inherit",$I$762,IF($J$782="null","UNKNOWN",$J$783))</f>
        <v/>
      </c>
      <c r="K813">
        <f>IF($K$782="inherit",$I$762,IF($K$782="null","UNKNOWN",$K$783))</f>
        <v/>
      </c>
    </row>
    <row r="814">
      <c r="I814">
        <f>IFERROR(MATCH($I$765,$J$765:$K$765,0),0)</f>
        <v/>
      </c>
    </row>
    <row r="815">
      <c r="J815">
        <f>IF(I814=0,"ERROR",IF(OR($J$784="ERROR",INDEX($J$784:$K$784,1,I814)="ERROR"),"ERROR",IF(OR($J$784="UNKNOWN",INDEX($J$784:$K$784,1,I814)="UNKNOWN"),"UNKNOWN",IF(OR($J$784="NOT_APPLICABLE",INDEX($J$784:$K$784,1,I814)="NOT_APPLICABLE"),"NOT_APPLICABLE",$J$784-INDEX($J$784:$K$784,1,I814)))))</f>
        <v/>
      </c>
      <c r="K815">
        <f>IF(I814=0,"ERROR",IF(OR($K$784="ERROR",INDEX($J$784:$K$784,1,I814)="ERROR"),"ERROR",IF(OR($K$784="UNKNOWN",INDEX($J$784:$K$784,1,I814)="UNKNOWN"),"UNKNOWN",IF(OR($K$784="NOT_APPLICABLE",INDEX($J$784:$K$784,1,I814)="NOT_APPLICABLE"),"NOT_APPLICABLE",$K$784-INDEX($J$784:$K$784,1,I814)))))</f>
        <v/>
      </c>
    </row>
    <row r="816">
      <c r="J816">
        <f>IF(I814=0,"ERROR",IF(OR($J$785="ERROR",INDEX($J$785:$K$785,1,I814)="ERROR"),"ERROR",IF(OR($J$785="UNKNOWN",INDEX($J$785:$K$785,1,I814)="UNKNOWN"),"UNKNOWN",IF(OR($J$785="NOT_APPLICABLE",INDEX($J$785:$K$785,1,I814)="NOT_APPLICABLE"),"NOT_APPLICABLE",$J$785-INDEX($J$785:$K$785,1,I814)))))</f>
        <v/>
      </c>
      <c r="K816">
        <f>IF(I814=0,"ERROR",IF(OR($K$785="ERROR",INDEX($J$785:$K$785,1,I814)="ERROR"),"ERROR",IF(OR($K$785="UNKNOWN",INDEX($J$785:$K$785,1,I814)="UNKNOWN"),"UNKNOWN",IF(OR($K$785="NOT_APPLICABLE",INDEX($J$785:$K$785,1,I814)="NOT_APPLICABLE"),"NOT_APPLICABLE",$K$785-INDEX($J$785:$K$785,1,I814)))))</f>
        <v/>
      </c>
    </row>
    <row r="817">
      <c r="J817">
        <f>IF(I814=0,"ERROR",IF(OR($J$786="ERROR",INDEX($J$786:$K$786,1,I814)="ERROR"),"ERROR",IF(OR($J$786="UNKNOWN",INDEX($J$786:$K$786,1,I814)="UNKNOWN"),"UNKNOWN",IF(OR($J$786="NOT_APPLICABLE",INDEX($J$786:$K$786,1,I814)="NOT_APPLICABLE"),"NOT_APPLICABLE",$J$786-INDEX($J$786:$K$786,1,I814)))))</f>
        <v/>
      </c>
      <c r="K817">
        <f>IF(I814=0,"ERROR",IF(OR($K$786="ERROR",INDEX($J$786:$K$786,1,I814)="ERROR"),"ERROR",IF(OR($K$786="UNKNOWN",INDEX($J$786:$K$786,1,I814)="UNKNOWN"),"UNKNOWN",IF(OR($K$786="NOT_APPLICABLE",INDEX($J$786:$K$786,1,I814)="NOT_APPLICABLE"),"NOT_APPLICABLE",$K$786-INDEX($J$786:$K$786,1,I814)))))</f>
        <v/>
      </c>
    </row>
    <row r="818">
      <c r="J818">
        <f>IF(I814=0,"ERROR",IF(OR($J$802="ERROR",INDEX($J$802:$K$802,1,I814)="ERROR"),"ERROR",IF(OR($J$802="UNKNOWN",INDEX($J$802:$K$802,1,I814)="UNKNOWN"),"UNKNOWN",IF(OR($J$802="NOT_APPLICABLE",INDEX($J$802:$K$802,1,I814)="NOT_APPLICABLE"),"NOT_APPLICABLE",$J$802-INDEX($J$802:$K$802,1,I814)))))</f>
        <v/>
      </c>
      <c r="K818">
        <f>IF(I814=0,"ERROR",IF(OR($K$802="ERROR",INDEX($J$802:$K$802,1,I814)="ERROR"),"ERROR",IF(OR($K$802="UNKNOWN",INDEX($J$802:$K$802,1,I814)="UNKNOWN"),"UNKNOWN",IF(OR($K$802="NOT_APPLICABLE",INDEX($J$802:$K$802,1,I814)="NOT_APPLICABLE"),"NOT_APPLICABLE",$K$802-INDEX($J$802:$K$802,1,I814)))))</f>
        <v/>
      </c>
    </row>
    <row r="820">
      <c r="B820" s="8" t="inlineStr">
        <is>
          <t>Scenario A: scenario_status</t>
        </is>
      </c>
      <c r="C820" s="16">
        <f>J804</f>
        <v/>
      </c>
      <c r="D820" s="38" t="inlineStr">
        <is>
          <t>OK</t>
        </is>
      </c>
      <c r="F820" s="15">
        <f>IF(J804=D820,"PASS","FAIL")</f>
        <v/>
      </c>
    </row>
    <row r="821">
      <c r="B821" s="8" t="inlineStr">
        <is>
          <t>Scenario A: contribution_margin</t>
        </is>
      </c>
      <c r="C821" s="25">
        <f>J785</f>
        <v/>
      </c>
      <c r="D821" s="42" t="n">
        <v>500</v>
      </c>
      <c r="E821" s="26">
        <f>IF(ISNUMBER(D821),IF(ISNUMBER(J785),ABS(J785-D821),"N/A"),"N/A")</f>
        <v/>
      </c>
      <c r="F821" s="15">
        <f>IFERROR(IF(ISNUMBER(D821),IF(ISNUMBER(J785),IF(ABS(J785-D821)&lt;=0.01,"PASS","FAIL"),"FAIL"),IF(NOT(ISNUMBER(J785)),IF(J785=D821,"PASS","FAIL"),"FAIL")),"FAIL")</f>
        <v/>
      </c>
    </row>
    <row r="822">
      <c r="B822" s="8" t="inlineStr">
        <is>
          <t>Scenario A: break_even_quantity_exact</t>
        </is>
      </c>
      <c r="C822" s="25">
        <f>J802</f>
        <v/>
      </c>
      <c r="D822" s="42" t="n">
        <v>100</v>
      </c>
      <c r="E822" s="26">
        <f>IF(ISNUMBER(D822),IF(ISNUMBER(J802),ABS(J802-D822),"N/A"),"N/A")</f>
        <v/>
      </c>
      <c r="F822" s="15">
        <f>IFERROR(IF(ISNUMBER(D822),IF(ISNUMBER(J802),IF(ABS(J802-D822)&lt;=0.01,"PASS","FAIL"),"FAIL"),IF(NOT(ISNUMBER(J802)),IF(J802=D822,"PASS","FAIL"),"FAIL")),"FAIL")</f>
        <v/>
      </c>
    </row>
    <row r="823">
      <c r="B823" s="8" t="inlineStr">
        <is>
          <t>Scenario A: net_sales_ex_vat_delta</t>
        </is>
      </c>
      <c r="C823" s="43">
        <f>J815</f>
        <v/>
      </c>
      <c r="D823" s="44" t="n">
        <v>0</v>
      </c>
      <c r="F823" s="15">
        <f>IFERROR(IF(ISNUMBER(D823),IF(ISNUMBER(J815),IF(ABS(J815-D823)&lt;=0.01,"PASS","FAIL"),"FAIL"),IF(NOT(ISNUMBER(J815)),IF(J815=D823,"PASS","FAIL"),"FAIL")),"FAIL")</f>
        <v/>
      </c>
    </row>
    <row r="824">
      <c r="B824" s="8" t="inlineStr">
        <is>
          <t>Scenario A: contribution_margin_delta</t>
        </is>
      </c>
      <c r="C824" s="43">
        <f>J816</f>
        <v/>
      </c>
      <c r="D824" s="44" t="n">
        <v>0</v>
      </c>
      <c r="F824" s="15">
        <f>IFERROR(IF(ISNUMBER(D824),IF(ISNUMBER(J816),IF(ABS(J816-D824)&lt;=0.01,"PASS","FAIL"),"FAIL"),IF(NOT(ISNUMBER(J816)),IF(J816=D824,"PASS","FAIL"),"FAIL")),"FAIL")</f>
        <v/>
      </c>
    </row>
    <row r="825">
      <c r="B825" s="8" t="inlineStr">
        <is>
          <t>Scenario A: contribution_margin_rate_delta</t>
        </is>
      </c>
      <c r="C825" s="43">
        <f>J817</f>
        <v/>
      </c>
      <c r="D825" s="44" t="n">
        <v>0</v>
      </c>
      <c r="F825" s="15">
        <f>IFERROR(IF(ISNUMBER(D825),IF(ISNUMBER(J817),IF(ABS(J817-D825)&lt;=0.01,"PASS","FAIL"),"FAIL"),IF(NOT(ISNUMBER(J817)),IF(J817=D825,"PASS","FAIL"),"FAIL")),"FAIL")</f>
        <v/>
      </c>
    </row>
    <row r="826">
      <c r="B826" s="8" t="inlineStr">
        <is>
          <t>Scenario A: break_even_quantity_delta</t>
        </is>
      </c>
      <c r="C826" s="43">
        <f>J818</f>
        <v/>
      </c>
      <c r="D826" s="44" t="n">
        <v>0</v>
      </c>
      <c r="F826" s="15">
        <f>IFERROR(IF(ISNUMBER(D826),IF(ISNUMBER(J818),IF(ABS(J818-D826)&lt;=0.01,"PASS","FAIL"),"FAIL"),IF(NOT(ISNUMBER(J818)),IF(J818=D826,"PASS","FAIL"),"FAIL")),"FAIL")</f>
        <v/>
      </c>
    </row>
    <row r="827">
      <c r="B827" s="8" t="inlineStr">
        <is>
          <t>Scenario B: scenario_status</t>
        </is>
      </c>
      <c r="C827" s="16">
        <f>K804</f>
        <v/>
      </c>
      <c r="D827" s="38" t="inlineStr">
        <is>
          <t>OK</t>
        </is>
      </c>
      <c r="F827" s="15">
        <f>IF(K804=D827,"PASS","FAIL")</f>
        <v/>
      </c>
    </row>
    <row r="828">
      <c r="B828" s="8" t="inlineStr">
        <is>
          <t>Scenario B: contribution_margin</t>
        </is>
      </c>
      <c r="C828" s="25">
        <f>K785</f>
        <v/>
      </c>
      <c r="D828" s="42" t="n">
        <v>800</v>
      </c>
      <c r="E828" s="26">
        <f>IF(ISNUMBER(D828),IF(ISNUMBER(K785),ABS(K785-D828),"N/A"),"N/A")</f>
        <v/>
      </c>
      <c r="F828" s="15">
        <f>IFERROR(IF(ISNUMBER(D828),IF(ISNUMBER(K785),IF(ABS(K785-D828)&lt;=0.01,"PASS","FAIL"),"FAIL"),IF(NOT(ISNUMBER(K785)),IF(K785=D828,"PASS","FAIL"),"FAIL")),"FAIL")</f>
        <v/>
      </c>
    </row>
    <row r="829">
      <c r="B829" s="8" t="inlineStr">
        <is>
          <t>Scenario B: break_even_quantity_exact</t>
        </is>
      </c>
      <c r="C829" s="25">
        <f>K802</f>
        <v/>
      </c>
      <c r="D829" s="42" t="n">
        <v>62.5</v>
      </c>
      <c r="E829" s="26">
        <f>IF(ISNUMBER(D829),IF(ISNUMBER(K802),ABS(K802-D829),"N/A"),"N/A")</f>
        <v/>
      </c>
      <c r="F829" s="15">
        <f>IFERROR(IF(ISNUMBER(D829),IF(ISNUMBER(K802),IF(ABS(K802-D829)&lt;=0.01,"PASS","FAIL"),"FAIL"),IF(NOT(ISNUMBER(K802)),IF(K802=D829,"PASS","FAIL"),"FAIL")),"FAIL")</f>
        <v/>
      </c>
    </row>
    <row r="830">
      <c r="B830" s="8" t="inlineStr">
        <is>
          <t>Scenario B: net_sales_ex_vat_delta</t>
        </is>
      </c>
      <c r="C830" s="43">
        <f>K815</f>
        <v/>
      </c>
      <c r="D830" s="44" t="n">
        <v>300</v>
      </c>
      <c r="F830" s="15">
        <f>IFERROR(IF(ISNUMBER(D830),IF(ISNUMBER(K815),IF(ABS(K815-D830)&lt;=0.01,"PASS","FAIL"),"FAIL"),IF(NOT(ISNUMBER(K815)),IF(K815=D830,"PASS","FAIL"),"FAIL")),"FAIL")</f>
        <v/>
      </c>
    </row>
    <row r="831">
      <c r="B831" s="8" t="inlineStr">
        <is>
          <t>Scenario B: contribution_margin_delta</t>
        </is>
      </c>
      <c r="C831" s="43">
        <f>K816</f>
        <v/>
      </c>
      <c r="D831" s="44" t="n">
        <v>300</v>
      </c>
      <c r="F831" s="15">
        <f>IFERROR(IF(ISNUMBER(D831),IF(ISNUMBER(K816),IF(ABS(K816-D831)&lt;=0.01,"PASS","FAIL"),"FAIL"),IF(NOT(ISNUMBER(K816)),IF(K816=D831,"PASS","FAIL"),"FAIL")),"FAIL")</f>
        <v/>
      </c>
    </row>
    <row r="832">
      <c r="B832" s="8" t="inlineStr">
        <is>
          <t>Scenario B: contribution_margin_rate_delta</t>
        </is>
      </c>
      <c r="C832" s="43">
        <f>K817</f>
        <v/>
      </c>
      <c r="D832" s="44" t="n">
        <v>0.1153846153846154</v>
      </c>
      <c r="F832" s="15">
        <f>IFERROR(IF(ISNUMBER(D832),IF(ISNUMBER(K817),IF(ABS(K817-D832)&lt;=0.01,"PASS","FAIL"),"FAIL"),IF(NOT(ISNUMBER(K817)),IF(K817=D832,"PASS","FAIL"),"FAIL")),"FAIL")</f>
        <v/>
      </c>
    </row>
    <row r="833">
      <c r="B833" s="8" t="inlineStr">
        <is>
          <t>Scenario B: break_even_quantity_delta</t>
        </is>
      </c>
      <c r="C833" s="43">
        <f>K818</f>
        <v/>
      </c>
      <c r="D833" s="44" t="n">
        <v>-37.5</v>
      </c>
      <c r="F833" s="15">
        <f>IFERROR(IF(ISNUMBER(D833),IF(ISNUMBER(K818),IF(ABS(K818-D833)&lt;=0.01,"PASS","FAIL"),"FAIL"),IF(NOT(ISNUMBER(K818)),IF(K818=D833,"PASS","FAIL"),"FAIL")),"FAIL")</f>
        <v/>
      </c>
    </row>
    <row r="835" ht="20" customHeight="1">
      <c r="B835" s="2" t="inlineStr">
        <is>
          <t>TC11. BEP worsens (discount)</t>
        </is>
      </c>
      <c r="C835" s="7" t="n"/>
      <c r="D835" s="7" t="n"/>
      <c r="E835" s="7" t="n"/>
      <c r="F835" s="7" t="n"/>
    </row>
    <row r="836">
      <c r="B836" s="4" t="inlineStr">
        <is>
          <t>Check</t>
        </is>
      </c>
      <c r="C836" s="4" t="inlineStr">
        <is>
          <t>Excel Result</t>
        </is>
      </c>
      <c r="D836" s="4" t="inlineStr">
        <is>
          <t>Python Reference</t>
        </is>
      </c>
      <c r="E836" s="4" t="inlineStr">
        <is>
          <t>Difference</t>
        </is>
      </c>
      <c r="F836" s="4" t="inlineStr">
        <is>
          <t>PASS / FAIL</t>
        </is>
      </c>
    </row>
    <row r="837">
      <c r="I837" t="n">
        <v>1000</v>
      </c>
    </row>
    <row r="838">
      <c r="I838" t="b">
        <v>0</v>
      </c>
    </row>
    <row r="839">
      <c r="I839" t="n">
        <v>0.1</v>
      </c>
    </row>
    <row r="840">
      <c r="I840" t="n">
        <v>1000</v>
      </c>
    </row>
    <row r="841">
      <c r="I841" t="n">
        <v>0</v>
      </c>
    </row>
    <row r="842">
      <c r="I842" t="n">
        <v>400</v>
      </c>
    </row>
    <row r="843">
      <c r="I843" t="n">
        <v>100</v>
      </c>
    </row>
    <row r="844">
      <c r="I844" t="n">
        <v>0</v>
      </c>
    </row>
    <row r="845">
      <c r="I845" t="n">
        <v>0</v>
      </c>
    </row>
    <row r="846">
      <c r="I846" t="n">
        <v>50000</v>
      </c>
    </row>
    <row r="847">
      <c r="I847" t="n">
        <v>0.3</v>
      </c>
    </row>
    <row r="848">
      <c r="I848" t="inlineStr">
        <is>
          <t>A</t>
        </is>
      </c>
      <c r="J848" t="inlineStr">
        <is>
          <t>A</t>
        </is>
      </c>
      <c r="K848" t="inlineStr">
        <is>
          <t>B</t>
        </is>
      </c>
    </row>
    <row r="849">
      <c r="J849" t="inlineStr">
        <is>
          <t>inherit</t>
        </is>
      </c>
      <c r="K849" t="inlineStr">
        <is>
          <t>value</t>
        </is>
      </c>
    </row>
    <row r="850">
      <c r="K850" t="n">
        <v>700</v>
      </c>
    </row>
    <row r="851">
      <c r="J851" t="inlineStr">
        <is>
          <t>inherit</t>
        </is>
      </c>
      <c r="K851" t="inlineStr">
        <is>
          <t>inherit</t>
        </is>
      </c>
    </row>
    <row r="852"/>
    <row r="853">
      <c r="J853" t="inlineStr">
        <is>
          <t>inherit</t>
        </is>
      </c>
      <c r="K853" t="inlineStr">
        <is>
          <t>inherit</t>
        </is>
      </c>
    </row>
    <row r="854"/>
    <row r="855">
      <c r="J855" t="inlineStr">
        <is>
          <t>inherit</t>
        </is>
      </c>
      <c r="K855" t="inlineStr">
        <is>
          <t>inherit</t>
        </is>
      </c>
    </row>
    <row r="856"/>
    <row r="857">
      <c r="J857" t="inlineStr">
        <is>
          <t>inherit</t>
        </is>
      </c>
      <c r="K857" t="inlineStr">
        <is>
          <t>inherit</t>
        </is>
      </c>
    </row>
    <row r="858"/>
    <row r="859">
      <c r="J859" t="inlineStr">
        <is>
          <t>inherit</t>
        </is>
      </c>
      <c r="K859" t="inlineStr">
        <is>
          <t>inherit</t>
        </is>
      </c>
    </row>
    <row r="860"/>
    <row r="861">
      <c r="J861" t="inlineStr">
        <is>
          <t>inherit</t>
        </is>
      </c>
      <c r="K861" t="inlineStr">
        <is>
          <t>inherit</t>
        </is>
      </c>
    </row>
    <row r="862"/>
    <row r="863">
      <c r="J863" t="inlineStr">
        <is>
          <t>inherit</t>
        </is>
      </c>
      <c r="K863" t="inlineStr">
        <is>
          <t>inherit</t>
        </is>
      </c>
    </row>
    <row r="864"/>
    <row r="865">
      <c r="J865" t="inlineStr">
        <is>
          <t>inherit</t>
        </is>
      </c>
      <c r="K865" t="inlineStr">
        <is>
          <t>inherit</t>
        </is>
      </c>
    </row>
    <row r="866"/>
    <row r="867">
      <c r="J867">
        <f>IFERROR(IF(NOT(ISNUMBER(J888)),"UNKNOWN",IF(J889="UNKNOWN","UNKNOWN",IF(J889=FALSE,J888,IF(NOT(ISNUMBER(J890)),"UNKNOWN",J888/(1+J890))))),"ERROR")</f>
        <v/>
      </c>
      <c r="K867">
        <f>IFERROR(IF(NOT(ISNUMBER(K888)),"UNKNOWN",IF(K889="UNKNOWN","UNKNOWN",IF(K889=FALSE,K888,IF(NOT(ISNUMBER(K890)),"UNKNOWN",K888/(1+K890))))),"ERROR")</f>
        <v/>
      </c>
    </row>
    <row r="868">
      <c r="J868">
        <f>IFERROR(IF(J867="ERROR","ERROR",IF(OR(NOT(ISNUMBER(J867)),NOT(ISNUMBER(J894))),"UNKNOWN",IF(J896&gt;0,IF(J878="ERROR","ERROR",IF(NOT(ISNUMBER(J878)),"UNKNOWN",J867-J894-$I$843-$I$844*J867-J896*J878)),J867-J894-$I$843-$I$844*J867))),"ERROR")</f>
        <v/>
      </c>
      <c r="K868">
        <f>IFERROR(IF(K867="ERROR","ERROR",IF(OR(NOT(ISNUMBER(K867)),NOT(ISNUMBER(K894))),"UNKNOWN",IF(K896&gt;0,IF(K878="ERROR","ERROR",IF(NOT(ISNUMBER(K878)),"UNKNOWN",K867-K894-$I$843-$I$844*K867-K896*K878)),K867-K894-$I$843-$I$844*K867))),"ERROR")</f>
        <v/>
      </c>
    </row>
    <row r="869">
      <c r="J869">
        <f>IFERROR(IF(J868="ERROR","ERROR",IF(NOT(ISNUMBER(J868)),"UNKNOWN",IF(J867=0,"ERROR",J868/J867))),"ERROR")</f>
        <v/>
      </c>
      <c r="K869">
        <f>IFERROR(IF(K868="ERROR","ERROR",IF(NOT(ISNUMBER(K868)),"UNKNOWN",IF(K867=0,"ERROR",K868/K867))),"ERROR")</f>
        <v/>
      </c>
    </row>
    <row r="870">
      <c r="J870">
        <f>IF(OR(J867="ERROR",J868="ERROR",J869="ERROR"),"ERROR",IF(OR(NOT(ISNUMBER(J867)),NOT(ISNUMBER(J868)),NOT(ISNUMBER(J869))),"UNKNOWN","OK"))</f>
        <v/>
      </c>
      <c r="K870">
        <f>IF(OR(K867="ERROR",K868="ERROR",K869="ERROR"),"ERROR",IF(OR(NOT(ISNUMBER(K867)),NOT(ISNUMBER(K868)),NOT(ISNUMBER(K869))),"UNKNOWN","OK"))</f>
        <v/>
      </c>
    </row>
    <row r="871">
      <c r="J871">
        <f>IFERROR(IF(NOT(ISNUMBER(J894)),J894,J894+$I$843),"ERROR")</f>
        <v/>
      </c>
      <c r="K871">
        <f>IFERROR(IF(NOT(ISNUMBER(K894)),K894,K894+$I$843),"ERROR")</f>
        <v/>
      </c>
    </row>
    <row r="872">
      <c r="J872">
        <f>IFERROR(IF(NOT(ISNUMBER(J893)),"UNKNOWN",IF(OR(J893&lt;0,J893&gt;=1),"ERROR",IF(J896=0,IF(1-J893-$I$844&lt;=0,"ERROR",1-J893-$I$844),IF(NOT(ISNUMBER(J890)),"UNKNOWN",IF(1-J893-$I$844-J896*(1+J890)&lt;=0,"ERROR",1-J893-$I$844-J896*(1+J890)))))),"ERROR")</f>
        <v/>
      </c>
      <c r="K872">
        <f>IFERROR(IF(NOT(ISNUMBER(K893)),"UNKNOWN",IF(OR(K893&lt;0,K893&gt;=1),"ERROR",IF(K896=0,IF(1-K893-$I$844&lt;=0,"ERROR",1-K893-$I$844),IF(NOT(ISNUMBER(K890)),"UNKNOWN",IF(1-K893-$I$844-K896*(1+K890)&lt;=0,"ERROR",1-K893-$I$844-K896*(1+K890)))))),"ERROR")</f>
        <v/>
      </c>
    </row>
    <row r="873">
      <c r="J873">
        <f>IFERROR(IF(NOT(ISNUMBER(J871)),J871,IF(NOT(ISNUMBER(J872)),J872,J871/J872)),"ERROR")</f>
        <v/>
      </c>
      <c r="K873">
        <f>IFERROR(IF(NOT(ISNUMBER(K871)),K871,IF(NOT(ISNUMBER(K872)),K872,K871/K872)),"ERROR")</f>
        <v/>
      </c>
    </row>
    <row r="874">
      <c r="J874">
        <f>IFERROR(IF(NOT(ISNUMBER(J873)),J873,IF(NOT(ISNUMBER(J890)),"UNKNOWN",J873*(1+J890))),"ERROR")</f>
        <v/>
      </c>
      <c r="K874">
        <f>IFERROR(IF(NOT(ISNUMBER(K873)),K873,IF(NOT(ISNUMBER(K890)),"UNKNOWN",K873*(1+K890))),"ERROR")</f>
        <v/>
      </c>
    </row>
    <row r="875">
      <c r="J875">
        <f>IFERROR(IF(J889="UNKNOWN","UNKNOWN",IF(J889=FALSE,J873,J874)),"ERROR")</f>
        <v/>
      </c>
      <c r="K875">
        <f>IFERROR(IF(K889="UNKNOWN","UNKNOWN",IF(K889=FALSE,K873,K874)),"ERROR")</f>
        <v/>
      </c>
    </row>
    <row r="876">
      <c r="J876">
        <f>IFERROR(IF(NOT(ISNUMBER(J875)),J875,IF(NOT(ISNUMBER(J892)),"UNKNOWN",IF(OR(J892&lt;0,J892&gt;=1),"ERROR",IF(J892=0,J875,J875/(1-J892))))),"ERROR")</f>
        <v/>
      </c>
      <c r="K876">
        <f>IFERROR(IF(NOT(ISNUMBER(K875)),K875,IF(NOT(ISNUMBER(K892)),"UNKNOWN",IF(OR(K892&lt;0,K892&gt;=1),"ERROR",IF(K892=0,K875,K875/(1-K892))))),"ERROR")</f>
        <v/>
      </c>
    </row>
    <row r="877">
      <c r="J877">
        <f>IF(OR(J875="ERROR",J876="ERROR"),"ERROR",IF(OR(NOT(ISNUMBER(J875)),NOT(ISNUMBER(J876))),"UNKNOWN","OK"))</f>
        <v/>
      </c>
      <c r="K877">
        <f>IF(OR(K875="ERROR",K876="ERROR"),"ERROR",IF(OR(NOT(ISNUMBER(K875)),NOT(ISNUMBER(K876))),"UNKNOWN","OK"))</f>
        <v/>
      </c>
    </row>
    <row r="878">
      <c r="J878">
        <f>IFERROR(IF(NOT(ISNUMBER(J888)),"UNKNOWN",IF(J889="UNKNOWN","UNKNOWN",IF(J889=TRUE,J888,IF(NOT(ISNUMBER(J890)),"UNKNOWN",J888*(1+J890))))),"ERROR")</f>
        <v/>
      </c>
      <c r="K878">
        <f>IFERROR(IF(NOT(ISNUMBER(K888)),"UNKNOWN",IF(K889="UNKNOWN","UNKNOWN",IF(K889=TRUE,K888,IF(NOT(ISNUMBER(K890)),"UNKNOWN",K888*(1+K890))))),"ERROR")</f>
        <v/>
      </c>
    </row>
    <row r="879">
      <c r="J879">
        <f>IFERROR(IF(NOT(ISNUMBER(J891)),"UNKNOWN",IF(J889="UNKNOWN","UNKNOWN",IF(J889=FALSE,J891,IF(NOT(ISNUMBER(J890)),"UNKNOWN",J891/(1+J890))))),"ERROR")</f>
        <v/>
      </c>
      <c r="K879">
        <f>IFERROR(IF(NOT(ISNUMBER(K891)),"UNKNOWN",IF(K889="UNKNOWN","UNKNOWN",IF(K889=FALSE,K891,IF(NOT(ISNUMBER(K890)),"UNKNOWN",K891/(1+K890))))),"ERROR")</f>
        <v/>
      </c>
    </row>
    <row r="880">
      <c r="J880">
        <f>IFERROR(IF(NOT(ISNUMBER(J891)),"UNKNOWN",IF(J889="UNKNOWN","UNKNOWN",IF(J889=TRUE,J891,IF(NOT(ISNUMBER(J890)),"UNKNOWN",J891*(1+J890))))),"ERROR")</f>
        <v/>
      </c>
      <c r="K880">
        <f>IFERROR(IF(NOT(ISNUMBER(K891)),"UNKNOWN",IF(K889="UNKNOWN","UNKNOWN",IF(K889=TRUE,K891,IF(NOT(ISNUMBER(K890)),"UNKNOWN",K891*(1+K890))))),"ERROR")</f>
        <v/>
      </c>
    </row>
    <row r="881">
      <c r="J881">
        <f>IFERROR(IF(J879="ERROR","ERROR",IF(NOT(ISNUMBER(J893)),"UNKNOWN",IF(OR(J893&lt;0,J893&gt;=1),"ERROR",IF(NOT(ISNUMBER(J879)),"UNKNOWN",IF(J896&gt;0,IF(J880="ERROR","ERROR",IF(NOT(ISNUMBER(J880)),"UNKNOWN",J879*(1-J893-$I$844)-J896*J880-$I$843)),J879*(1-J893-$I$844)-$I$843))))),"ERROR")</f>
        <v/>
      </c>
      <c r="K881">
        <f>IFERROR(IF(K879="ERROR","ERROR",IF(NOT(ISNUMBER(K893)),"UNKNOWN",IF(OR(K893&lt;0,K893&gt;=1),"ERROR",IF(NOT(ISNUMBER(K879)),"UNKNOWN",IF(K896&gt;0,IF(K880="ERROR","ERROR",IF(NOT(ISNUMBER(K880)),"UNKNOWN",K879*(1-K893-$I$844)-K896*K880-$I$843)),K879*(1-K893-$I$844)-$I$843))))),"ERROR")</f>
        <v/>
      </c>
    </row>
    <row r="882">
      <c r="J882">
        <f>IFERROR(IF(OR(J881="ERROR",J894="ERROR"),"ERROR",IF(OR(NOT(ISNUMBER(J881)),NOT(ISNUMBER(J894))),"UNKNOWN",J881-J894)),"ERROR")</f>
        <v/>
      </c>
      <c r="K882">
        <f>IFERROR(IF(OR(K881="ERROR",K894="ERROR"),"ERROR",IF(OR(NOT(ISNUMBER(K881)),NOT(ISNUMBER(K894))),"UNKNOWN",K881-K894)),"ERROR")</f>
        <v/>
      </c>
    </row>
    <row r="883">
      <c r="J883">
        <f>IF(OR(J881="ERROR",J894="ERROR",J882="ERROR"),"ERROR",IF(OR(NOT(ISNUMBER(J881)),NOT(ISNUMBER(J894)),NOT(ISNUMBER(J882))),"UNKNOWN","OK"))</f>
        <v/>
      </c>
      <c r="K883">
        <f>IF(OR(K881="ERROR",K894="ERROR",K882="ERROR"),"ERROR",IF(OR(NOT(ISNUMBER(K881)),NOT(ISNUMBER(K894)),NOT(ISNUMBER(K882))),"UNKNOWN","OK"))</f>
        <v/>
      </c>
    </row>
    <row r="884">
      <c r="J884">
        <f>IFERROR(IF(NOT(ISNUMBER(J895)),J895,IF(J895&lt;0,"ERROR",J895)),"ERROR")</f>
        <v/>
      </c>
      <c r="K884">
        <f>IFERROR(IF(NOT(ISNUMBER(K895)),K895,IF(K895&lt;0,"ERROR",K895)),"ERROR")</f>
        <v/>
      </c>
    </row>
    <row r="885">
      <c r="J885">
        <f>IFERROR(IF(OR(J868="ERROR",J884="ERROR"),"ERROR",IF(OR(NOT(ISNUMBER(J868)),NOT(ISNUMBER(J884))),"UNKNOWN",IF(J868&lt;=0,"NOT_APPLICABLE",J884/J868))),"ERROR")</f>
        <v/>
      </c>
      <c r="K885">
        <f>IFERROR(IF(OR(K868="ERROR",K884="ERROR"),"ERROR",IF(OR(NOT(ISNUMBER(K868)),NOT(ISNUMBER(K884))),"UNKNOWN",IF(K868&lt;=0,"NOT_APPLICABLE",K884/K868))),"ERROR")</f>
        <v/>
      </c>
    </row>
    <row r="886">
      <c r="J886">
        <f>IF(OR(J868="ERROR",J884="ERROR",J885="ERROR"),"ERROR",IF(OR(NOT(ISNUMBER(J868)),NOT(ISNUMBER(J884)),AND(NOT(ISNUMBER(J885)),J885&lt;&gt;"NOT_APPLICABLE")),"UNKNOWN","OK"))</f>
        <v/>
      </c>
      <c r="K886">
        <f>IF(OR(K868="ERROR",K884="ERROR",K885="ERROR"),"ERROR",IF(OR(NOT(ISNUMBER(K868)),NOT(ISNUMBER(K884)),AND(NOT(ISNUMBER(K885)),K885&lt;&gt;"NOT_APPLICABLE")),"UNKNOWN","OK"))</f>
        <v/>
      </c>
    </row>
    <row r="887">
      <c r="J887">
        <f>IF(OR(J870="ERROR",J877="ERROR",J883="ERROR",J886="ERROR"),"ERROR",IF(OR(J870="UNKNOWN",J877="UNKNOWN",J883="UNKNOWN",J886="UNKNOWN"),"INCOMPLETE","OK"))</f>
        <v/>
      </c>
      <c r="K887">
        <f>IF(OR(K870="ERROR",K877="ERROR",K883="ERROR",K886="ERROR"),"ERROR",IF(OR(K870="UNKNOWN",K877="UNKNOWN",K883="UNKNOWN",K886="UNKNOWN"),"INCOMPLETE","OK"))</f>
        <v/>
      </c>
    </row>
    <row r="888">
      <c r="J888">
        <f>IF($J$849="inherit",$I$837,IF($J$849="null","UNKNOWN",$J$850))</f>
        <v/>
      </c>
      <c r="K888">
        <f>IF($K$849="inherit",$I$837,IF($K$849="null","UNKNOWN",$K$850))</f>
        <v/>
      </c>
    </row>
    <row r="889">
      <c r="J889">
        <f>IF($J$851="inherit",$I$838,IF($J$851="null","UNKNOWN",$J$852))</f>
        <v/>
      </c>
      <c r="K889">
        <f>IF($K$851="inherit",$I$838,IF($K$851="null","UNKNOWN",$K$852))</f>
        <v/>
      </c>
    </row>
    <row r="890">
      <c r="J890">
        <f>IF($J$853="inherit",$I$839,IF($J$853="null","UNKNOWN",$J$854))</f>
        <v/>
      </c>
      <c r="K890">
        <f>IF($K$853="inherit",$I$839,IF($K$853="null","UNKNOWN",$K$854))</f>
        <v/>
      </c>
    </row>
    <row r="891">
      <c r="J891">
        <f>IF($J$855="inherit",$I$840,IF($J$855="null","UNKNOWN",$J$856))</f>
        <v/>
      </c>
      <c r="K891">
        <f>IF($K$855="inherit",$I$840,IF($K$855="null","UNKNOWN",$K$856))</f>
        <v/>
      </c>
    </row>
    <row r="892">
      <c r="J892">
        <f>IF($J$857="inherit",$I$841,IF($J$857="null","UNKNOWN",$J$858))</f>
        <v/>
      </c>
      <c r="K892">
        <f>IF($K$857="inherit",$I$841,IF($K$857="null","UNKNOWN",$K$858))</f>
        <v/>
      </c>
    </row>
    <row r="893">
      <c r="J893">
        <f>IF($J$859="inherit",$I$847,IF($J$859="null","UNKNOWN",$J$860))</f>
        <v/>
      </c>
      <c r="K893">
        <f>IF($K$859="inherit",$I$847,IF($K$859="null","UNKNOWN",$K$860))</f>
        <v/>
      </c>
    </row>
    <row r="894">
      <c r="J894">
        <f>IF($J$861="inherit",$I$842,IF($J$861="null","UNKNOWN",$J$862))</f>
        <v/>
      </c>
      <c r="K894">
        <f>IF($K$861="inherit",$I$842,IF($K$861="null","UNKNOWN",$K$862))</f>
        <v/>
      </c>
    </row>
    <row r="895">
      <c r="J895">
        <f>IF($J$863="inherit",$I$846,IF($J$863="null","UNKNOWN",$J$864))</f>
        <v/>
      </c>
      <c r="K895">
        <f>IF($K$863="inherit",$I$846,IF($K$863="null","UNKNOWN",$K$864))</f>
        <v/>
      </c>
    </row>
    <row r="896">
      <c r="J896">
        <f>IF($J$865="inherit",$I$845,IF($J$865="null","UNKNOWN",$J$866))</f>
        <v/>
      </c>
      <c r="K896">
        <f>IF($K$865="inherit",$I$845,IF($K$865="null","UNKNOWN",$K$866))</f>
        <v/>
      </c>
    </row>
    <row r="897">
      <c r="I897">
        <f>IFERROR(MATCH($I$848,$J$848:$K$848,0),0)</f>
        <v/>
      </c>
    </row>
    <row r="898">
      <c r="J898">
        <f>IF(I897=0,"ERROR",IF(OR($J$867="ERROR",INDEX($J$867:$K$867,1,I897)="ERROR"),"ERROR",IF(OR($J$867="UNKNOWN",INDEX($J$867:$K$867,1,I897)="UNKNOWN"),"UNKNOWN",IF(OR($J$867="NOT_APPLICABLE",INDEX($J$867:$K$867,1,I897)="NOT_APPLICABLE"),"NOT_APPLICABLE",$J$867-INDEX($J$867:$K$867,1,I897)))))</f>
        <v/>
      </c>
      <c r="K898">
        <f>IF(I897=0,"ERROR",IF(OR($K$867="ERROR",INDEX($J$867:$K$867,1,I897)="ERROR"),"ERROR",IF(OR($K$867="UNKNOWN",INDEX($J$867:$K$867,1,I897)="UNKNOWN"),"UNKNOWN",IF(OR($K$867="NOT_APPLICABLE",INDEX($J$867:$K$867,1,I897)="NOT_APPLICABLE"),"NOT_APPLICABLE",$K$867-INDEX($J$867:$K$867,1,I897)))))</f>
        <v/>
      </c>
    </row>
    <row r="899">
      <c r="J899">
        <f>IF(I897=0,"ERROR",IF(OR($J$868="ERROR",INDEX($J$868:$K$868,1,I897)="ERROR"),"ERROR",IF(OR($J$868="UNKNOWN",INDEX($J$868:$K$868,1,I897)="UNKNOWN"),"UNKNOWN",IF(OR($J$868="NOT_APPLICABLE",INDEX($J$868:$K$868,1,I897)="NOT_APPLICABLE"),"NOT_APPLICABLE",$J$868-INDEX($J$868:$K$868,1,I897)))))</f>
        <v/>
      </c>
      <c r="K899">
        <f>IF(I897=0,"ERROR",IF(OR($K$868="ERROR",INDEX($J$868:$K$868,1,I897)="ERROR"),"ERROR",IF(OR($K$868="UNKNOWN",INDEX($J$868:$K$868,1,I897)="UNKNOWN"),"UNKNOWN",IF(OR($K$868="NOT_APPLICABLE",INDEX($J$868:$K$868,1,I897)="NOT_APPLICABLE"),"NOT_APPLICABLE",$K$868-INDEX($J$868:$K$868,1,I897)))))</f>
        <v/>
      </c>
    </row>
    <row r="900">
      <c r="J900">
        <f>IF(I897=0,"ERROR",IF(OR($J$869="ERROR",INDEX($J$869:$K$869,1,I897)="ERROR"),"ERROR",IF(OR($J$869="UNKNOWN",INDEX($J$869:$K$869,1,I897)="UNKNOWN"),"UNKNOWN",IF(OR($J$869="NOT_APPLICABLE",INDEX($J$869:$K$869,1,I897)="NOT_APPLICABLE"),"NOT_APPLICABLE",$J$869-INDEX($J$869:$K$869,1,I897)))))</f>
        <v/>
      </c>
      <c r="K900">
        <f>IF(I897=0,"ERROR",IF(OR($K$869="ERROR",INDEX($J$869:$K$869,1,I897)="ERROR"),"ERROR",IF(OR($K$869="UNKNOWN",INDEX($J$869:$K$869,1,I897)="UNKNOWN"),"UNKNOWN",IF(OR($K$869="NOT_APPLICABLE",INDEX($J$869:$K$869,1,I897)="NOT_APPLICABLE"),"NOT_APPLICABLE",$K$869-INDEX($J$869:$K$869,1,I897)))))</f>
        <v/>
      </c>
    </row>
    <row r="901">
      <c r="J901">
        <f>IF(I897=0,"ERROR",IF(OR($J$885="ERROR",INDEX($J$885:$K$885,1,I897)="ERROR"),"ERROR",IF(OR($J$885="UNKNOWN",INDEX($J$885:$K$885,1,I897)="UNKNOWN"),"UNKNOWN",IF(OR($J$885="NOT_APPLICABLE",INDEX($J$885:$K$885,1,I897)="NOT_APPLICABLE"),"NOT_APPLICABLE",$J$885-INDEX($J$885:$K$885,1,I897)))))</f>
        <v/>
      </c>
      <c r="K901">
        <f>IF(I897=0,"ERROR",IF(OR($K$885="ERROR",INDEX($J$885:$K$885,1,I897)="ERROR"),"ERROR",IF(OR($K$885="UNKNOWN",INDEX($J$885:$K$885,1,I897)="UNKNOWN"),"UNKNOWN",IF(OR($K$885="NOT_APPLICABLE",INDEX($J$885:$K$885,1,I897)="NOT_APPLICABLE"),"NOT_APPLICABLE",$K$885-INDEX($J$885:$K$885,1,I897)))))</f>
        <v/>
      </c>
    </row>
    <row r="903">
      <c r="B903" s="8" t="inlineStr">
        <is>
          <t>Scenario A: scenario_status</t>
        </is>
      </c>
      <c r="C903" s="16">
        <f>J887</f>
        <v/>
      </c>
      <c r="D903" s="38" t="inlineStr">
        <is>
          <t>OK</t>
        </is>
      </c>
      <c r="F903" s="15">
        <f>IF(J887=D903,"PASS","FAIL")</f>
        <v/>
      </c>
    </row>
    <row r="904">
      <c r="B904" s="8" t="inlineStr">
        <is>
          <t>Scenario A: contribution_margin</t>
        </is>
      </c>
      <c r="C904" s="25">
        <f>J868</f>
        <v/>
      </c>
      <c r="D904" s="42" t="n">
        <v>500</v>
      </c>
      <c r="E904" s="26">
        <f>IF(ISNUMBER(D904),IF(ISNUMBER(J868),ABS(J868-D904),"N/A"),"N/A")</f>
        <v/>
      </c>
      <c r="F904" s="15">
        <f>IFERROR(IF(ISNUMBER(D904),IF(ISNUMBER(J868),IF(ABS(J868-D904)&lt;=0.01,"PASS","FAIL"),"FAIL"),IF(NOT(ISNUMBER(J868)),IF(J868=D904,"PASS","FAIL"),"FAIL")),"FAIL")</f>
        <v/>
      </c>
    </row>
    <row r="905">
      <c r="B905" s="8" t="inlineStr">
        <is>
          <t>Scenario A: break_even_quantity_exact</t>
        </is>
      </c>
      <c r="C905" s="25">
        <f>J885</f>
        <v/>
      </c>
      <c r="D905" s="42" t="n">
        <v>100</v>
      </c>
      <c r="E905" s="26">
        <f>IF(ISNUMBER(D905),IF(ISNUMBER(J885),ABS(J885-D905),"N/A"),"N/A")</f>
        <v/>
      </c>
      <c r="F905" s="15">
        <f>IFERROR(IF(ISNUMBER(D905),IF(ISNUMBER(J885),IF(ABS(J885-D905)&lt;=0.01,"PASS","FAIL"),"FAIL"),IF(NOT(ISNUMBER(J885)),IF(J885=D905,"PASS","FAIL"),"FAIL")),"FAIL")</f>
        <v/>
      </c>
    </row>
    <row r="906">
      <c r="B906" s="8" t="inlineStr">
        <is>
          <t>Scenario A: net_sales_ex_vat_delta</t>
        </is>
      </c>
      <c r="C906" s="43">
        <f>J898</f>
        <v/>
      </c>
      <c r="D906" s="44" t="n">
        <v>0</v>
      </c>
      <c r="F906" s="15">
        <f>IFERROR(IF(ISNUMBER(D906),IF(ISNUMBER(J898),IF(ABS(J898-D906)&lt;=0.01,"PASS","FAIL"),"FAIL"),IF(NOT(ISNUMBER(J898)),IF(J898=D906,"PASS","FAIL"),"FAIL")),"FAIL")</f>
        <v/>
      </c>
    </row>
    <row r="907">
      <c r="B907" s="8" t="inlineStr">
        <is>
          <t>Scenario A: contribution_margin_delta</t>
        </is>
      </c>
      <c r="C907" s="43">
        <f>J899</f>
        <v/>
      </c>
      <c r="D907" s="44" t="n">
        <v>0</v>
      </c>
      <c r="F907" s="15">
        <f>IFERROR(IF(ISNUMBER(D907),IF(ISNUMBER(J899),IF(ABS(J899-D907)&lt;=0.01,"PASS","FAIL"),"FAIL"),IF(NOT(ISNUMBER(J899)),IF(J899=D907,"PASS","FAIL"),"FAIL")),"FAIL")</f>
        <v/>
      </c>
    </row>
    <row r="908">
      <c r="B908" s="8" t="inlineStr">
        <is>
          <t>Scenario A: contribution_margin_rate_delta</t>
        </is>
      </c>
      <c r="C908" s="43">
        <f>J900</f>
        <v/>
      </c>
      <c r="D908" s="44" t="n">
        <v>0</v>
      </c>
      <c r="F908" s="15">
        <f>IFERROR(IF(ISNUMBER(D908),IF(ISNUMBER(J900),IF(ABS(J900-D908)&lt;=0.01,"PASS","FAIL"),"FAIL"),IF(NOT(ISNUMBER(J900)),IF(J900=D908,"PASS","FAIL"),"FAIL")),"FAIL")</f>
        <v/>
      </c>
    </row>
    <row r="909">
      <c r="B909" s="8" t="inlineStr">
        <is>
          <t>Scenario A: break_even_quantity_delta</t>
        </is>
      </c>
      <c r="C909" s="43">
        <f>J901</f>
        <v/>
      </c>
      <c r="D909" s="44" t="n">
        <v>0</v>
      </c>
      <c r="F909" s="15">
        <f>IFERROR(IF(ISNUMBER(D909),IF(ISNUMBER(J901),IF(ABS(J901-D909)&lt;=0.01,"PASS","FAIL"),"FAIL"),IF(NOT(ISNUMBER(J901)),IF(J901=D909,"PASS","FAIL"),"FAIL")),"FAIL")</f>
        <v/>
      </c>
    </row>
    <row r="910">
      <c r="B910" s="8" t="inlineStr">
        <is>
          <t>Scenario B: scenario_status</t>
        </is>
      </c>
      <c r="C910" s="16">
        <f>K887</f>
        <v/>
      </c>
      <c r="D910" s="38" t="inlineStr">
        <is>
          <t>OK</t>
        </is>
      </c>
      <c r="F910" s="15">
        <f>IF(K887=D910,"PASS","FAIL")</f>
        <v/>
      </c>
    </row>
    <row r="911">
      <c r="B911" s="8" t="inlineStr">
        <is>
          <t>Scenario B: contribution_margin</t>
        </is>
      </c>
      <c r="C911" s="25">
        <f>K868</f>
        <v/>
      </c>
      <c r="D911" s="42" t="n">
        <v>200</v>
      </c>
      <c r="E911" s="26">
        <f>IF(ISNUMBER(D911),IF(ISNUMBER(K868),ABS(K868-D911),"N/A"),"N/A")</f>
        <v/>
      </c>
      <c r="F911" s="15">
        <f>IFERROR(IF(ISNUMBER(D911),IF(ISNUMBER(K868),IF(ABS(K868-D911)&lt;=0.01,"PASS","FAIL"),"FAIL"),IF(NOT(ISNUMBER(K868)),IF(K868=D911,"PASS","FAIL"),"FAIL")),"FAIL")</f>
        <v/>
      </c>
    </row>
    <row r="912">
      <c r="B912" s="8" t="inlineStr">
        <is>
          <t>Scenario B: break_even_quantity_exact</t>
        </is>
      </c>
      <c r="C912" s="25">
        <f>K885</f>
        <v/>
      </c>
      <c r="D912" s="42" t="n">
        <v>250</v>
      </c>
      <c r="E912" s="26">
        <f>IF(ISNUMBER(D912),IF(ISNUMBER(K885),ABS(K885-D912),"N/A"),"N/A")</f>
        <v/>
      </c>
      <c r="F912" s="15">
        <f>IFERROR(IF(ISNUMBER(D912),IF(ISNUMBER(K885),IF(ABS(K885-D912)&lt;=0.01,"PASS","FAIL"),"FAIL"),IF(NOT(ISNUMBER(K885)),IF(K885=D912,"PASS","FAIL"),"FAIL")),"FAIL")</f>
        <v/>
      </c>
    </row>
    <row r="913">
      <c r="B913" s="8" t="inlineStr">
        <is>
          <t>Scenario B: net_sales_ex_vat_delta</t>
        </is>
      </c>
      <c r="C913" s="43">
        <f>K898</f>
        <v/>
      </c>
      <c r="D913" s="44" t="n">
        <v>-300</v>
      </c>
      <c r="F913" s="15">
        <f>IFERROR(IF(ISNUMBER(D913),IF(ISNUMBER(K898),IF(ABS(K898-D913)&lt;=0.01,"PASS","FAIL"),"FAIL"),IF(NOT(ISNUMBER(K898)),IF(K898=D913,"PASS","FAIL"),"FAIL")),"FAIL")</f>
        <v/>
      </c>
    </row>
    <row r="914">
      <c r="B914" s="8" t="inlineStr">
        <is>
          <t>Scenario B: contribution_margin_delta</t>
        </is>
      </c>
      <c r="C914" s="43">
        <f>K899</f>
        <v/>
      </c>
      <c r="D914" s="44" t="n">
        <v>-300</v>
      </c>
      <c r="F914" s="15">
        <f>IFERROR(IF(ISNUMBER(D914),IF(ISNUMBER(K899),IF(ABS(K899-D914)&lt;=0.01,"PASS","FAIL"),"FAIL"),IF(NOT(ISNUMBER(K899)),IF(K899=D914,"PASS","FAIL"),"FAIL")),"FAIL")</f>
        <v/>
      </c>
    </row>
    <row r="915">
      <c r="B915" s="8" t="inlineStr">
        <is>
          <t>Scenario B: contribution_margin_rate_delta</t>
        </is>
      </c>
      <c r="C915" s="43">
        <f>K900</f>
        <v/>
      </c>
      <c r="D915" s="44" t="n">
        <v>-0.2142857142857143</v>
      </c>
      <c r="F915" s="15">
        <f>IFERROR(IF(ISNUMBER(D915),IF(ISNUMBER(K900),IF(ABS(K900-D915)&lt;=0.01,"PASS","FAIL"),"FAIL"),IF(NOT(ISNUMBER(K900)),IF(K900=D915,"PASS","FAIL"),"FAIL")),"FAIL")</f>
        <v/>
      </c>
    </row>
    <row r="916">
      <c r="B916" s="8" t="inlineStr">
        <is>
          <t>Scenario B: break_even_quantity_delta</t>
        </is>
      </c>
      <c r="C916" s="43">
        <f>K901</f>
        <v/>
      </c>
      <c r="D916" s="44" t="n">
        <v>150</v>
      </c>
      <c r="F916" s="15">
        <f>IFERROR(IF(ISNUMBER(D916),IF(ISNUMBER(K901),IF(ABS(K901-D916)&lt;=0.01,"PASS","FAIL"),"FAIL"),IF(NOT(ISNUMBER(K901)),IF(K901=D916,"PASS","FAIL"),"FAIL")),"FAIL")</f>
        <v/>
      </c>
    </row>
    <row r="918" ht="20" customHeight="1">
      <c r="B918" s="2" t="inlineStr">
        <is>
          <t>TC12. Fixed operating cost increase</t>
        </is>
      </c>
      <c r="C918" s="7" t="n"/>
      <c r="D918" s="7" t="n"/>
      <c r="E918" s="7" t="n"/>
      <c r="F918" s="7" t="n"/>
    </row>
    <row r="919">
      <c r="B919" s="4" t="inlineStr">
        <is>
          <t>Check</t>
        </is>
      </c>
      <c r="C919" s="4" t="inlineStr">
        <is>
          <t>Excel Result</t>
        </is>
      </c>
      <c r="D919" s="4" t="inlineStr">
        <is>
          <t>Python Reference</t>
        </is>
      </c>
      <c r="E919" s="4" t="inlineStr">
        <is>
          <t>Difference</t>
        </is>
      </c>
      <c r="F919" s="4" t="inlineStr">
        <is>
          <t>PASS / FAIL</t>
        </is>
      </c>
    </row>
    <row r="920">
      <c r="I920" t="n">
        <v>1000</v>
      </c>
    </row>
    <row r="921">
      <c r="I921" t="b">
        <v>0</v>
      </c>
    </row>
    <row r="922">
      <c r="I922" t="n">
        <v>0.1</v>
      </c>
    </row>
    <row r="923">
      <c r="I923" t="n">
        <v>1000</v>
      </c>
    </row>
    <row r="924">
      <c r="I924" t="n">
        <v>0</v>
      </c>
    </row>
    <row r="925">
      <c r="I925" t="n">
        <v>400</v>
      </c>
    </row>
    <row r="926">
      <c r="I926" t="n">
        <v>100</v>
      </c>
    </row>
    <row r="927">
      <c r="I927" t="n">
        <v>0</v>
      </c>
    </row>
    <row r="928">
      <c r="I928" t="n">
        <v>0</v>
      </c>
    </row>
    <row r="929">
      <c r="I929" t="n">
        <v>50000</v>
      </c>
    </row>
    <row r="930">
      <c r="I930" t="n">
        <v>0.3</v>
      </c>
    </row>
    <row r="931">
      <c r="I931" t="inlineStr">
        <is>
          <t>A</t>
        </is>
      </c>
      <c r="J931" t="inlineStr">
        <is>
          <t>A</t>
        </is>
      </c>
      <c r="K931" t="inlineStr">
        <is>
          <t>B</t>
        </is>
      </c>
    </row>
    <row r="932">
      <c r="J932" t="inlineStr">
        <is>
          <t>inherit</t>
        </is>
      </c>
      <c r="K932" t="inlineStr">
        <is>
          <t>inherit</t>
        </is>
      </c>
    </row>
    <row r="933"/>
    <row r="934">
      <c r="J934" t="inlineStr">
        <is>
          <t>inherit</t>
        </is>
      </c>
      <c r="K934" t="inlineStr">
        <is>
          <t>inherit</t>
        </is>
      </c>
    </row>
    <row r="935"/>
    <row r="936">
      <c r="J936" t="inlineStr">
        <is>
          <t>inherit</t>
        </is>
      </c>
      <c r="K936" t="inlineStr">
        <is>
          <t>inherit</t>
        </is>
      </c>
    </row>
    <row r="937"/>
    <row r="938">
      <c r="J938" t="inlineStr">
        <is>
          <t>inherit</t>
        </is>
      </c>
      <c r="K938" t="inlineStr">
        <is>
          <t>inherit</t>
        </is>
      </c>
    </row>
    <row r="939"/>
    <row r="940">
      <c r="J940" t="inlineStr">
        <is>
          <t>inherit</t>
        </is>
      </c>
      <c r="K940" t="inlineStr">
        <is>
          <t>inherit</t>
        </is>
      </c>
    </row>
    <row r="941"/>
    <row r="942">
      <c r="J942" t="inlineStr">
        <is>
          <t>inherit</t>
        </is>
      </c>
      <c r="K942" t="inlineStr">
        <is>
          <t>inherit</t>
        </is>
      </c>
    </row>
    <row r="943"/>
    <row r="944">
      <c r="J944" t="inlineStr">
        <is>
          <t>inherit</t>
        </is>
      </c>
      <c r="K944" t="inlineStr">
        <is>
          <t>inherit</t>
        </is>
      </c>
    </row>
    <row r="945"/>
    <row r="946">
      <c r="J946" t="inlineStr">
        <is>
          <t>inherit</t>
        </is>
      </c>
      <c r="K946" t="inlineStr">
        <is>
          <t>value</t>
        </is>
      </c>
    </row>
    <row r="947">
      <c r="K947" t="n">
        <v>80000</v>
      </c>
    </row>
    <row r="948">
      <c r="J948" t="inlineStr">
        <is>
          <t>inherit</t>
        </is>
      </c>
      <c r="K948" t="inlineStr">
        <is>
          <t>inherit</t>
        </is>
      </c>
    </row>
    <row r="949"/>
    <row r="950">
      <c r="J950">
        <f>IFERROR(IF(NOT(ISNUMBER(J971)),"UNKNOWN",IF(J972="UNKNOWN","UNKNOWN",IF(J972=FALSE,J971,IF(NOT(ISNUMBER(J973)),"UNKNOWN",J971/(1+J973))))),"ERROR")</f>
        <v/>
      </c>
      <c r="K950">
        <f>IFERROR(IF(NOT(ISNUMBER(K971)),"UNKNOWN",IF(K972="UNKNOWN","UNKNOWN",IF(K972=FALSE,K971,IF(NOT(ISNUMBER(K973)),"UNKNOWN",K971/(1+K973))))),"ERROR")</f>
        <v/>
      </c>
    </row>
    <row r="951">
      <c r="J951">
        <f>IFERROR(IF(J950="ERROR","ERROR",IF(OR(NOT(ISNUMBER(J950)),NOT(ISNUMBER(J977))),"UNKNOWN",IF(J979&gt;0,IF(J961="ERROR","ERROR",IF(NOT(ISNUMBER(J961)),"UNKNOWN",J950-J977-$I$926-$I$927*J950-J979*J961)),J950-J977-$I$926-$I$927*J950))),"ERROR")</f>
        <v/>
      </c>
      <c r="K951">
        <f>IFERROR(IF(K950="ERROR","ERROR",IF(OR(NOT(ISNUMBER(K950)),NOT(ISNUMBER(K977))),"UNKNOWN",IF(K979&gt;0,IF(K961="ERROR","ERROR",IF(NOT(ISNUMBER(K961)),"UNKNOWN",K950-K977-$I$926-$I$927*K950-K979*K961)),K950-K977-$I$926-$I$927*K950))),"ERROR")</f>
        <v/>
      </c>
    </row>
    <row r="952">
      <c r="J952">
        <f>IFERROR(IF(J951="ERROR","ERROR",IF(NOT(ISNUMBER(J951)),"UNKNOWN",IF(J950=0,"ERROR",J951/J950))),"ERROR")</f>
        <v/>
      </c>
      <c r="K952">
        <f>IFERROR(IF(K951="ERROR","ERROR",IF(NOT(ISNUMBER(K951)),"UNKNOWN",IF(K950=0,"ERROR",K951/K950))),"ERROR")</f>
        <v/>
      </c>
    </row>
    <row r="953">
      <c r="J953">
        <f>IF(OR(J950="ERROR",J951="ERROR",J952="ERROR"),"ERROR",IF(OR(NOT(ISNUMBER(J950)),NOT(ISNUMBER(J951)),NOT(ISNUMBER(J952))),"UNKNOWN","OK"))</f>
        <v/>
      </c>
      <c r="K953">
        <f>IF(OR(K950="ERROR",K951="ERROR",K952="ERROR"),"ERROR",IF(OR(NOT(ISNUMBER(K950)),NOT(ISNUMBER(K951)),NOT(ISNUMBER(K952))),"UNKNOWN","OK"))</f>
        <v/>
      </c>
    </row>
    <row r="954">
      <c r="J954">
        <f>IFERROR(IF(NOT(ISNUMBER(J977)),J977,J977+$I$926),"ERROR")</f>
        <v/>
      </c>
      <c r="K954">
        <f>IFERROR(IF(NOT(ISNUMBER(K977)),K977,K977+$I$926),"ERROR")</f>
        <v/>
      </c>
    </row>
    <row r="955">
      <c r="J955">
        <f>IFERROR(IF(NOT(ISNUMBER(J976)),"UNKNOWN",IF(OR(J976&lt;0,J976&gt;=1),"ERROR",IF(J979=0,IF(1-J976-$I$927&lt;=0,"ERROR",1-J976-$I$927),IF(NOT(ISNUMBER(J973)),"UNKNOWN",IF(1-J976-$I$927-J979*(1+J973)&lt;=0,"ERROR",1-J976-$I$927-J979*(1+J973)))))),"ERROR")</f>
        <v/>
      </c>
      <c r="K955">
        <f>IFERROR(IF(NOT(ISNUMBER(K976)),"UNKNOWN",IF(OR(K976&lt;0,K976&gt;=1),"ERROR",IF(K979=0,IF(1-K976-$I$927&lt;=0,"ERROR",1-K976-$I$927),IF(NOT(ISNUMBER(K973)),"UNKNOWN",IF(1-K976-$I$927-K979*(1+K973)&lt;=0,"ERROR",1-K976-$I$927-K979*(1+K973)))))),"ERROR")</f>
        <v/>
      </c>
    </row>
    <row r="956">
      <c r="J956">
        <f>IFERROR(IF(NOT(ISNUMBER(J954)),J954,IF(NOT(ISNUMBER(J955)),J955,J954/J955)),"ERROR")</f>
        <v/>
      </c>
      <c r="K956">
        <f>IFERROR(IF(NOT(ISNUMBER(K954)),K954,IF(NOT(ISNUMBER(K955)),K955,K954/K955)),"ERROR")</f>
        <v/>
      </c>
    </row>
    <row r="957">
      <c r="J957">
        <f>IFERROR(IF(NOT(ISNUMBER(J956)),J956,IF(NOT(ISNUMBER(J973)),"UNKNOWN",J956*(1+J973))),"ERROR")</f>
        <v/>
      </c>
      <c r="K957">
        <f>IFERROR(IF(NOT(ISNUMBER(K956)),K956,IF(NOT(ISNUMBER(K973)),"UNKNOWN",K956*(1+K973))),"ERROR")</f>
        <v/>
      </c>
    </row>
    <row r="958">
      <c r="J958">
        <f>IFERROR(IF(J972="UNKNOWN","UNKNOWN",IF(J972=FALSE,J956,J957)),"ERROR")</f>
        <v/>
      </c>
      <c r="K958">
        <f>IFERROR(IF(K972="UNKNOWN","UNKNOWN",IF(K972=FALSE,K956,K957)),"ERROR")</f>
        <v/>
      </c>
    </row>
    <row r="959">
      <c r="J959">
        <f>IFERROR(IF(NOT(ISNUMBER(J958)),J958,IF(NOT(ISNUMBER(J975)),"UNKNOWN",IF(OR(J975&lt;0,J975&gt;=1),"ERROR",IF(J975=0,J958,J958/(1-J975))))),"ERROR")</f>
        <v/>
      </c>
      <c r="K959">
        <f>IFERROR(IF(NOT(ISNUMBER(K958)),K958,IF(NOT(ISNUMBER(K975)),"UNKNOWN",IF(OR(K975&lt;0,K975&gt;=1),"ERROR",IF(K975=0,K958,K958/(1-K975))))),"ERROR")</f>
        <v/>
      </c>
    </row>
    <row r="960">
      <c r="J960">
        <f>IF(OR(J958="ERROR",J959="ERROR"),"ERROR",IF(OR(NOT(ISNUMBER(J958)),NOT(ISNUMBER(J959))),"UNKNOWN","OK"))</f>
        <v/>
      </c>
      <c r="K960">
        <f>IF(OR(K958="ERROR",K959="ERROR"),"ERROR",IF(OR(NOT(ISNUMBER(K958)),NOT(ISNUMBER(K959))),"UNKNOWN","OK"))</f>
        <v/>
      </c>
    </row>
    <row r="961">
      <c r="J961">
        <f>IFERROR(IF(NOT(ISNUMBER(J971)),"UNKNOWN",IF(J972="UNKNOWN","UNKNOWN",IF(J972=TRUE,J971,IF(NOT(ISNUMBER(J973)),"UNKNOWN",J971*(1+J973))))),"ERROR")</f>
        <v/>
      </c>
      <c r="K961">
        <f>IFERROR(IF(NOT(ISNUMBER(K971)),"UNKNOWN",IF(K972="UNKNOWN","UNKNOWN",IF(K972=TRUE,K971,IF(NOT(ISNUMBER(K973)),"UNKNOWN",K971*(1+K973))))),"ERROR")</f>
        <v/>
      </c>
    </row>
    <row r="962">
      <c r="J962">
        <f>IFERROR(IF(NOT(ISNUMBER(J974)),"UNKNOWN",IF(J972="UNKNOWN","UNKNOWN",IF(J972=FALSE,J974,IF(NOT(ISNUMBER(J973)),"UNKNOWN",J974/(1+J973))))),"ERROR")</f>
        <v/>
      </c>
      <c r="K962">
        <f>IFERROR(IF(NOT(ISNUMBER(K974)),"UNKNOWN",IF(K972="UNKNOWN","UNKNOWN",IF(K972=FALSE,K974,IF(NOT(ISNUMBER(K973)),"UNKNOWN",K974/(1+K973))))),"ERROR")</f>
        <v/>
      </c>
    </row>
    <row r="963">
      <c r="J963">
        <f>IFERROR(IF(NOT(ISNUMBER(J974)),"UNKNOWN",IF(J972="UNKNOWN","UNKNOWN",IF(J972=TRUE,J974,IF(NOT(ISNUMBER(J973)),"UNKNOWN",J974*(1+J973))))),"ERROR")</f>
        <v/>
      </c>
      <c r="K963">
        <f>IFERROR(IF(NOT(ISNUMBER(K974)),"UNKNOWN",IF(K972="UNKNOWN","UNKNOWN",IF(K972=TRUE,K974,IF(NOT(ISNUMBER(K973)),"UNKNOWN",K974*(1+K973))))),"ERROR")</f>
        <v/>
      </c>
    </row>
    <row r="964">
      <c r="J964">
        <f>IFERROR(IF(J962="ERROR","ERROR",IF(NOT(ISNUMBER(J976)),"UNKNOWN",IF(OR(J976&lt;0,J976&gt;=1),"ERROR",IF(NOT(ISNUMBER(J962)),"UNKNOWN",IF(J979&gt;0,IF(J963="ERROR","ERROR",IF(NOT(ISNUMBER(J963)),"UNKNOWN",J962*(1-J976-$I$927)-J979*J963-$I$926)),J962*(1-J976-$I$927)-$I$926))))),"ERROR")</f>
        <v/>
      </c>
      <c r="K964">
        <f>IFERROR(IF(K962="ERROR","ERROR",IF(NOT(ISNUMBER(K976)),"UNKNOWN",IF(OR(K976&lt;0,K976&gt;=1),"ERROR",IF(NOT(ISNUMBER(K962)),"UNKNOWN",IF(K979&gt;0,IF(K963="ERROR","ERROR",IF(NOT(ISNUMBER(K963)),"UNKNOWN",K962*(1-K976-$I$927)-K979*K963-$I$926)),K962*(1-K976-$I$927)-$I$926))))),"ERROR")</f>
        <v/>
      </c>
    </row>
    <row r="965">
      <c r="J965">
        <f>IFERROR(IF(OR(J964="ERROR",J977="ERROR"),"ERROR",IF(OR(NOT(ISNUMBER(J964)),NOT(ISNUMBER(J977))),"UNKNOWN",J964-J977)),"ERROR")</f>
        <v/>
      </c>
      <c r="K965">
        <f>IFERROR(IF(OR(K964="ERROR",K977="ERROR"),"ERROR",IF(OR(NOT(ISNUMBER(K964)),NOT(ISNUMBER(K977))),"UNKNOWN",K964-K977)),"ERROR")</f>
        <v/>
      </c>
    </row>
    <row r="966">
      <c r="J966">
        <f>IF(OR(J964="ERROR",J977="ERROR",J965="ERROR"),"ERROR",IF(OR(NOT(ISNUMBER(J964)),NOT(ISNUMBER(J977)),NOT(ISNUMBER(J965))),"UNKNOWN","OK"))</f>
        <v/>
      </c>
      <c r="K966">
        <f>IF(OR(K964="ERROR",K977="ERROR",K965="ERROR"),"ERROR",IF(OR(NOT(ISNUMBER(K964)),NOT(ISNUMBER(K977)),NOT(ISNUMBER(K965))),"UNKNOWN","OK"))</f>
        <v/>
      </c>
    </row>
    <row r="967">
      <c r="J967">
        <f>IFERROR(IF(NOT(ISNUMBER(J978)),J978,IF(J978&lt;0,"ERROR",J978)),"ERROR")</f>
        <v/>
      </c>
      <c r="K967">
        <f>IFERROR(IF(NOT(ISNUMBER(K978)),K978,IF(K978&lt;0,"ERROR",K978)),"ERROR")</f>
        <v/>
      </c>
    </row>
    <row r="968">
      <c r="J968">
        <f>IFERROR(IF(OR(J951="ERROR",J967="ERROR"),"ERROR",IF(OR(NOT(ISNUMBER(J951)),NOT(ISNUMBER(J967))),"UNKNOWN",IF(J951&lt;=0,"NOT_APPLICABLE",J967/J951))),"ERROR")</f>
        <v/>
      </c>
      <c r="K968">
        <f>IFERROR(IF(OR(K951="ERROR",K967="ERROR"),"ERROR",IF(OR(NOT(ISNUMBER(K951)),NOT(ISNUMBER(K967))),"UNKNOWN",IF(K951&lt;=0,"NOT_APPLICABLE",K967/K951))),"ERROR")</f>
        <v/>
      </c>
    </row>
    <row r="969">
      <c r="J969">
        <f>IF(OR(J951="ERROR",J967="ERROR",J968="ERROR"),"ERROR",IF(OR(NOT(ISNUMBER(J951)),NOT(ISNUMBER(J967)),AND(NOT(ISNUMBER(J968)),J968&lt;&gt;"NOT_APPLICABLE")),"UNKNOWN","OK"))</f>
        <v/>
      </c>
      <c r="K969">
        <f>IF(OR(K951="ERROR",K967="ERROR",K968="ERROR"),"ERROR",IF(OR(NOT(ISNUMBER(K951)),NOT(ISNUMBER(K967)),AND(NOT(ISNUMBER(K968)),K968&lt;&gt;"NOT_APPLICABLE")),"UNKNOWN","OK"))</f>
        <v/>
      </c>
    </row>
    <row r="970">
      <c r="J970">
        <f>IF(OR(J953="ERROR",J960="ERROR",J966="ERROR",J969="ERROR"),"ERROR",IF(OR(J953="UNKNOWN",J960="UNKNOWN",J966="UNKNOWN",J969="UNKNOWN"),"INCOMPLETE","OK"))</f>
        <v/>
      </c>
      <c r="K970">
        <f>IF(OR(K953="ERROR",K960="ERROR",K966="ERROR",K969="ERROR"),"ERROR",IF(OR(K953="UNKNOWN",K960="UNKNOWN",K966="UNKNOWN",K969="UNKNOWN"),"INCOMPLETE","OK"))</f>
        <v/>
      </c>
    </row>
    <row r="971">
      <c r="J971">
        <f>IF($J$932="inherit",$I$920,IF($J$932="null","UNKNOWN",$J$933))</f>
        <v/>
      </c>
      <c r="K971">
        <f>IF($K$932="inherit",$I$920,IF($K$932="null","UNKNOWN",$K$933))</f>
        <v/>
      </c>
    </row>
    <row r="972">
      <c r="J972">
        <f>IF($J$934="inherit",$I$921,IF($J$934="null","UNKNOWN",$J$935))</f>
        <v/>
      </c>
      <c r="K972">
        <f>IF($K$934="inherit",$I$921,IF($K$934="null","UNKNOWN",$K$935))</f>
        <v/>
      </c>
    </row>
    <row r="973">
      <c r="J973">
        <f>IF($J$936="inherit",$I$922,IF($J$936="null","UNKNOWN",$J$937))</f>
        <v/>
      </c>
      <c r="K973">
        <f>IF($K$936="inherit",$I$922,IF($K$936="null","UNKNOWN",$K$937))</f>
        <v/>
      </c>
    </row>
    <row r="974">
      <c r="J974">
        <f>IF($J$938="inherit",$I$923,IF($J$938="null","UNKNOWN",$J$939))</f>
        <v/>
      </c>
      <c r="K974">
        <f>IF($K$938="inherit",$I$923,IF($K$938="null","UNKNOWN",$K$939))</f>
        <v/>
      </c>
    </row>
    <row r="975">
      <c r="J975">
        <f>IF($J$940="inherit",$I$924,IF($J$940="null","UNKNOWN",$J$941))</f>
        <v/>
      </c>
      <c r="K975">
        <f>IF($K$940="inherit",$I$924,IF($K$940="null","UNKNOWN",$K$941))</f>
        <v/>
      </c>
    </row>
    <row r="976">
      <c r="J976">
        <f>IF($J$942="inherit",$I$930,IF($J$942="null","UNKNOWN",$J$943))</f>
        <v/>
      </c>
      <c r="K976">
        <f>IF($K$942="inherit",$I$930,IF($K$942="null","UNKNOWN",$K$943))</f>
        <v/>
      </c>
    </row>
    <row r="977">
      <c r="J977">
        <f>IF($J$944="inherit",$I$925,IF($J$944="null","UNKNOWN",$J$945))</f>
        <v/>
      </c>
      <c r="K977">
        <f>IF($K$944="inherit",$I$925,IF($K$944="null","UNKNOWN",$K$945))</f>
        <v/>
      </c>
    </row>
    <row r="978">
      <c r="J978">
        <f>IF($J$946="inherit",$I$929,IF($J$946="null","UNKNOWN",$J$947))</f>
        <v/>
      </c>
      <c r="K978">
        <f>IF($K$946="inherit",$I$929,IF($K$946="null","UNKNOWN",$K$947))</f>
        <v/>
      </c>
    </row>
    <row r="979">
      <c r="J979">
        <f>IF($J$948="inherit",$I$928,IF($J$948="null","UNKNOWN",$J$949))</f>
        <v/>
      </c>
      <c r="K979">
        <f>IF($K$948="inherit",$I$928,IF($K$948="null","UNKNOWN",$K$949))</f>
        <v/>
      </c>
    </row>
    <row r="980">
      <c r="I980">
        <f>IFERROR(MATCH($I$931,$J$931:$K$931,0),0)</f>
        <v/>
      </c>
    </row>
    <row r="981">
      <c r="J981">
        <f>IF(I980=0,"ERROR",IF(OR($J$950="ERROR",INDEX($J$950:$K$950,1,I980)="ERROR"),"ERROR",IF(OR($J$950="UNKNOWN",INDEX($J$950:$K$950,1,I980)="UNKNOWN"),"UNKNOWN",IF(OR($J$950="NOT_APPLICABLE",INDEX($J$950:$K$950,1,I980)="NOT_APPLICABLE"),"NOT_APPLICABLE",$J$950-INDEX($J$950:$K$950,1,I980)))))</f>
        <v/>
      </c>
      <c r="K981">
        <f>IF(I980=0,"ERROR",IF(OR($K$950="ERROR",INDEX($J$950:$K$950,1,I980)="ERROR"),"ERROR",IF(OR($K$950="UNKNOWN",INDEX($J$950:$K$950,1,I980)="UNKNOWN"),"UNKNOWN",IF(OR($K$950="NOT_APPLICABLE",INDEX($J$950:$K$950,1,I980)="NOT_APPLICABLE"),"NOT_APPLICABLE",$K$950-INDEX($J$950:$K$950,1,I980)))))</f>
        <v/>
      </c>
    </row>
    <row r="982">
      <c r="J982">
        <f>IF(I980=0,"ERROR",IF(OR($J$951="ERROR",INDEX($J$951:$K$951,1,I980)="ERROR"),"ERROR",IF(OR($J$951="UNKNOWN",INDEX($J$951:$K$951,1,I980)="UNKNOWN"),"UNKNOWN",IF(OR($J$951="NOT_APPLICABLE",INDEX($J$951:$K$951,1,I980)="NOT_APPLICABLE"),"NOT_APPLICABLE",$J$951-INDEX($J$951:$K$951,1,I980)))))</f>
        <v/>
      </c>
      <c r="K982">
        <f>IF(I980=0,"ERROR",IF(OR($K$951="ERROR",INDEX($J$951:$K$951,1,I980)="ERROR"),"ERROR",IF(OR($K$951="UNKNOWN",INDEX($J$951:$K$951,1,I980)="UNKNOWN"),"UNKNOWN",IF(OR($K$951="NOT_APPLICABLE",INDEX($J$951:$K$951,1,I980)="NOT_APPLICABLE"),"NOT_APPLICABLE",$K$951-INDEX($J$951:$K$951,1,I980)))))</f>
        <v/>
      </c>
    </row>
    <row r="983">
      <c r="J983">
        <f>IF(I980=0,"ERROR",IF(OR($J$952="ERROR",INDEX($J$952:$K$952,1,I980)="ERROR"),"ERROR",IF(OR($J$952="UNKNOWN",INDEX($J$952:$K$952,1,I980)="UNKNOWN"),"UNKNOWN",IF(OR($J$952="NOT_APPLICABLE",INDEX($J$952:$K$952,1,I980)="NOT_APPLICABLE"),"NOT_APPLICABLE",$J$952-INDEX($J$952:$K$952,1,I980)))))</f>
        <v/>
      </c>
      <c r="K983">
        <f>IF(I980=0,"ERROR",IF(OR($K$952="ERROR",INDEX($J$952:$K$952,1,I980)="ERROR"),"ERROR",IF(OR($K$952="UNKNOWN",INDEX($J$952:$K$952,1,I980)="UNKNOWN"),"UNKNOWN",IF(OR($K$952="NOT_APPLICABLE",INDEX($J$952:$K$952,1,I980)="NOT_APPLICABLE"),"NOT_APPLICABLE",$K$952-INDEX($J$952:$K$952,1,I980)))))</f>
        <v/>
      </c>
    </row>
    <row r="984">
      <c r="J984">
        <f>IF(I980=0,"ERROR",IF(OR($J$968="ERROR",INDEX($J$968:$K$968,1,I980)="ERROR"),"ERROR",IF(OR($J$968="UNKNOWN",INDEX($J$968:$K$968,1,I980)="UNKNOWN"),"UNKNOWN",IF(OR($J$968="NOT_APPLICABLE",INDEX($J$968:$K$968,1,I980)="NOT_APPLICABLE"),"NOT_APPLICABLE",$J$968-INDEX($J$968:$K$968,1,I980)))))</f>
        <v/>
      </c>
      <c r="K984">
        <f>IF(I980=0,"ERROR",IF(OR($K$968="ERROR",INDEX($J$968:$K$968,1,I980)="ERROR"),"ERROR",IF(OR($K$968="UNKNOWN",INDEX($J$968:$K$968,1,I980)="UNKNOWN"),"UNKNOWN",IF(OR($K$968="NOT_APPLICABLE",INDEX($J$968:$K$968,1,I980)="NOT_APPLICABLE"),"NOT_APPLICABLE",$K$968-INDEX($J$968:$K$968,1,I980)))))</f>
        <v/>
      </c>
    </row>
    <row r="986">
      <c r="B986" s="8" t="inlineStr">
        <is>
          <t>Scenario A: scenario_status</t>
        </is>
      </c>
      <c r="C986" s="16">
        <f>J970</f>
        <v/>
      </c>
      <c r="D986" s="38" t="inlineStr">
        <is>
          <t>OK</t>
        </is>
      </c>
      <c r="F986" s="15">
        <f>IF(J970=D986,"PASS","FAIL")</f>
        <v/>
      </c>
    </row>
    <row r="987">
      <c r="B987" s="8" t="inlineStr">
        <is>
          <t>Scenario A: contribution_margin</t>
        </is>
      </c>
      <c r="C987" s="25">
        <f>J951</f>
        <v/>
      </c>
      <c r="D987" s="42" t="n">
        <v>500</v>
      </c>
      <c r="E987" s="26">
        <f>IF(ISNUMBER(D987),IF(ISNUMBER(J951),ABS(J951-D987),"N/A"),"N/A")</f>
        <v/>
      </c>
      <c r="F987" s="15">
        <f>IFERROR(IF(ISNUMBER(D987),IF(ISNUMBER(J951),IF(ABS(J951-D987)&lt;=0.01,"PASS","FAIL"),"FAIL"),IF(NOT(ISNUMBER(J951)),IF(J951=D987,"PASS","FAIL"),"FAIL")),"FAIL")</f>
        <v/>
      </c>
    </row>
    <row r="988">
      <c r="B988" s="8" t="inlineStr">
        <is>
          <t>Scenario A: break_even_quantity_exact</t>
        </is>
      </c>
      <c r="C988" s="25">
        <f>J968</f>
        <v/>
      </c>
      <c r="D988" s="42" t="n">
        <v>100</v>
      </c>
      <c r="E988" s="26">
        <f>IF(ISNUMBER(D988),IF(ISNUMBER(J968),ABS(J968-D988),"N/A"),"N/A")</f>
        <v/>
      </c>
      <c r="F988" s="15">
        <f>IFERROR(IF(ISNUMBER(D988),IF(ISNUMBER(J968),IF(ABS(J968-D988)&lt;=0.01,"PASS","FAIL"),"FAIL"),IF(NOT(ISNUMBER(J968)),IF(J968=D988,"PASS","FAIL"),"FAIL")),"FAIL")</f>
        <v/>
      </c>
    </row>
    <row r="989">
      <c r="B989" s="8" t="inlineStr">
        <is>
          <t>Scenario A: net_sales_ex_vat_delta</t>
        </is>
      </c>
      <c r="C989" s="43">
        <f>J981</f>
        <v/>
      </c>
      <c r="D989" s="44" t="n">
        <v>0</v>
      </c>
      <c r="F989" s="15">
        <f>IFERROR(IF(ISNUMBER(D989),IF(ISNUMBER(J981),IF(ABS(J981-D989)&lt;=0.01,"PASS","FAIL"),"FAIL"),IF(NOT(ISNUMBER(J981)),IF(J981=D989,"PASS","FAIL"),"FAIL")),"FAIL")</f>
        <v/>
      </c>
    </row>
    <row r="990">
      <c r="B990" s="8" t="inlineStr">
        <is>
          <t>Scenario A: contribution_margin_delta</t>
        </is>
      </c>
      <c r="C990" s="43">
        <f>J982</f>
        <v/>
      </c>
      <c r="D990" s="44" t="n">
        <v>0</v>
      </c>
      <c r="F990" s="15">
        <f>IFERROR(IF(ISNUMBER(D990),IF(ISNUMBER(J982),IF(ABS(J982-D990)&lt;=0.01,"PASS","FAIL"),"FAIL"),IF(NOT(ISNUMBER(J982)),IF(J982=D990,"PASS","FAIL"),"FAIL")),"FAIL")</f>
        <v/>
      </c>
    </row>
    <row r="991">
      <c r="B991" s="8" t="inlineStr">
        <is>
          <t>Scenario A: contribution_margin_rate_delta</t>
        </is>
      </c>
      <c r="C991" s="43">
        <f>J983</f>
        <v/>
      </c>
      <c r="D991" s="44" t="n">
        <v>0</v>
      </c>
      <c r="F991" s="15">
        <f>IFERROR(IF(ISNUMBER(D991),IF(ISNUMBER(J983),IF(ABS(J983-D991)&lt;=0.01,"PASS","FAIL"),"FAIL"),IF(NOT(ISNUMBER(J983)),IF(J983=D991,"PASS","FAIL"),"FAIL")),"FAIL")</f>
        <v/>
      </c>
    </row>
    <row r="992">
      <c r="B992" s="8" t="inlineStr">
        <is>
          <t>Scenario A: break_even_quantity_delta</t>
        </is>
      </c>
      <c r="C992" s="43">
        <f>J984</f>
        <v/>
      </c>
      <c r="D992" s="44" t="n">
        <v>0</v>
      </c>
      <c r="F992" s="15">
        <f>IFERROR(IF(ISNUMBER(D992),IF(ISNUMBER(J984),IF(ABS(J984-D992)&lt;=0.01,"PASS","FAIL"),"FAIL"),IF(NOT(ISNUMBER(J984)),IF(J984=D992,"PASS","FAIL"),"FAIL")),"FAIL")</f>
        <v/>
      </c>
    </row>
    <row r="993">
      <c r="B993" s="8" t="inlineStr">
        <is>
          <t>Scenario B: scenario_status</t>
        </is>
      </c>
      <c r="C993" s="16">
        <f>K970</f>
        <v/>
      </c>
      <c r="D993" s="38" t="inlineStr">
        <is>
          <t>OK</t>
        </is>
      </c>
      <c r="F993" s="15">
        <f>IF(K970=D993,"PASS","FAIL")</f>
        <v/>
      </c>
    </row>
    <row r="994">
      <c r="B994" s="8" t="inlineStr">
        <is>
          <t>Scenario B: contribution_margin</t>
        </is>
      </c>
      <c r="C994" s="25">
        <f>K951</f>
        <v/>
      </c>
      <c r="D994" s="42" t="n">
        <v>500</v>
      </c>
      <c r="E994" s="26">
        <f>IF(ISNUMBER(D994),IF(ISNUMBER(K951),ABS(K951-D994),"N/A"),"N/A")</f>
        <v/>
      </c>
      <c r="F994" s="15">
        <f>IFERROR(IF(ISNUMBER(D994),IF(ISNUMBER(K951),IF(ABS(K951-D994)&lt;=0.01,"PASS","FAIL"),"FAIL"),IF(NOT(ISNUMBER(K951)),IF(K951=D994,"PASS","FAIL"),"FAIL")),"FAIL")</f>
        <v/>
      </c>
    </row>
    <row r="995">
      <c r="B995" s="8" t="inlineStr">
        <is>
          <t>Scenario B: break_even_quantity_exact</t>
        </is>
      </c>
      <c r="C995" s="25">
        <f>K968</f>
        <v/>
      </c>
      <c r="D995" s="42" t="n">
        <v>160</v>
      </c>
      <c r="E995" s="26">
        <f>IF(ISNUMBER(D995),IF(ISNUMBER(K968),ABS(K968-D995),"N/A"),"N/A")</f>
        <v/>
      </c>
      <c r="F995" s="15">
        <f>IFERROR(IF(ISNUMBER(D995),IF(ISNUMBER(K968),IF(ABS(K968-D995)&lt;=0.01,"PASS","FAIL"),"FAIL"),IF(NOT(ISNUMBER(K968)),IF(K968=D995,"PASS","FAIL"),"FAIL")),"FAIL")</f>
        <v/>
      </c>
    </row>
    <row r="996">
      <c r="B996" s="8" t="inlineStr">
        <is>
          <t>Scenario B: net_sales_ex_vat_delta</t>
        </is>
      </c>
      <c r="C996" s="43">
        <f>K981</f>
        <v/>
      </c>
      <c r="D996" s="44" t="n">
        <v>0</v>
      </c>
      <c r="F996" s="15">
        <f>IFERROR(IF(ISNUMBER(D996),IF(ISNUMBER(K981),IF(ABS(K981-D996)&lt;=0.01,"PASS","FAIL"),"FAIL"),IF(NOT(ISNUMBER(K981)),IF(K981=D996,"PASS","FAIL"),"FAIL")),"FAIL")</f>
        <v/>
      </c>
    </row>
    <row r="997">
      <c r="B997" s="8" t="inlineStr">
        <is>
          <t>Scenario B: contribution_margin_delta</t>
        </is>
      </c>
      <c r="C997" s="43">
        <f>K982</f>
        <v/>
      </c>
      <c r="D997" s="44" t="n">
        <v>0</v>
      </c>
      <c r="F997" s="15">
        <f>IFERROR(IF(ISNUMBER(D997),IF(ISNUMBER(K982),IF(ABS(K982-D997)&lt;=0.01,"PASS","FAIL"),"FAIL"),IF(NOT(ISNUMBER(K982)),IF(K982=D997,"PASS","FAIL"),"FAIL")),"FAIL")</f>
        <v/>
      </c>
    </row>
    <row r="998">
      <c r="B998" s="8" t="inlineStr">
        <is>
          <t>Scenario B: contribution_margin_rate_delta</t>
        </is>
      </c>
      <c r="C998" s="43">
        <f>K983</f>
        <v/>
      </c>
      <c r="D998" s="44" t="n">
        <v>0</v>
      </c>
      <c r="F998" s="15">
        <f>IFERROR(IF(ISNUMBER(D998),IF(ISNUMBER(K983),IF(ABS(K983-D998)&lt;=0.01,"PASS","FAIL"),"FAIL"),IF(NOT(ISNUMBER(K983)),IF(K983=D998,"PASS","FAIL"),"FAIL")),"FAIL")</f>
        <v/>
      </c>
    </row>
    <row r="999">
      <c r="B999" s="8" t="inlineStr">
        <is>
          <t>Scenario B: break_even_quantity_delta</t>
        </is>
      </c>
      <c r="C999" s="43">
        <f>K984</f>
        <v/>
      </c>
      <c r="D999" s="44" t="n">
        <v>60</v>
      </c>
      <c r="F999" s="15">
        <f>IFERROR(IF(ISNUMBER(D999),IF(ISNUMBER(K984),IF(ABS(K984-D999)&lt;=0.01,"PASS","FAIL"),"FAIL"),IF(NOT(ISNUMBER(K984)),IF(K984=D999,"PASS","FAIL"),"FAIL")),"FAIL")</f>
        <v/>
      </c>
    </row>
    <row r="1001" ht="20" customHeight="1">
      <c r="B1001" s="2" t="inlineStr">
        <is>
          <t>TC13. VAT display comparison (net_sales_ex_vat_delta=0)</t>
        </is>
      </c>
      <c r="C1001" s="7" t="n"/>
      <c r="D1001" s="7" t="n"/>
      <c r="E1001" s="7" t="n"/>
      <c r="F1001" s="7" t="n"/>
    </row>
    <row r="1002">
      <c r="B1002" s="4" t="inlineStr">
        <is>
          <t>Check</t>
        </is>
      </c>
      <c r="C1002" s="4" t="inlineStr">
        <is>
          <t>Excel Result</t>
        </is>
      </c>
      <c r="D1002" s="4" t="inlineStr">
        <is>
          <t>Python Reference</t>
        </is>
      </c>
      <c r="E1002" s="4" t="inlineStr">
        <is>
          <t>Difference</t>
        </is>
      </c>
      <c r="F1002" s="4" t="inlineStr">
        <is>
          <t>PASS / FAIL</t>
        </is>
      </c>
    </row>
    <row r="1003">
      <c r="I1003" t="n">
        <v>1000</v>
      </c>
    </row>
    <row r="1004">
      <c r="I1004" t="b">
        <v>0</v>
      </c>
    </row>
    <row r="1005">
      <c r="I1005" t="n">
        <v>0.1</v>
      </c>
    </row>
    <row r="1006">
      <c r="I1006" t="n">
        <v>1000</v>
      </c>
    </row>
    <row r="1007">
      <c r="I1007" t="n">
        <v>0</v>
      </c>
    </row>
    <row r="1008">
      <c r="I1008" t="n">
        <v>400</v>
      </c>
    </row>
    <row r="1009">
      <c r="I1009" t="n">
        <v>100</v>
      </c>
    </row>
    <row r="1010">
      <c r="I1010" t="n">
        <v>0</v>
      </c>
    </row>
    <row r="1011">
      <c r="I1011" t="n">
        <v>0</v>
      </c>
    </row>
    <row r="1012">
      <c r="I1012" t="n">
        <v>50000</v>
      </c>
    </row>
    <row r="1013">
      <c r="I1013" t="n">
        <v>0.3</v>
      </c>
    </row>
    <row r="1014">
      <c r="I1014" t="inlineStr">
        <is>
          <t>A</t>
        </is>
      </c>
      <c r="J1014" t="inlineStr">
        <is>
          <t>A</t>
        </is>
      </c>
      <c r="K1014" t="inlineStr">
        <is>
          <t>B</t>
        </is>
      </c>
    </row>
    <row r="1015">
      <c r="J1015" t="inlineStr">
        <is>
          <t>inherit</t>
        </is>
      </c>
      <c r="K1015" t="inlineStr">
        <is>
          <t>value</t>
        </is>
      </c>
    </row>
    <row r="1016">
      <c r="K1016" t="n">
        <v>1100</v>
      </c>
    </row>
    <row r="1017">
      <c r="J1017" t="inlineStr">
        <is>
          <t>inherit</t>
        </is>
      </c>
      <c r="K1017" t="inlineStr">
        <is>
          <t>value</t>
        </is>
      </c>
    </row>
    <row r="1018">
      <c r="K1018" t="b">
        <v>1</v>
      </c>
    </row>
    <row r="1019">
      <c r="J1019" t="inlineStr">
        <is>
          <t>inherit</t>
        </is>
      </c>
      <c r="K1019" t="inlineStr">
        <is>
          <t>inherit</t>
        </is>
      </c>
    </row>
    <row r="1020"/>
    <row r="1021">
      <c r="J1021" t="inlineStr">
        <is>
          <t>inherit</t>
        </is>
      </c>
      <c r="K1021" t="inlineStr">
        <is>
          <t>inherit</t>
        </is>
      </c>
    </row>
    <row r="1022"/>
    <row r="1023">
      <c r="J1023" t="inlineStr">
        <is>
          <t>inherit</t>
        </is>
      </c>
      <c r="K1023" t="inlineStr">
        <is>
          <t>inherit</t>
        </is>
      </c>
    </row>
    <row r="1024"/>
    <row r="1025">
      <c r="J1025" t="inlineStr">
        <is>
          <t>inherit</t>
        </is>
      </c>
      <c r="K1025" t="inlineStr">
        <is>
          <t>inherit</t>
        </is>
      </c>
    </row>
    <row r="1026"/>
    <row r="1027">
      <c r="J1027" t="inlineStr">
        <is>
          <t>inherit</t>
        </is>
      </c>
      <c r="K1027" t="inlineStr">
        <is>
          <t>inherit</t>
        </is>
      </c>
    </row>
    <row r="1028"/>
    <row r="1029">
      <c r="J1029" t="inlineStr">
        <is>
          <t>inherit</t>
        </is>
      </c>
      <c r="K1029" t="inlineStr">
        <is>
          <t>inherit</t>
        </is>
      </c>
    </row>
    <row r="1030"/>
    <row r="1031">
      <c r="J1031" t="inlineStr">
        <is>
          <t>inherit</t>
        </is>
      </c>
      <c r="K1031" t="inlineStr">
        <is>
          <t>inherit</t>
        </is>
      </c>
    </row>
    <row r="1032"/>
    <row r="1033">
      <c r="J1033">
        <f>IFERROR(IF(NOT(ISNUMBER(J1054)),"UNKNOWN",IF(J1055="UNKNOWN","UNKNOWN",IF(J1055=FALSE,J1054,IF(NOT(ISNUMBER(J1056)),"UNKNOWN",J1054/(1+J1056))))),"ERROR")</f>
        <v/>
      </c>
      <c r="K1033">
        <f>IFERROR(IF(NOT(ISNUMBER(K1054)),"UNKNOWN",IF(K1055="UNKNOWN","UNKNOWN",IF(K1055=FALSE,K1054,IF(NOT(ISNUMBER(K1056)),"UNKNOWN",K1054/(1+K1056))))),"ERROR")</f>
        <v/>
      </c>
    </row>
    <row r="1034">
      <c r="J1034">
        <f>IFERROR(IF(J1033="ERROR","ERROR",IF(OR(NOT(ISNUMBER(J1033)),NOT(ISNUMBER(J1060))),"UNKNOWN",IF(J1062&gt;0,IF(J1044="ERROR","ERROR",IF(NOT(ISNUMBER(J1044)),"UNKNOWN",J1033-J1060-$I$1009-$I$1010*J1033-J1062*J1044)),J1033-J1060-$I$1009-$I$1010*J1033))),"ERROR")</f>
        <v/>
      </c>
      <c r="K1034">
        <f>IFERROR(IF(K1033="ERROR","ERROR",IF(OR(NOT(ISNUMBER(K1033)),NOT(ISNUMBER(K1060))),"UNKNOWN",IF(K1062&gt;0,IF(K1044="ERROR","ERROR",IF(NOT(ISNUMBER(K1044)),"UNKNOWN",K1033-K1060-$I$1009-$I$1010*K1033-K1062*K1044)),K1033-K1060-$I$1009-$I$1010*K1033))),"ERROR")</f>
        <v/>
      </c>
    </row>
    <row r="1035">
      <c r="J1035">
        <f>IFERROR(IF(J1034="ERROR","ERROR",IF(NOT(ISNUMBER(J1034)),"UNKNOWN",IF(J1033=0,"ERROR",J1034/J1033))),"ERROR")</f>
        <v/>
      </c>
      <c r="K1035">
        <f>IFERROR(IF(K1034="ERROR","ERROR",IF(NOT(ISNUMBER(K1034)),"UNKNOWN",IF(K1033=0,"ERROR",K1034/K1033))),"ERROR")</f>
        <v/>
      </c>
    </row>
    <row r="1036">
      <c r="J1036">
        <f>IF(OR(J1033="ERROR",J1034="ERROR",J1035="ERROR"),"ERROR",IF(OR(NOT(ISNUMBER(J1033)),NOT(ISNUMBER(J1034)),NOT(ISNUMBER(J1035))),"UNKNOWN","OK"))</f>
        <v/>
      </c>
      <c r="K1036">
        <f>IF(OR(K1033="ERROR",K1034="ERROR",K1035="ERROR"),"ERROR",IF(OR(NOT(ISNUMBER(K1033)),NOT(ISNUMBER(K1034)),NOT(ISNUMBER(K1035))),"UNKNOWN","OK"))</f>
        <v/>
      </c>
    </row>
    <row r="1037">
      <c r="J1037">
        <f>IFERROR(IF(NOT(ISNUMBER(J1060)),J1060,J1060+$I$1009),"ERROR")</f>
        <v/>
      </c>
      <c r="K1037">
        <f>IFERROR(IF(NOT(ISNUMBER(K1060)),K1060,K1060+$I$1009),"ERROR")</f>
        <v/>
      </c>
    </row>
    <row r="1038">
      <c r="J1038">
        <f>IFERROR(IF(NOT(ISNUMBER(J1059)),"UNKNOWN",IF(OR(J1059&lt;0,J1059&gt;=1),"ERROR",IF(J1062=0,IF(1-J1059-$I$1010&lt;=0,"ERROR",1-J1059-$I$1010),IF(NOT(ISNUMBER(J1056)),"UNKNOWN",IF(1-J1059-$I$1010-J1062*(1+J1056)&lt;=0,"ERROR",1-J1059-$I$1010-J1062*(1+J1056)))))),"ERROR")</f>
        <v/>
      </c>
      <c r="K1038">
        <f>IFERROR(IF(NOT(ISNUMBER(K1059)),"UNKNOWN",IF(OR(K1059&lt;0,K1059&gt;=1),"ERROR",IF(K1062=0,IF(1-K1059-$I$1010&lt;=0,"ERROR",1-K1059-$I$1010),IF(NOT(ISNUMBER(K1056)),"UNKNOWN",IF(1-K1059-$I$1010-K1062*(1+K1056)&lt;=0,"ERROR",1-K1059-$I$1010-K1062*(1+K1056)))))),"ERROR")</f>
        <v/>
      </c>
    </row>
    <row r="1039">
      <c r="J1039">
        <f>IFERROR(IF(NOT(ISNUMBER(J1037)),J1037,IF(NOT(ISNUMBER(J1038)),J1038,J1037/J1038)),"ERROR")</f>
        <v/>
      </c>
      <c r="K1039">
        <f>IFERROR(IF(NOT(ISNUMBER(K1037)),K1037,IF(NOT(ISNUMBER(K1038)),K1038,K1037/K1038)),"ERROR")</f>
        <v/>
      </c>
    </row>
    <row r="1040">
      <c r="J1040">
        <f>IFERROR(IF(NOT(ISNUMBER(J1039)),J1039,IF(NOT(ISNUMBER(J1056)),"UNKNOWN",J1039*(1+J1056))),"ERROR")</f>
        <v/>
      </c>
      <c r="K1040">
        <f>IFERROR(IF(NOT(ISNUMBER(K1039)),K1039,IF(NOT(ISNUMBER(K1056)),"UNKNOWN",K1039*(1+K1056))),"ERROR")</f>
        <v/>
      </c>
    </row>
    <row r="1041">
      <c r="J1041">
        <f>IFERROR(IF(J1055="UNKNOWN","UNKNOWN",IF(J1055=FALSE,J1039,J1040)),"ERROR")</f>
        <v/>
      </c>
      <c r="K1041">
        <f>IFERROR(IF(K1055="UNKNOWN","UNKNOWN",IF(K1055=FALSE,K1039,K1040)),"ERROR")</f>
        <v/>
      </c>
    </row>
    <row r="1042">
      <c r="J1042">
        <f>IFERROR(IF(NOT(ISNUMBER(J1041)),J1041,IF(NOT(ISNUMBER(J1058)),"UNKNOWN",IF(OR(J1058&lt;0,J1058&gt;=1),"ERROR",IF(J1058=0,J1041,J1041/(1-J1058))))),"ERROR")</f>
        <v/>
      </c>
      <c r="K1042">
        <f>IFERROR(IF(NOT(ISNUMBER(K1041)),K1041,IF(NOT(ISNUMBER(K1058)),"UNKNOWN",IF(OR(K1058&lt;0,K1058&gt;=1),"ERROR",IF(K1058=0,K1041,K1041/(1-K1058))))),"ERROR")</f>
        <v/>
      </c>
    </row>
    <row r="1043">
      <c r="J1043">
        <f>IF(OR(J1041="ERROR",J1042="ERROR"),"ERROR",IF(OR(NOT(ISNUMBER(J1041)),NOT(ISNUMBER(J1042))),"UNKNOWN","OK"))</f>
        <v/>
      </c>
      <c r="K1043">
        <f>IF(OR(K1041="ERROR",K1042="ERROR"),"ERROR",IF(OR(NOT(ISNUMBER(K1041)),NOT(ISNUMBER(K1042))),"UNKNOWN","OK"))</f>
        <v/>
      </c>
    </row>
    <row r="1044">
      <c r="J1044">
        <f>IFERROR(IF(NOT(ISNUMBER(J1054)),"UNKNOWN",IF(J1055="UNKNOWN","UNKNOWN",IF(J1055=TRUE,J1054,IF(NOT(ISNUMBER(J1056)),"UNKNOWN",J1054*(1+J1056))))),"ERROR")</f>
        <v/>
      </c>
      <c r="K1044">
        <f>IFERROR(IF(NOT(ISNUMBER(K1054)),"UNKNOWN",IF(K1055="UNKNOWN","UNKNOWN",IF(K1055=TRUE,K1054,IF(NOT(ISNUMBER(K1056)),"UNKNOWN",K1054*(1+K1056))))),"ERROR")</f>
        <v/>
      </c>
    </row>
    <row r="1045">
      <c r="J1045">
        <f>IFERROR(IF(NOT(ISNUMBER(J1057)),"UNKNOWN",IF(J1055="UNKNOWN","UNKNOWN",IF(J1055=FALSE,J1057,IF(NOT(ISNUMBER(J1056)),"UNKNOWN",J1057/(1+J1056))))),"ERROR")</f>
        <v/>
      </c>
      <c r="K1045">
        <f>IFERROR(IF(NOT(ISNUMBER(K1057)),"UNKNOWN",IF(K1055="UNKNOWN","UNKNOWN",IF(K1055=FALSE,K1057,IF(NOT(ISNUMBER(K1056)),"UNKNOWN",K1057/(1+K1056))))),"ERROR")</f>
        <v/>
      </c>
    </row>
    <row r="1046">
      <c r="J1046">
        <f>IFERROR(IF(NOT(ISNUMBER(J1057)),"UNKNOWN",IF(J1055="UNKNOWN","UNKNOWN",IF(J1055=TRUE,J1057,IF(NOT(ISNUMBER(J1056)),"UNKNOWN",J1057*(1+J1056))))),"ERROR")</f>
        <v/>
      </c>
      <c r="K1046">
        <f>IFERROR(IF(NOT(ISNUMBER(K1057)),"UNKNOWN",IF(K1055="UNKNOWN","UNKNOWN",IF(K1055=TRUE,K1057,IF(NOT(ISNUMBER(K1056)),"UNKNOWN",K1057*(1+K1056))))),"ERROR")</f>
        <v/>
      </c>
    </row>
    <row r="1047">
      <c r="J1047">
        <f>IFERROR(IF(J1045="ERROR","ERROR",IF(NOT(ISNUMBER(J1059)),"UNKNOWN",IF(OR(J1059&lt;0,J1059&gt;=1),"ERROR",IF(NOT(ISNUMBER(J1045)),"UNKNOWN",IF(J1062&gt;0,IF(J1046="ERROR","ERROR",IF(NOT(ISNUMBER(J1046)),"UNKNOWN",J1045*(1-J1059-$I$1010)-J1062*J1046-$I$1009)),J1045*(1-J1059-$I$1010)-$I$1009))))),"ERROR")</f>
        <v/>
      </c>
      <c r="K1047">
        <f>IFERROR(IF(K1045="ERROR","ERROR",IF(NOT(ISNUMBER(K1059)),"UNKNOWN",IF(OR(K1059&lt;0,K1059&gt;=1),"ERROR",IF(NOT(ISNUMBER(K1045)),"UNKNOWN",IF(K1062&gt;0,IF(K1046="ERROR","ERROR",IF(NOT(ISNUMBER(K1046)),"UNKNOWN",K1045*(1-K1059-$I$1010)-K1062*K1046-$I$1009)),K1045*(1-K1059-$I$1010)-$I$1009))))),"ERROR")</f>
        <v/>
      </c>
    </row>
    <row r="1048">
      <c r="J1048">
        <f>IFERROR(IF(OR(J1047="ERROR",J1060="ERROR"),"ERROR",IF(OR(NOT(ISNUMBER(J1047)),NOT(ISNUMBER(J1060))),"UNKNOWN",J1047-J1060)),"ERROR")</f>
        <v/>
      </c>
      <c r="K1048">
        <f>IFERROR(IF(OR(K1047="ERROR",K1060="ERROR"),"ERROR",IF(OR(NOT(ISNUMBER(K1047)),NOT(ISNUMBER(K1060))),"UNKNOWN",K1047-K1060)),"ERROR")</f>
        <v/>
      </c>
    </row>
    <row r="1049">
      <c r="J1049">
        <f>IF(OR(J1047="ERROR",J1060="ERROR",J1048="ERROR"),"ERROR",IF(OR(NOT(ISNUMBER(J1047)),NOT(ISNUMBER(J1060)),NOT(ISNUMBER(J1048))),"UNKNOWN","OK"))</f>
        <v/>
      </c>
      <c r="K1049">
        <f>IF(OR(K1047="ERROR",K1060="ERROR",K1048="ERROR"),"ERROR",IF(OR(NOT(ISNUMBER(K1047)),NOT(ISNUMBER(K1060)),NOT(ISNUMBER(K1048))),"UNKNOWN","OK"))</f>
        <v/>
      </c>
    </row>
    <row r="1050">
      <c r="J1050">
        <f>IFERROR(IF(NOT(ISNUMBER(J1061)),J1061,IF(J1061&lt;0,"ERROR",J1061)),"ERROR")</f>
        <v/>
      </c>
      <c r="K1050">
        <f>IFERROR(IF(NOT(ISNUMBER(K1061)),K1061,IF(K1061&lt;0,"ERROR",K1061)),"ERROR")</f>
        <v/>
      </c>
    </row>
    <row r="1051">
      <c r="J1051">
        <f>IFERROR(IF(OR(J1034="ERROR",J1050="ERROR"),"ERROR",IF(OR(NOT(ISNUMBER(J1034)),NOT(ISNUMBER(J1050))),"UNKNOWN",IF(J1034&lt;=0,"NOT_APPLICABLE",J1050/J1034))),"ERROR")</f>
        <v/>
      </c>
      <c r="K1051">
        <f>IFERROR(IF(OR(K1034="ERROR",K1050="ERROR"),"ERROR",IF(OR(NOT(ISNUMBER(K1034)),NOT(ISNUMBER(K1050))),"UNKNOWN",IF(K1034&lt;=0,"NOT_APPLICABLE",K1050/K1034))),"ERROR")</f>
        <v/>
      </c>
    </row>
    <row r="1052">
      <c r="J1052">
        <f>IF(OR(J1034="ERROR",J1050="ERROR",J1051="ERROR"),"ERROR",IF(OR(NOT(ISNUMBER(J1034)),NOT(ISNUMBER(J1050)),AND(NOT(ISNUMBER(J1051)),J1051&lt;&gt;"NOT_APPLICABLE")),"UNKNOWN","OK"))</f>
        <v/>
      </c>
      <c r="K1052">
        <f>IF(OR(K1034="ERROR",K1050="ERROR",K1051="ERROR"),"ERROR",IF(OR(NOT(ISNUMBER(K1034)),NOT(ISNUMBER(K1050)),AND(NOT(ISNUMBER(K1051)),K1051&lt;&gt;"NOT_APPLICABLE")),"UNKNOWN","OK"))</f>
        <v/>
      </c>
    </row>
    <row r="1053">
      <c r="J1053">
        <f>IF(OR(J1036="ERROR",J1043="ERROR",J1049="ERROR",J1052="ERROR"),"ERROR",IF(OR(J1036="UNKNOWN",J1043="UNKNOWN",J1049="UNKNOWN",J1052="UNKNOWN"),"INCOMPLETE","OK"))</f>
        <v/>
      </c>
      <c r="K1053">
        <f>IF(OR(K1036="ERROR",K1043="ERROR",K1049="ERROR",K1052="ERROR"),"ERROR",IF(OR(K1036="UNKNOWN",K1043="UNKNOWN",K1049="UNKNOWN",K1052="UNKNOWN"),"INCOMPLETE","OK"))</f>
        <v/>
      </c>
    </row>
    <row r="1054">
      <c r="J1054">
        <f>IF($J$1015="inherit",$I$1003,IF($J$1015="null","UNKNOWN",$J$1016))</f>
        <v/>
      </c>
      <c r="K1054">
        <f>IF($K$1015="inherit",$I$1003,IF($K$1015="null","UNKNOWN",$K$1016))</f>
        <v/>
      </c>
    </row>
    <row r="1055">
      <c r="J1055">
        <f>IF($J$1017="inherit",$I$1004,IF($J$1017="null","UNKNOWN",$J$1018))</f>
        <v/>
      </c>
      <c r="K1055">
        <f>IF($K$1017="inherit",$I$1004,IF($K$1017="null","UNKNOWN",$K$1018))</f>
        <v/>
      </c>
    </row>
    <row r="1056">
      <c r="J1056">
        <f>IF($J$1019="inherit",$I$1005,IF($J$1019="null","UNKNOWN",$J$1020))</f>
        <v/>
      </c>
      <c r="K1056">
        <f>IF($K$1019="inherit",$I$1005,IF($K$1019="null","UNKNOWN",$K$1020))</f>
        <v/>
      </c>
    </row>
    <row r="1057">
      <c r="J1057">
        <f>IF($J$1021="inherit",$I$1006,IF($J$1021="null","UNKNOWN",$J$1022))</f>
        <v/>
      </c>
      <c r="K1057">
        <f>IF($K$1021="inherit",$I$1006,IF($K$1021="null","UNKNOWN",$K$1022))</f>
        <v/>
      </c>
    </row>
    <row r="1058">
      <c r="J1058">
        <f>IF($J$1023="inherit",$I$1007,IF($J$1023="null","UNKNOWN",$J$1024))</f>
        <v/>
      </c>
      <c r="K1058">
        <f>IF($K$1023="inherit",$I$1007,IF($K$1023="null","UNKNOWN",$K$1024))</f>
        <v/>
      </c>
    </row>
    <row r="1059">
      <c r="J1059">
        <f>IF($J$1025="inherit",$I$1013,IF($J$1025="null","UNKNOWN",$J$1026))</f>
        <v/>
      </c>
      <c r="K1059">
        <f>IF($K$1025="inherit",$I$1013,IF($K$1025="null","UNKNOWN",$K$1026))</f>
        <v/>
      </c>
    </row>
    <row r="1060">
      <c r="J1060">
        <f>IF($J$1027="inherit",$I$1008,IF($J$1027="null","UNKNOWN",$J$1028))</f>
        <v/>
      </c>
      <c r="K1060">
        <f>IF($K$1027="inherit",$I$1008,IF($K$1027="null","UNKNOWN",$K$1028))</f>
        <v/>
      </c>
    </row>
    <row r="1061">
      <c r="J1061">
        <f>IF($J$1029="inherit",$I$1012,IF($J$1029="null","UNKNOWN",$J$1030))</f>
        <v/>
      </c>
      <c r="K1061">
        <f>IF($K$1029="inherit",$I$1012,IF($K$1029="null","UNKNOWN",$K$1030))</f>
        <v/>
      </c>
    </row>
    <row r="1062">
      <c r="J1062">
        <f>IF($J$1031="inherit",$I$1011,IF($J$1031="null","UNKNOWN",$J$1032))</f>
        <v/>
      </c>
      <c r="K1062">
        <f>IF($K$1031="inherit",$I$1011,IF($K$1031="null","UNKNOWN",$K$1032))</f>
        <v/>
      </c>
    </row>
    <row r="1063">
      <c r="I1063">
        <f>IFERROR(MATCH($I$1014,$J$1014:$K$1014,0),0)</f>
        <v/>
      </c>
    </row>
    <row r="1064">
      <c r="J1064">
        <f>IF(I1063=0,"ERROR",IF(OR($J$1033="ERROR",INDEX($J$1033:$K$1033,1,I1063)="ERROR"),"ERROR",IF(OR($J$1033="UNKNOWN",INDEX($J$1033:$K$1033,1,I1063)="UNKNOWN"),"UNKNOWN",IF(OR($J$1033="NOT_APPLICABLE",INDEX($J$1033:$K$1033,1,I1063)="NOT_APPLICABLE"),"NOT_APPLICABLE",$J$1033-INDEX($J$1033:$K$1033,1,I1063)))))</f>
        <v/>
      </c>
      <c r="K1064">
        <f>IF(I1063=0,"ERROR",IF(OR($K$1033="ERROR",INDEX($J$1033:$K$1033,1,I1063)="ERROR"),"ERROR",IF(OR($K$1033="UNKNOWN",INDEX($J$1033:$K$1033,1,I1063)="UNKNOWN"),"UNKNOWN",IF(OR($K$1033="NOT_APPLICABLE",INDEX($J$1033:$K$1033,1,I1063)="NOT_APPLICABLE"),"NOT_APPLICABLE",$K$1033-INDEX($J$1033:$K$1033,1,I1063)))))</f>
        <v/>
      </c>
    </row>
    <row r="1065">
      <c r="J1065">
        <f>IF(I1063=0,"ERROR",IF(OR($J$1034="ERROR",INDEX($J$1034:$K$1034,1,I1063)="ERROR"),"ERROR",IF(OR($J$1034="UNKNOWN",INDEX($J$1034:$K$1034,1,I1063)="UNKNOWN"),"UNKNOWN",IF(OR($J$1034="NOT_APPLICABLE",INDEX($J$1034:$K$1034,1,I1063)="NOT_APPLICABLE"),"NOT_APPLICABLE",$J$1034-INDEX($J$1034:$K$1034,1,I1063)))))</f>
        <v/>
      </c>
      <c r="K1065">
        <f>IF(I1063=0,"ERROR",IF(OR($K$1034="ERROR",INDEX($J$1034:$K$1034,1,I1063)="ERROR"),"ERROR",IF(OR($K$1034="UNKNOWN",INDEX($J$1034:$K$1034,1,I1063)="UNKNOWN"),"UNKNOWN",IF(OR($K$1034="NOT_APPLICABLE",INDEX($J$1034:$K$1034,1,I1063)="NOT_APPLICABLE"),"NOT_APPLICABLE",$K$1034-INDEX($J$1034:$K$1034,1,I1063)))))</f>
        <v/>
      </c>
    </row>
    <row r="1066">
      <c r="J1066">
        <f>IF(I1063=0,"ERROR",IF(OR($J$1035="ERROR",INDEX($J$1035:$K$1035,1,I1063)="ERROR"),"ERROR",IF(OR($J$1035="UNKNOWN",INDEX($J$1035:$K$1035,1,I1063)="UNKNOWN"),"UNKNOWN",IF(OR($J$1035="NOT_APPLICABLE",INDEX($J$1035:$K$1035,1,I1063)="NOT_APPLICABLE"),"NOT_APPLICABLE",$J$1035-INDEX($J$1035:$K$1035,1,I1063)))))</f>
        <v/>
      </c>
      <c r="K1066">
        <f>IF(I1063=0,"ERROR",IF(OR($K$1035="ERROR",INDEX($J$1035:$K$1035,1,I1063)="ERROR"),"ERROR",IF(OR($K$1035="UNKNOWN",INDEX($J$1035:$K$1035,1,I1063)="UNKNOWN"),"UNKNOWN",IF(OR($K$1035="NOT_APPLICABLE",INDEX($J$1035:$K$1035,1,I1063)="NOT_APPLICABLE"),"NOT_APPLICABLE",$K$1035-INDEX($J$1035:$K$1035,1,I1063)))))</f>
        <v/>
      </c>
    </row>
    <row r="1067">
      <c r="J1067">
        <f>IF(I1063=0,"ERROR",IF(OR($J$1051="ERROR",INDEX($J$1051:$K$1051,1,I1063)="ERROR"),"ERROR",IF(OR($J$1051="UNKNOWN",INDEX($J$1051:$K$1051,1,I1063)="UNKNOWN"),"UNKNOWN",IF(OR($J$1051="NOT_APPLICABLE",INDEX($J$1051:$K$1051,1,I1063)="NOT_APPLICABLE"),"NOT_APPLICABLE",$J$1051-INDEX($J$1051:$K$1051,1,I1063)))))</f>
        <v/>
      </c>
      <c r="K1067">
        <f>IF(I1063=0,"ERROR",IF(OR($K$1051="ERROR",INDEX($J$1051:$K$1051,1,I1063)="ERROR"),"ERROR",IF(OR($K$1051="UNKNOWN",INDEX($J$1051:$K$1051,1,I1063)="UNKNOWN"),"UNKNOWN",IF(OR($K$1051="NOT_APPLICABLE",INDEX($J$1051:$K$1051,1,I1063)="NOT_APPLICABLE"),"NOT_APPLICABLE",$K$1051-INDEX($J$1051:$K$1051,1,I1063)))))</f>
        <v/>
      </c>
    </row>
    <row r="1069">
      <c r="B1069" s="8" t="inlineStr">
        <is>
          <t>Scenario A: scenario_status</t>
        </is>
      </c>
      <c r="C1069" s="16">
        <f>J1053</f>
        <v/>
      </c>
      <c r="D1069" s="38" t="inlineStr">
        <is>
          <t>OK</t>
        </is>
      </c>
      <c r="F1069" s="15">
        <f>IF(J1053=D1069,"PASS","FAIL")</f>
        <v/>
      </c>
    </row>
    <row r="1070">
      <c r="B1070" s="8" t="inlineStr">
        <is>
          <t>Scenario A: contribution_margin</t>
        </is>
      </c>
      <c r="C1070" s="25">
        <f>J1034</f>
        <v/>
      </c>
      <c r="D1070" s="42" t="n">
        <v>500</v>
      </c>
      <c r="E1070" s="26">
        <f>IF(ISNUMBER(D1070),IF(ISNUMBER(J1034),ABS(J1034-D1070),"N/A"),"N/A")</f>
        <v/>
      </c>
      <c r="F1070" s="15">
        <f>IFERROR(IF(ISNUMBER(D1070),IF(ISNUMBER(J1034),IF(ABS(J1034-D1070)&lt;=0.01,"PASS","FAIL"),"FAIL"),IF(NOT(ISNUMBER(J1034)),IF(J1034=D1070,"PASS","FAIL"),"FAIL")),"FAIL")</f>
        <v/>
      </c>
    </row>
    <row r="1071">
      <c r="B1071" s="8" t="inlineStr">
        <is>
          <t>Scenario A: break_even_quantity_exact</t>
        </is>
      </c>
      <c r="C1071" s="25">
        <f>J1051</f>
        <v/>
      </c>
      <c r="D1071" s="42" t="n">
        <v>100</v>
      </c>
      <c r="E1071" s="26">
        <f>IF(ISNUMBER(D1071),IF(ISNUMBER(J1051),ABS(J1051-D1071),"N/A"),"N/A")</f>
        <v/>
      </c>
      <c r="F1071" s="15">
        <f>IFERROR(IF(ISNUMBER(D1071),IF(ISNUMBER(J1051),IF(ABS(J1051-D1071)&lt;=0.01,"PASS","FAIL"),"FAIL"),IF(NOT(ISNUMBER(J1051)),IF(J1051=D1071,"PASS","FAIL"),"FAIL")),"FAIL")</f>
        <v/>
      </c>
    </row>
    <row r="1072">
      <c r="B1072" s="8" t="inlineStr">
        <is>
          <t>Scenario A: net_sales_ex_vat_delta</t>
        </is>
      </c>
      <c r="C1072" s="43">
        <f>J1064</f>
        <v/>
      </c>
      <c r="D1072" s="44" t="n">
        <v>0</v>
      </c>
      <c r="F1072" s="15">
        <f>IFERROR(IF(ISNUMBER(D1072),IF(ISNUMBER(J1064),IF(ABS(J1064-D1072)&lt;=0.01,"PASS","FAIL"),"FAIL"),IF(NOT(ISNUMBER(J1064)),IF(J1064=D1072,"PASS","FAIL"),"FAIL")),"FAIL")</f>
        <v/>
      </c>
    </row>
    <row r="1073">
      <c r="B1073" s="8" t="inlineStr">
        <is>
          <t>Scenario A: contribution_margin_delta</t>
        </is>
      </c>
      <c r="C1073" s="43">
        <f>J1065</f>
        <v/>
      </c>
      <c r="D1073" s="44" t="n">
        <v>0</v>
      </c>
      <c r="F1073" s="15">
        <f>IFERROR(IF(ISNUMBER(D1073),IF(ISNUMBER(J1065),IF(ABS(J1065-D1073)&lt;=0.01,"PASS","FAIL"),"FAIL"),IF(NOT(ISNUMBER(J1065)),IF(J1065=D1073,"PASS","FAIL"),"FAIL")),"FAIL")</f>
        <v/>
      </c>
    </row>
    <row r="1074">
      <c r="B1074" s="8" t="inlineStr">
        <is>
          <t>Scenario A: contribution_margin_rate_delta</t>
        </is>
      </c>
      <c r="C1074" s="43">
        <f>J1066</f>
        <v/>
      </c>
      <c r="D1074" s="44" t="n">
        <v>0</v>
      </c>
      <c r="F1074" s="15">
        <f>IFERROR(IF(ISNUMBER(D1074),IF(ISNUMBER(J1066),IF(ABS(J1066-D1074)&lt;=0.01,"PASS","FAIL"),"FAIL"),IF(NOT(ISNUMBER(J1066)),IF(J1066=D1074,"PASS","FAIL"),"FAIL")),"FAIL")</f>
        <v/>
      </c>
    </row>
    <row r="1075">
      <c r="B1075" s="8" t="inlineStr">
        <is>
          <t>Scenario A: break_even_quantity_delta</t>
        </is>
      </c>
      <c r="C1075" s="43">
        <f>J1067</f>
        <v/>
      </c>
      <c r="D1075" s="44" t="n">
        <v>0</v>
      </c>
      <c r="F1075" s="15">
        <f>IFERROR(IF(ISNUMBER(D1075),IF(ISNUMBER(J1067),IF(ABS(J1067-D1075)&lt;=0.01,"PASS","FAIL"),"FAIL"),IF(NOT(ISNUMBER(J1067)),IF(J1067=D1075,"PASS","FAIL"),"FAIL")),"FAIL")</f>
        <v/>
      </c>
    </row>
    <row r="1076">
      <c r="B1076" s="8" t="inlineStr">
        <is>
          <t>Scenario B: scenario_status</t>
        </is>
      </c>
      <c r="C1076" s="16">
        <f>K1053</f>
        <v/>
      </c>
      <c r="D1076" s="38" t="inlineStr">
        <is>
          <t>OK</t>
        </is>
      </c>
      <c r="F1076" s="15">
        <f>IF(K1053=D1076,"PASS","FAIL")</f>
        <v/>
      </c>
    </row>
    <row r="1077">
      <c r="B1077" s="8" t="inlineStr">
        <is>
          <t>Scenario B: contribution_margin</t>
        </is>
      </c>
      <c r="C1077" s="25">
        <f>K1034</f>
        <v/>
      </c>
      <c r="D1077" s="42" t="n">
        <v>499.9999999999999</v>
      </c>
      <c r="E1077" s="26">
        <f>IF(ISNUMBER(D1077),IF(ISNUMBER(K1034),ABS(K1034-D1077),"N/A"),"N/A")</f>
        <v/>
      </c>
      <c r="F1077" s="15">
        <f>IFERROR(IF(ISNUMBER(D1077),IF(ISNUMBER(K1034),IF(ABS(K1034-D1077)&lt;=0.01,"PASS","FAIL"),"FAIL"),IF(NOT(ISNUMBER(K1034)),IF(K1034=D1077,"PASS","FAIL"),"FAIL")),"FAIL")</f>
        <v/>
      </c>
    </row>
    <row r="1078">
      <c r="B1078" s="8" t="inlineStr">
        <is>
          <t>Scenario B: break_even_quantity_exact</t>
        </is>
      </c>
      <c r="C1078" s="25">
        <f>K1051</f>
        <v/>
      </c>
      <c r="D1078" s="42" t="n">
        <v>100</v>
      </c>
      <c r="E1078" s="26">
        <f>IF(ISNUMBER(D1078),IF(ISNUMBER(K1051),ABS(K1051-D1078),"N/A"),"N/A")</f>
        <v/>
      </c>
      <c r="F1078" s="15">
        <f>IFERROR(IF(ISNUMBER(D1078),IF(ISNUMBER(K1051),IF(ABS(K1051-D1078)&lt;=0.01,"PASS","FAIL"),"FAIL"),IF(NOT(ISNUMBER(K1051)),IF(K1051=D1078,"PASS","FAIL"),"FAIL")),"FAIL")</f>
        <v/>
      </c>
    </row>
    <row r="1079">
      <c r="B1079" s="8" t="inlineStr">
        <is>
          <t>Scenario B: net_sales_ex_vat_delta</t>
        </is>
      </c>
      <c r="C1079" s="43">
        <f>K1064</f>
        <v/>
      </c>
      <c r="D1079" s="44" t="n">
        <v>-1.13686837721616e-13</v>
      </c>
      <c r="F1079" s="15">
        <f>IFERROR(IF(ISNUMBER(D1079),IF(ISNUMBER(K1064),IF(ABS(K1064-D1079)&lt;=0.01,"PASS","FAIL"),"FAIL"),IF(NOT(ISNUMBER(K1064)),IF(K1064=D1079,"PASS","FAIL"),"FAIL")),"FAIL")</f>
        <v/>
      </c>
    </row>
    <row r="1080">
      <c r="B1080" s="8" t="inlineStr">
        <is>
          <t>Scenario B: contribution_margin_delta</t>
        </is>
      </c>
      <c r="C1080" s="43">
        <f>K1065</f>
        <v/>
      </c>
      <c r="D1080" s="44" t="n">
        <v>-1.13686837721616e-13</v>
      </c>
      <c r="F1080" s="15">
        <f>IFERROR(IF(ISNUMBER(D1080),IF(ISNUMBER(K1065),IF(ABS(K1065-D1080)&lt;=0.01,"PASS","FAIL"),"FAIL"),IF(NOT(ISNUMBER(K1065)),IF(K1065=D1080,"PASS","FAIL"),"FAIL")),"FAIL")</f>
        <v/>
      </c>
    </row>
    <row r="1081">
      <c r="B1081" s="8" t="inlineStr">
        <is>
          <t>Scenario B: contribution_margin_rate_delta</t>
        </is>
      </c>
      <c r="C1081" s="43">
        <f>K1066</f>
        <v/>
      </c>
      <c r="D1081" s="44" t="n">
        <v>-5.551115123125783e-17</v>
      </c>
      <c r="F1081" s="15">
        <f>IFERROR(IF(ISNUMBER(D1081),IF(ISNUMBER(K1066),IF(ABS(K1066-D1081)&lt;=0.01,"PASS","FAIL"),"FAIL"),IF(NOT(ISNUMBER(K1066)),IF(K1066=D1081,"PASS","FAIL"),"FAIL")),"FAIL")</f>
        <v/>
      </c>
    </row>
    <row r="1082">
      <c r="B1082" s="8" t="inlineStr">
        <is>
          <t>Scenario B: break_even_quantity_delta</t>
        </is>
      </c>
      <c r="C1082" s="43">
        <f>K1067</f>
        <v/>
      </c>
      <c r="D1082" s="44" t="n">
        <v>2.842170943040401e-14</v>
      </c>
      <c r="F1082" s="15">
        <f>IFERROR(IF(ISNUMBER(D1082),IF(ISNUMBER(K1067),IF(ABS(K1067-D1082)&lt;=0.01,"PASS","FAIL"),"FAIL"),IF(NOT(ISNUMBER(K1067)),IF(K1067=D1082,"PASS","FAIL"),"FAIL")),"FAIL")</f>
        <v/>
      </c>
    </row>
    <row r="1084" ht="20" customHeight="1">
      <c r="B1084" s="2" t="inlineStr">
        <is>
          <t>TC14. UNKNOWN scenario (VAT-inclusive display, v null)</t>
        </is>
      </c>
      <c r="C1084" s="7" t="n"/>
      <c r="D1084" s="7" t="n"/>
      <c r="E1084" s="7" t="n"/>
      <c r="F1084" s="7" t="n"/>
    </row>
    <row r="1085">
      <c r="B1085" s="4" t="inlineStr">
        <is>
          <t>Check</t>
        </is>
      </c>
      <c r="C1085" s="4" t="inlineStr">
        <is>
          <t>Excel Result</t>
        </is>
      </c>
      <c r="D1085" s="4" t="inlineStr">
        <is>
          <t>Python Reference</t>
        </is>
      </c>
      <c r="E1085" s="4" t="inlineStr">
        <is>
          <t>Difference</t>
        </is>
      </c>
      <c r="F1085" s="4" t="inlineStr">
        <is>
          <t>PASS / FAIL</t>
        </is>
      </c>
    </row>
    <row r="1086">
      <c r="I1086" t="n">
        <v>1000</v>
      </c>
    </row>
    <row r="1087">
      <c r="I1087" t="b">
        <v>0</v>
      </c>
    </row>
    <row r="1088">
      <c r="I1088" t="n">
        <v>0.1</v>
      </c>
    </row>
    <row r="1089">
      <c r="I1089" t="n">
        <v>1000</v>
      </c>
    </row>
    <row r="1090">
      <c r="I1090" t="n">
        <v>0</v>
      </c>
    </row>
    <row r="1091">
      <c r="I1091" t="n">
        <v>400</v>
      </c>
    </row>
    <row r="1092">
      <c r="I1092" t="n">
        <v>100</v>
      </c>
    </row>
    <row r="1093">
      <c r="I1093" t="n">
        <v>0</v>
      </c>
    </row>
    <row r="1094">
      <c r="I1094" t="n">
        <v>0</v>
      </c>
    </row>
    <row r="1095">
      <c r="I1095" t="n">
        <v>50000</v>
      </c>
    </row>
    <row r="1096">
      <c r="I1096" t="n">
        <v>0.3</v>
      </c>
    </row>
    <row r="1097">
      <c r="I1097" t="inlineStr">
        <is>
          <t>A</t>
        </is>
      </c>
      <c r="J1097" t="inlineStr">
        <is>
          <t>A</t>
        </is>
      </c>
      <c r="K1097" t="inlineStr">
        <is>
          <t>B</t>
        </is>
      </c>
    </row>
    <row r="1098">
      <c r="J1098" t="inlineStr">
        <is>
          <t>inherit</t>
        </is>
      </c>
      <c r="K1098" t="inlineStr">
        <is>
          <t>inherit</t>
        </is>
      </c>
    </row>
    <row r="1099"/>
    <row r="1100">
      <c r="J1100" t="inlineStr">
        <is>
          <t>inherit</t>
        </is>
      </c>
      <c r="K1100" t="inlineStr">
        <is>
          <t>value</t>
        </is>
      </c>
    </row>
    <row r="1101">
      <c r="K1101" t="b">
        <v>1</v>
      </c>
    </row>
    <row r="1102">
      <c r="J1102" t="inlineStr">
        <is>
          <t>inherit</t>
        </is>
      </c>
      <c r="K1102" t="inlineStr">
        <is>
          <t>null</t>
        </is>
      </c>
    </row>
    <row r="1103"/>
    <row r="1104">
      <c r="J1104" t="inlineStr">
        <is>
          <t>inherit</t>
        </is>
      </c>
      <c r="K1104" t="inlineStr">
        <is>
          <t>inherit</t>
        </is>
      </c>
    </row>
    <row r="1105"/>
    <row r="1106">
      <c r="J1106" t="inlineStr">
        <is>
          <t>inherit</t>
        </is>
      </c>
      <c r="K1106" t="inlineStr">
        <is>
          <t>inherit</t>
        </is>
      </c>
    </row>
    <row r="1107"/>
    <row r="1108">
      <c r="J1108" t="inlineStr">
        <is>
          <t>inherit</t>
        </is>
      </c>
      <c r="K1108" t="inlineStr">
        <is>
          <t>inherit</t>
        </is>
      </c>
    </row>
    <row r="1109"/>
    <row r="1110">
      <c r="J1110" t="inlineStr">
        <is>
          <t>inherit</t>
        </is>
      </c>
      <c r="K1110" t="inlineStr">
        <is>
          <t>inherit</t>
        </is>
      </c>
    </row>
    <row r="1111"/>
    <row r="1112">
      <c r="J1112" t="inlineStr">
        <is>
          <t>inherit</t>
        </is>
      </c>
      <c r="K1112" t="inlineStr">
        <is>
          <t>inherit</t>
        </is>
      </c>
    </row>
    <row r="1113"/>
    <row r="1114">
      <c r="J1114" t="inlineStr">
        <is>
          <t>inherit</t>
        </is>
      </c>
      <c r="K1114" t="inlineStr">
        <is>
          <t>inherit</t>
        </is>
      </c>
    </row>
    <row r="1115"/>
    <row r="1116">
      <c r="J1116">
        <f>IFERROR(IF(NOT(ISNUMBER(J1137)),"UNKNOWN",IF(J1138="UNKNOWN","UNKNOWN",IF(J1138=FALSE,J1137,IF(NOT(ISNUMBER(J1139)),"UNKNOWN",J1137/(1+J1139))))),"ERROR")</f>
        <v/>
      </c>
      <c r="K1116">
        <f>IFERROR(IF(NOT(ISNUMBER(K1137)),"UNKNOWN",IF(K1138="UNKNOWN","UNKNOWN",IF(K1138=FALSE,K1137,IF(NOT(ISNUMBER(K1139)),"UNKNOWN",K1137/(1+K1139))))),"ERROR")</f>
        <v/>
      </c>
    </row>
    <row r="1117">
      <c r="J1117">
        <f>IFERROR(IF(J1116="ERROR","ERROR",IF(OR(NOT(ISNUMBER(J1116)),NOT(ISNUMBER(J1143))),"UNKNOWN",IF(J1145&gt;0,IF(J1127="ERROR","ERROR",IF(NOT(ISNUMBER(J1127)),"UNKNOWN",J1116-J1143-$I$1092-$I$1093*J1116-J1145*J1127)),J1116-J1143-$I$1092-$I$1093*J1116))),"ERROR")</f>
        <v/>
      </c>
      <c r="K1117">
        <f>IFERROR(IF(K1116="ERROR","ERROR",IF(OR(NOT(ISNUMBER(K1116)),NOT(ISNUMBER(K1143))),"UNKNOWN",IF(K1145&gt;0,IF(K1127="ERROR","ERROR",IF(NOT(ISNUMBER(K1127)),"UNKNOWN",K1116-K1143-$I$1092-$I$1093*K1116-K1145*K1127)),K1116-K1143-$I$1092-$I$1093*K1116))),"ERROR")</f>
        <v/>
      </c>
    </row>
    <row r="1118">
      <c r="J1118">
        <f>IFERROR(IF(J1117="ERROR","ERROR",IF(NOT(ISNUMBER(J1117)),"UNKNOWN",IF(J1116=0,"ERROR",J1117/J1116))),"ERROR")</f>
        <v/>
      </c>
      <c r="K1118">
        <f>IFERROR(IF(K1117="ERROR","ERROR",IF(NOT(ISNUMBER(K1117)),"UNKNOWN",IF(K1116=0,"ERROR",K1117/K1116))),"ERROR")</f>
        <v/>
      </c>
    </row>
    <row r="1119">
      <c r="J1119">
        <f>IF(OR(J1116="ERROR",J1117="ERROR",J1118="ERROR"),"ERROR",IF(OR(NOT(ISNUMBER(J1116)),NOT(ISNUMBER(J1117)),NOT(ISNUMBER(J1118))),"UNKNOWN","OK"))</f>
        <v/>
      </c>
      <c r="K1119">
        <f>IF(OR(K1116="ERROR",K1117="ERROR",K1118="ERROR"),"ERROR",IF(OR(NOT(ISNUMBER(K1116)),NOT(ISNUMBER(K1117)),NOT(ISNUMBER(K1118))),"UNKNOWN","OK"))</f>
        <v/>
      </c>
    </row>
    <row r="1120">
      <c r="J1120">
        <f>IFERROR(IF(NOT(ISNUMBER(J1143)),J1143,J1143+$I$1092),"ERROR")</f>
        <v/>
      </c>
      <c r="K1120">
        <f>IFERROR(IF(NOT(ISNUMBER(K1143)),K1143,K1143+$I$1092),"ERROR")</f>
        <v/>
      </c>
    </row>
    <row r="1121">
      <c r="J1121">
        <f>IFERROR(IF(NOT(ISNUMBER(J1142)),"UNKNOWN",IF(OR(J1142&lt;0,J1142&gt;=1),"ERROR",IF(J1145=0,IF(1-J1142-$I$1093&lt;=0,"ERROR",1-J1142-$I$1093),IF(NOT(ISNUMBER(J1139)),"UNKNOWN",IF(1-J1142-$I$1093-J1145*(1+J1139)&lt;=0,"ERROR",1-J1142-$I$1093-J1145*(1+J1139)))))),"ERROR")</f>
        <v/>
      </c>
      <c r="K1121">
        <f>IFERROR(IF(NOT(ISNUMBER(K1142)),"UNKNOWN",IF(OR(K1142&lt;0,K1142&gt;=1),"ERROR",IF(K1145=0,IF(1-K1142-$I$1093&lt;=0,"ERROR",1-K1142-$I$1093),IF(NOT(ISNUMBER(K1139)),"UNKNOWN",IF(1-K1142-$I$1093-K1145*(1+K1139)&lt;=0,"ERROR",1-K1142-$I$1093-K1145*(1+K1139)))))),"ERROR")</f>
        <v/>
      </c>
    </row>
    <row r="1122">
      <c r="J1122">
        <f>IFERROR(IF(NOT(ISNUMBER(J1120)),J1120,IF(NOT(ISNUMBER(J1121)),J1121,J1120/J1121)),"ERROR")</f>
        <v/>
      </c>
      <c r="K1122">
        <f>IFERROR(IF(NOT(ISNUMBER(K1120)),K1120,IF(NOT(ISNUMBER(K1121)),K1121,K1120/K1121)),"ERROR")</f>
        <v/>
      </c>
    </row>
    <row r="1123">
      <c r="J1123">
        <f>IFERROR(IF(NOT(ISNUMBER(J1122)),J1122,IF(NOT(ISNUMBER(J1139)),"UNKNOWN",J1122*(1+J1139))),"ERROR")</f>
        <v/>
      </c>
      <c r="K1123">
        <f>IFERROR(IF(NOT(ISNUMBER(K1122)),K1122,IF(NOT(ISNUMBER(K1139)),"UNKNOWN",K1122*(1+K1139))),"ERROR")</f>
        <v/>
      </c>
    </row>
    <row r="1124">
      <c r="J1124">
        <f>IFERROR(IF(J1138="UNKNOWN","UNKNOWN",IF(J1138=FALSE,J1122,J1123)),"ERROR")</f>
        <v/>
      </c>
      <c r="K1124">
        <f>IFERROR(IF(K1138="UNKNOWN","UNKNOWN",IF(K1138=FALSE,K1122,K1123)),"ERROR")</f>
        <v/>
      </c>
    </row>
    <row r="1125">
      <c r="J1125">
        <f>IFERROR(IF(NOT(ISNUMBER(J1124)),J1124,IF(NOT(ISNUMBER(J1141)),"UNKNOWN",IF(OR(J1141&lt;0,J1141&gt;=1),"ERROR",IF(J1141=0,J1124,J1124/(1-J1141))))),"ERROR")</f>
        <v/>
      </c>
      <c r="K1125">
        <f>IFERROR(IF(NOT(ISNUMBER(K1124)),K1124,IF(NOT(ISNUMBER(K1141)),"UNKNOWN",IF(OR(K1141&lt;0,K1141&gt;=1),"ERROR",IF(K1141=0,K1124,K1124/(1-K1141))))),"ERROR")</f>
        <v/>
      </c>
    </row>
    <row r="1126">
      <c r="J1126">
        <f>IF(OR(J1124="ERROR",J1125="ERROR"),"ERROR",IF(OR(NOT(ISNUMBER(J1124)),NOT(ISNUMBER(J1125))),"UNKNOWN","OK"))</f>
        <v/>
      </c>
      <c r="K1126">
        <f>IF(OR(K1124="ERROR",K1125="ERROR"),"ERROR",IF(OR(NOT(ISNUMBER(K1124)),NOT(ISNUMBER(K1125))),"UNKNOWN","OK"))</f>
        <v/>
      </c>
    </row>
    <row r="1127">
      <c r="J1127">
        <f>IFERROR(IF(NOT(ISNUMBER(J1137)),"UNKNOWN",IF(J1138="UNKNOWN","UNKNOWN",IF(J1138=TRUE,J1137,IF(NOT(ISNUMBER(J1139)),"UNKNOWN",J1137*(1+J1139))))),"ERROR")</f>
        <v/>
      </c>
      <c r="K1127">
        <f>IFERROR(IF(NOT(ISNUMBER(K1137)),"UNKNOWN",IF(K1138="UNKNOWN","UNKNOWN",IF(K1138=TRUE,K1137,IF(NOT(ISNUMBER(K1139)),"UNKNOWN",K1137*(1+K1139))))),"ERROR")</f>
        <v/>
      </c>
    </row>
    <row r="1128">
      <c r="J1128">
        <f>IFERROR(IF(NOT(ISNUMBER(J1140)),"UNKNOWN",IF(J1138="UNKNOWN","UNKNOWN",IF(J1138=FALSE,J1140,IF(NOT(ISNUMBER(J1139)),"UNKNOWN",J1140/(1+J1139))))),"ERROR")</f>
        <v/>
      </c>
      <c r="K1128">
        <f>IFERROR(IF(NOT(ISNUMBER(K1140)),"UNKNOWN",IF(K1138="UNKNOWN","UNKNOWN",IF(K1138=FALSE,K1140,IF(NOT(ISNUMBER(K1139)),"UNKNOWN",K1140/(1+K1139))))),"ERROR")</f>
        <v/>
      </c>
    </row>
    <row r="1129">
      <c r="J1129">
        <f>IFERROR(IF(NOT(ISNUMBER(J1140)),"UNKNOWN",IF(J1138="UNKNOWN","UNKNOWN",IF(J1138=TRUE,J1140,IF(NOT(ISNUMBER(J1139)),"UNKNOWN",J1140*(1+J1139))))),"ERROR")</f>
        <v/>
      </c>
      <c r="K1129">
        <f>IFERROR(IF(NOT(ISNUMBER(K1140)),"UNKNOWN",IF(K1138="UNKNOWN","UNKNOWN",IF(K1138=TRUE,K1140,IF(NOT(ISNUMBER(K1139)),"UNKNOWN",K1140*(1+K1139))))),"ERROR")</f>
        <v/>
      </c>
    </row>
    <row r="1130">
      <c r="J1130">
        <f>IFERROR(IF(J1128="ERROR","ERROR",IF(NOT(ISNUMBER(J1142)),"UNKNOWN",IF(OR(J1142&lt;0,J1142&gt;=1),"ERROR",IF(NOT(ISNUMBER(J1128)),"UNKNOWN",IF(J1145&gt;0,IF(J1129="ERROR","ERROR",IF(NOT(ISNUMBER(J1129)),"UNKNOWN",J1128*(1-J1142-$I$1093)-J1145*J1129-$I$1092)),J1128*(1-J1142-$I$1093)-$I$1092))))),"ERROR")</f>
        <v/>
      </c>
      <c r="K1130">
        <f>IFERROR(IF(K1128="ERROR","ERROR",IF(NOT(ISNUMBER(K1142)),"UNKNOWN",IF(OR(K1142&lt;0,K1142&gt;=1),"ERROR",IF(NOT(ISNUMBER(K1128)),"UNKNOWN",IF(K1145&gt;0,IF(K1129="ERROR","ERROR",IF(NOT(ISNUMBER(K1129)),"UNKNOWN",K1128*(1-K1142-$I$1093)-K1145*K1129-$I$1092)),K1128*(1-K1142-$I$1093)-$I$1092))))),"ERROR")</f>
        <v/>
      </c>
    </row>
    <row r="1131">
      <c r="J1131">
        <f>IFERROR(IF(OR(J1130="ERROR",J1143="ERROR"),"ERROR",IF(OR(NOT(ISNUMBER(J1130)),NOT(ISNUMBER(J1143))),"UNKNOWN",J1130-J1143)),"ERROR")</f>
        <v/>
      </c>
      <c r="K1131">
        <f>IFERROR(IF(OR(K1130="ERROR",K1143="ERROR"),"ERROR",IF(OR(NOT(ISNUMBER(K1130)),NOT(ISNUMBER(K1143))),"UNKNOWN",K1130-K1143)),"ERROR")</f>
        <v/>
      </c>
    </row>
    <row r="1132">
      <c r="J1132">
        <f>IF(OR(J1130="ERROR",J1143="ERROR",J1131="ERROR"),"ERROR",IF(OR(NOT(ISNUMBER(J1130)),NOT(ISNUMBER(J1143)),NOT(ISNUMBER(J1131))),"UNKNOWN","OK"))</f>
        <v/>
      </c>
      <c r="K1132">
        <f>IF(OR(K1130="ERROR",K1143="ERROR",K1131="ERROR"),"ERROR",IF(OR(NOT(ISNUMBER(K1130)),NOT(ISNUMBER(K1143)),NOT(ISNUMBER(K1131))),"UNKNOWN","OK"))</f>
        <v/>
      </c>
    </row>
    <row r="1133">
      <c r="J1133">
        <f>IFERROR(IF(NOT(ISNUMBER(J1144)),J1144,IF(J1144&lt;0,"ERROR",J1144)),"ERROR")</f>
        <v/>
      </c>
      <c r="K1133">
        <f>IFERROR(IF(NOT(ISNUMBER(K1144)),K1144,IF(K1144&lt;0,"ERROR",K1144)),"ERROR")</f>
        <v/>
      </c>
    </row>
    <row r="1134">
      <c r="J1134">
        <f>IFERROR(IF(OR(J1117="ERROR",J1133="ERROR"),"ERROR",IF(OR(NOT(ISNUMBER(J1117)),NOT(ISNUMBER(J1133))),"UNKNOWN",IF(J1117&lt;=0,"NOT_APPLICABLE",J1133/J1117))),"ERROR")</f>
        <v/>
      </c>
      <c r="K1134">
        <f>IFERROR(IF(OR(K1117="ERROR",K1133="ERROR"),"ERROR",IF(OR(NOT(ISNUMBER(K1117)),NOT(ISNUMBER(K1133))),"UNKNOWN",IF(K1117&lt;=0,"NOT_APPLICABLE",K1133/K1117))),"ERROR")</f>
        <v/>
      </c>
    </row>
    <row r="1135">
      <c r="J1135">
        <f>IF(OR(J1117="ERROR",J1133="ERROR",J1134="ERROR"),"ERROR",IF(OR(NOT(ISNUMBER(J1117)),NOT(ISNUMBER(J1133)),AND(NOT(ISNUMBER(J1134)),J1134&lt;&gt;"NOT_APPLICABLE")),"UNKNOWN","OK"))</f>
        <v/>
      </c>
      <c r="K1135">
        <f>IF(OR(K1117="ERROR",K1133="ERROR",K1134="ERROR"),"ERROR",IF(OR(NOT(ISNUMBER(K1117)),NOT(ISNUMBER(K1133)),AND(NOT(ISNUMBER(K1134)),K1134&lt;&gt;"NOT_APPLICABLE")),"UNKNOWN","OK"))</f>
        <v/>
      </c>
    </row>
    <row r="1136">
      <c r="J1136">
        <f>IF(OR(J1119="ERROR",J1126="ERROR",J1132="ERROR",J1135="ERROR"),"ERROR",IF(OR(J1119="UNKNOWN",J1126="UNKNOWN",J1132="UNKNOWN",J1135="UNKNOWN"),"INCOMPLETE","OK"))</f>
        <v/>
      </c>
      <c r="K1136">
        <f>IF(OR(K1119="ERROR",K1126="ERROR",K1132="ERROR",K1135="ERROR"),"ERROR",IF(OR(K1119="UNKNOWN",K1126="UNKNOWN",K1132="UNKNOWN",K1135="UNKNOWN"),"INCOMPLETE","OK"))</f>
        <v/>
      </c>
    </row>
    <row r="1137">
      <c r="J1137">
        <f>IF($J$1098="inherit",$I$1086,IF($J$1098="null","UNKNOWN",$J$1099))</f>
        <v/>
      </c>
      <c r="K1137">
        <f>IF($K$1098="inherit",$I$1086,IF($K$1098="null","UNKNOWN",$K$1099))</f>
        <v/>
      </c>
    </row>
    <row r="1138">
      <c r="J1138">
        <f>IF($J$1100="inherit",$I$1087,IF($J$1100="null","UNKNOWN",$J$1101))</f>
        <v/>
      </c>
      <c r="K1138">
        <f>IF($K$1100="inherit",$I$1087,IF($K$1100="null","UNKNOWN",$K$1101))</f>
        <v/>
      </c>
    </row>
    <row r="1139">
      <c r="J1139">
        <f>IF($J$1102="inherit",$I$1088,IF($J$1102="null","UNKNOWN",$J$1103))</f>
        <v/>
      </c>
      <c r="K1139">
        <f>IF($K$1102="inherit",$I$1088,IF($K$1102="null","UNKNOWN",$K$1103))</f>
        <v/>
      </c>
    </row>
    <row r="1140">
      <c r="J1140">
        <f>IF($J$1104="inherit",$I$1089,IF($J$1104="null","UNKNOWN",$J$1105))</f>
        <v/>
      </c>
      <c r="K1140">
        <f>IF($K$1104="inherit",$I$1089,IF($K$1104="null","UNKNOWN",$K$1105))</f>
        <v/>
      </c>
    </row>
    <row r="1141">
      <c r="J1141">
        <f>IF($J$1106="inherit",$I$1090,IF($J$1106="null","UNKNOWN",$J$1107))</f>
        <v/>
      </c>
      <c r="K1141">
        <f>IF($K$1106="inherit",$I$1090,IF($K$1106="null","UNKNOWN",$K$1107))</f>
        <v/>
      </c>
    </row>
    <row r="1142">
      <c r="J1142">
        <f>IF($J$1108="inherit",$I$1096,IF($J$1108="null","UNKNOWN",$J$1109))</f>
        <v/>
      </c>
      <c r="K1142">
        <f>IF($K$1108="inherit",$I$1096,IF($K$1108="null","UNKNOWN",$K$1109))</f>
        <v/>
      </c>
    </row>
    <row r="1143">
      <c r="J1143">
        <f>IF($J$1110="inherit",$I$1091,IF($J$1110="null","UNKNOWN",$J$1111))</f>
        <v/>
      </c>
      <c r="K1143">
        <f>IF($K$1110="inherit",$I$1091,IF($K$1110="null","UNKNOWN",$K$1111))</f>
        <v/>
      </c>
    </row>
    <row r="1144">
      <c r="J1144">
        <f>IF($J$1112="inherit",$I$1095,IF($J$1112="null","UNKNOWN",$J$1113))</f>
        <v/>
      </c>
      <c r="K1144">
        <f>IF($K$1112="inherit",$I$1095,IF($K$1112="null","UNKNOWN",$K$1113))</f>
        <v/>
      </c>
    </row>
    <row r="1145">
      <c r="J1145">
        <f>IF($J$1114="inherit",$I$1094,IF($J$1114="null","UNKNOWN",$J$1115))</f>
        <v/>
      </c>
      <c r="K1145">
        <f>IF($K$1114="inherit",$I$1094,IF($K$1114="null","UNKNOWN",$K$1115))</f>
        <v/>
      </c>
    </row>
    <row r="1146">
      <c r="I1146">
        <f>IFERROR(MATCH($I$1097,$J$1097:$K$1097,0),0)</f>
        <v/>
      </c>
    </row>
    <row r="1147">
      <c r="J1147">
        <f>IF(I1146=0,"ERROR",IF(OR($J$1116="ERROR",INDEX($J$1116:$K$1116,1,I1146)="ERROR"),"ERROR",IF(OR($J$1116="UNKNOWN",INDEX($J$1116:$K$1116,1,I1146)="UNKNOWN"),"UNKNOWN",IF(OR($J$1116="NOT_APPLICABLE",INDEX($J$1116:$K$1116,1,I1146)="NOT_APPLICABLE"),"NOT_APPLICABLE",$J$1116-INDEX($J$1116:$K$1116,1,I1146)))))</f>
        <v/>
      </c>
      <c r="K1147">
        <f>IF(I1146=0,"ERROR",IF(OR($K$1116="ERROR",INDEX($J$1116:$K$1116,1,I1146)="ERROR"),"ERROR",IF(OR($K$1116="UNKNOWN",INDEX($J$1116:$K$1116,1,I1146)="UNKNOWN"),"UNKNOWN",IF(OR($K$1116="NOT_APPLICABLE",INDEX($J$1116:$K$1116,1,I1146)="NOT_APPLICABLE"),"NOT_APPLICABLE",$K$1116-INDEX($J$1116:$K$1116,1,I1146)))))</f>
        <v/>
      </c>
    </row>
    <row r="1148">
      <c r="J1148">
        <f>IF(I1146=0,"ERROR",IF(OR($J$1117="ERROR",INDEX($J$1117:$K$1117,1,I1146)="ERROR"),"ERROR",IF(OR($J$1117="UNKNOWN",INDEX($J$1117:$K$1117,1,I1146)="UNKNOWN"),"UNKNOWN",IF(OR($J$1117="NOT_APPLICABLE",INDEX($J$1117:$K$1117,1,I1146)="NOT_APPLICABLE"),"NOT_APPLICABLE",$J$1117-INDEX($J$1117:$K$1117,1,I1146)))))</f>
        <v/>
      </c>
      <c r="K1148">
        <f>IF(I1146=0,"ERROR",IF(OR($K$1117="ERROR",INDEX($J$1117:$K$1117,1,I1146)="ERROR"),"ERROR",IF(OR($K$1117="UNKNOWN",INDEX($J$1117:$K$1117,1,I1146)="UNKNOWN"),"UNKNOWN",IF(OR($K$1117="NOT_APPLICABLE",INDEX($J$1117:$K$1117,1,I1146)="NOT_APPLICABLE"),"NOT_APPLICABLE",$K$1117-INDEX($J$1117:$K$1117,1,I1146)))))</f>
        <v/>
      </c>
    </row>
    <row r="1149">
      <c r="J1149">
        <f>IF(I1146=0,"ERROR",IF(OR($J$1118="ERROR",INDEX($J$1118:$K$1118,1,I1146)="ERROR"),"ERROR",IF(OR($J$1118="UNKNOWN",INDEX($J$1118:$K$1118,1,I1146)="UNKNOWN"),"UNKNOWN",IF(OR($J$1118="NOT_APPLICABLE",INDEX($J$1118:$K$1118,1,I1146)="NOT_APPLICABLE"),"NOT_APPLICABLE",$J$1118-INDEX($J$1118:$K$1118,1,I1146)))))</f>
        <v/>
      </c>
      <c r="K1149">
        <f>IF(I1146=0,"ERROR",IF(OR($K$1118="ERROR",INDEX($J$1118:$K$1118,1,I1146)="ERROR"),"ERROR",IF(OR($K$1118="UNKNOWN",INDEX($J$1118:$K$1118,1,I1146)="UNKNOWN"),"UNKNOWN",IF(OR($K$1118="NOT_APPLICABLE",INDEX($J$1118:$K$1118,1,I1146)="NOT_APPLICABLE"),"NOT_APPLICABLE",$K$1118-INDEX($J$1118:$K$1118,1,I1146)))))</f>
        <v/>
      </c>
    </row>
    <row r="1150">
      <c r="J1150">
        <f>IF(I1146=0,"ERROR",IF(OR($J$1134="ERROR",INDEX($J$1134:$K$1134,1,I1146)="ERROR"),"ERROR",IF(OR($J$1134="UNKNOWN",INDEX($J$1134:$K$1134,1,I1146)="UNKNOWN"),"UNKNOWN",IF(OR($J$1134="NOT_APPLICABLE",INDEX($J$1134:$K$1134,1,I1146)="NOT_APPLICABLE"),"NOT_APPLICABLE",$J$1134-INDEX($J$1134:$K$1134,1,I1146)))))</f>
        <v/>
      </c>
      <c r="K1150">
        <f>IF(I1146=0,"ERROR",IF(OR($K$1134="ERROR",INDEX($J$1134:$K$1134,1,I1146)="ERROR"),"ERROR",IF(OR($K$1134="UNKNOWN",INDEX($J$1134:$K$1134,1,I1146)="UNKNOWN"),"UNKNOWN",IF(OR($K$1134="NOT_APPLICABLE",INDEX($J$1134:$K$1134,1,I1146)="NOT_APPLICABLE"),"NOT_APPLICABLE",$K$1134-INDEX($J$1134:$K$1134,1,I1146)))))</f>
        <v/>
      </c>
    </row>
    <row r="1152">
      <c r="B1152" s="8" t="inlineStr">
        <is>
          <t>Scenario A: scenario_status</t>
        </is>
      </c>
      <c r="C1152" s="16">
        <f>J1136</f>
        <v/>
      </c>
      <c r="D1152" s="38" t="inlineStr">
        <is>
          <t>OK</t>
        </is>
      </c>
      <c r="F1152" s="15">
        <f>IF(J1136=D1152,"PASS","FAIL")</f>
        <v/>
      </c>
    </row>
    <row r="1153">
      <c r="B1153" s="8" t="inlineStr">
        <is>
          <t>Scenario A: contribution_margin</t>
        </is>
      </c>
      <c r="C1153" s="25">
        <f>J1117</f>
        <v/>
      </c>
      <c r="D1153" s="42" t="n">
        <v>500</v>
      </c>
      <c r="E1153" s="26">
        <f>IF(ISNUMBER(D1153),IF(ISNUMBER(J1117),ABS(J1117-D1153),"N/A"),"N/A")</f>
        <v/>
      </c>
      <c r="F1153" s="15">
        <f>IFERROR(IF(ISNUMBER(D1153),IF(ISNUMBER(J1117),IF(ABS(J1117-D1153)&lt;=0.01,"PASS","FAIL"),"FAIL"),IF(NOT(ISNUMBER(J1117)),IF(J1117=D1153,"PASS","FAIL"),"FAIL")),"FAIL")</f>
        <v/>
      </c>
    </row>
    <row r="1154">
      <c r="B1154" s="8" t="inlineStr">
        <is>
          <t>Scenario A: break_even_quantity_exact</t>
        </is>
      </c>
      <c r="C1154" s="25">
        <f>J1134</f>
        <v/>
      </c>
      <c r="D1154" s="42" t="n">
        <v>100</v>
      </c>
      <c r="E1154" s="26">
        <f>IF(ISNUMBER(D1154),IF(ISNUMBER(J1134),ABS(J1134-D1154),"N/A"),"N/A")</f>
        <v/>
      </c>
      <c r="F1154" s="15">
        <f>IFERROR(IF(ISNUMBER(D1154),IF(ISNUMBER(J1134),IF(ABS(J1134-D1154)&lt;=0.01,"PASS","FAIL"),"FAIL"),IF(NOT(ISNUMBER(J1134)),IF(J1134=D1154,"PASS","FAIL"),"FAIL")),"FAIL")</f>
        <v/>
      </c>
    </row>
    <row r="1155">
      <c r="B1155" s="8" t="inlineStr">
        <is>
          <t>Scenario A: net_sales_ex_vat_delta</t>
        </is>
      </c>
      <c r="C1155" s="43">
        <f>J1147</f>
        <v/>
      </c>
      <c r="D1155" s="44" t="n">
        <v>0</v>
      </c>
      <c r="F1155" s="15">
        <f>IFERROR(IF(ISNUMBER(D1155),IF(ISNUMBER(J1147),IF(ABS(J1147-D1155)&lt;=0.01,"PASS","FAIL"),"FAIL"),IF(NOT(ISNUMBER(J1147)),IF(J1147=D1155,"PASS","FAIL"),"FAIL")),"FAIL")</f>
        <v/>
      </c>
    </row>
    <row r="1156">
      <c r="B1156" s="8" t="inlineStr">
        <is>
          <t>Scenario A: contribution_margin_delta</t>
        </is>
      </c>
      <c r="C1156" s="43">
        <f>J1148</f>
        <v/>
      </c>
      <c r="D1156" s="44" t="n">
        <v>0</v>
      </c>
      <c r="F1156" s="15">
        <f>IFERROR(IF(ISNUMBER(D1156),IF(ISNUMBER(J1148),IF(ABS(J1148-D1156)&lt;=0.01,"PASS","FAIL"),"FAIL"),IF(NOT(ISNUMBER(J1148)),IF(J1148=D1156,"PASS","FAIL"),"FAIL")),"FAIL")</f>
        <v/>
      </c>
    </row>
    <row r="1157">
      <c r="B1157" s="8" t="inlineStr">
        <is>
          <t>Scenario A: contribution_margin_rate_delta</t>
        </is>
      </c>
      <c r="C1157" s="43">
        <f>J1149</f>
        <v/>
      </c>
      <c r="D1157" s="44" t="n">
        <v>0</v>
      </c>
      <c r="F1157" s="15">
        <f>IFERROR(IF(ISNUMBER(D1157),IF(ISNUMBER(J1149),IF(ABS(J1149-D1157)&lt;=0.01,"PASS","FAIL"),"FAIL"),IF(NOT(ISNUMBER(J1149)),IF(J1149=D1157,"PASS","FAIL"),"FAIL")),"FAIL")</f>
        <v/>
      </c>
    </row>
    <row r="1158">
      <c r="B1158" s="8" t="inlineStr">
        <is>
          <t>Scenario A: break_even_quantity_delta</t>
        </is>
      </c>
      <c r="C1158" s="43">
        <f>J1150</f>
        <v/>
      </c>
      <c r="D1158" s="44" t="n">
        <v>0</v>
      </c>
      <c r="F1158" s="15">
        <f>IFERROR(IF(ISNUMBER(D1158),IF(ISNUMBER(J1150),IF(ABS(J1150-D1158)&lt;=0.01,"PASS","FAIL"),"FAIL"),IF(NOT(ISNUMBER(J1150)),IF(J1150=D1158,"PASS","FAIL"),"FAIL")),"FAIL")</f>
        <v/>
      </c>
    </row>
    <row r="1159">
      <c r="B1159" s="8" t="inlineStr">
        <is>
          <t>Scenario B: scenario_status</t>
        </is>
      </c>
      <c r="C1159" s="16">
        <f>K1136</f>
        <v/>
      </c>
      <c r="D1159" s="38" t="inlineStr">
        <is>
          <t>INCOMPLETE</t>
        </is>
      </c>
      <c r="F1159" s="15">
        <f>IF(K1136=D1159,"PASS","FAIL")</f>
        <v/>
      </c>
    </row>
    <row r="1160">
      <c r="B1160" s="8" t="inlineStr">
        <is>
          <t>Scenario B: contribution_margin</t>
        </is>
      </c>
      <c r="C1160" s="25">
        <f>K1117</f>
        <v/>
      </c>
      <c r="D1160" s="38" t="inlineStr">
        <is>
          <t>UNKNOWN</t>
        </is>
      </c>
      <c r="E1160" s="26">
        <f>IF(ISNUMBER(D1160),IF(ISNUMBER(K1117),ABS(K1117-D1160),"N/A"),"N/A")</f>
        <v/>
      </c>
      <c r="F1160" s="15">
        <f>IFERROR(IF(ISNUMBER(D1160),IF(ISNUMBER(K1117),IF(ABS(K1117-D1160)&lt;=0.01,"PASS","FAIL"),"FAIL"),IF(NOT(ISNUMBER(K1117)),IF(K1117=D1160,"PASS","FAIL"),"FAIL")),"FAIL")</f>
        <v/>
      </c>
    </row>
    <row r="1161">
      <c r="B1161" s="8" t="inlineStr">
        <is>
          <t>Scenario B: break_even_quantity_exact</t>
        </is>
      </c>
      <c r="C1161" s="25">
        <f>K1134</f>
        <v/>
      </c>
      <c r="D1161" s="38" t="inlineStr">
        <is>
          <t>UNKNOWN</t>
        </is>
      </c>
      <c r="E1161" s="26">
        <f>IF(ISNUMBER(D1161),IF(ISNUMBER(K1134),ABS(K1134-D1161),"N/A"),"N/A")</f>
        <v/>
      </c>
      <c r="F1161" s="15">
        <f>IFERROR(IF(ISNUMBER(D1161),IF(ISNUMBER(K1134),IF(ABS(K1134-D1161)&lt;=0.01,"PASS","FAIL"),"FAIL"),IF(NOT(ISNUMBER(K1134)),IF(K1134=D1161,"PASS","FAIL"),"FAIL")),"FAIL")</f>
        <v/>
      </c>
    </row>
    <row r="1162">
      <c r="B1162" s="8" t="inlineStr">
        <is>
          <t>Scenario B: net_sales_ex_vat_delta</t>
        </is>
      </c>
      <c r="C1162" s="43">
        <f>K1147</f>
        <v/>
      </c>
      <c r="D1162" s="38" t="inlineStr">
        <is>
          <t>UNKNOWN</t>
        </is>
      </c>
      <c r="F1162" s="15">
        <f>IFERROR(IF(ISNUMBER(D1162),IF(ISNUMBER(K1147),IF(ABS(K1147-D1162)&lt;=0.01,"PASS","FAIL"),"FAIL"),IF(NOT(ISNUMBER(K1147)),IF(K1147=D1162,"PASS","FAIL"),"FAIL")),"FAIL")</f>
        <v/>
      </c>
    </row>
    <row r="1163">
      <c r="B1163" s="8" t="inlineStr">
        <is>
          <t>Scenario B: contribution_margin_delta</t>
        </is>
      </c>
      <c r="C1163" s="43">
        <f>K1148</f>
        <v/>
      </c>
      <c r="D1163" s="38" t="inlineStr">
        <is>
          <t>UNKNOWN</t>
        </is>
      </c>
      <c r="F1163" s="15">
        <f>IFERROR(IF(ISNUMBER(D1163),IF(ISNUMBER(K1148),IF(ABS(K1148-D1163)&lt;=0.01,"PASS","FAIL"),"FAIL"),IF(NOT(ISNUMBER(K1148)),IF(K1148=D1163,"PASS","FAIL"),"FAIL")),"FAIL")</f>
        <v/>
      </c>
    </row>
    <row r="1164">
      <c r="B1164" s="8" t="inlineStr">
        <is>
          <t>Scenario B: contribution_margin_rate_delta</t>
        </is>
      </c>
      <c r="C1164" s="43">
        <f>K1149</f>
        <v/>
      </c>
      <c r="D1164" s="38" t="inlineStr">
        <is>
          <t>UNKNOWN</t>
        </is>
      </c>
      <c r="F1164" s="15">
        <f>IFERROR(IF(ISNUMBER(D1164),IF(ISNUMBER(K1149),IF(ABS(K1149-D1164)&lt;=0.01,"PASS","FAIL"),"FAIL"),IF(NOT(ISNUMBER(K1149)),IF(K1149=D1164,"PASS","FAIL"),"FAIL")),"FAIL")</f>
        <v/>
      </c>
    </row>
    <row r="1165">
      <c r="B1165" s="8" t="inlineStr">
        <is>
          <t>Scenario B: break_even_quantity_delta</t>
        </is>
      </c>
      <c r="C1165" s="43">
        <f>K1150</f>
        <v/>
      </c>
      <c r="D1165" s="38" t="inlineStr">
        <is>
          <t>UNKNOWN</t>
        </is>
      </c>
      <c r="F1165" s="15">
        <f>IFERROR(IF(ISNUMBER(D1165),IF(ISNUMBER(K1150),IF(ABS(K1150-D1165)&lt;=0.01,"PASS","FAIL"),"FAIL"),IF(NOT(ISNUMBER(K1150)),IF(K1150=D1165,"PASS","FAIL"),"FAIL")),"FAIL")</f>
        <v/>
      </c>
    </row>
    <row r="1167" ht="20" customHeight="1">
      <c r="B1167" s="2" t="inlineStr">
        <is>
          <t>TC15. ERROR scenario (negative fixed cost)</t>
        </is>
      </c>
      <c r="C1167" s="7" t="n"/>
      <c r="D1167" s="7" t="n"/>
      <c r="E1167" s="7" t="n"/>
      <c r="F1167" s="7" t="n"/>
    </row>
    <row r="1168">
      <c r="B1168" s="4" t="inlineStr">
        <is>
          <t>Check</t>
        </is>
      </c>
      <c r="C1168" s="4" t="inlineStr">
        <is>
          <t>Excel Result</t>
        </is>
      </c>
      <c r="D1168" s="4" t="inlineStr">
        <is>
          <t>Python Reference</t>
        </is>
      </c>
      <c r="E1168" s="4" t="inlineStr">
        <is>
          <t>Difference</t>
        </is>
      </c>
      <c r="F1168" s="4" t="inlineStr">
        <is>
          <t>PASS / FAIL</t>
        </is>
      </c>
    </row>
    <row r="1169">
      <c r="I1169" t="n">
        <v>1000</v>
      </c>
    </row>
    <row r="1170">
      <c r="I1170" t="b">
        <v>0</v>
      </c>
    </row>
    <row r="1171">
      <c r="I1171" t="n">
        <v>0.1</v>
      </c>
    </row>
    <row r="1172">
      <c r="I1172" t="n">
        <v>1000</v>
      </c>
    </row>
    <row r="1173">
      <c r="I1173" t="n">
        <v>0</v>
      </c>
    </row>
    <row r="1174">
      <c r="I1174" t="n">
        <v>400</v>
      </c>
    </row>
    <row r="1175">
      <c r="I1175" t="n">
        <v>100</v>
      </c>
    </row>
    <row r="1176">
      <c r="I1176" t="n">
        <v>0</v>
      </c>
    </row>
    <row r="1177">
      <c r="I1177" t="n">
        <v>0</v>
      </c>
    </row>
    <row r="1178">
      <c r="I1178" t="n">
        <v>50000</v>
      </c>
    </row>
    <row r="1179">
      <c r="I1179" t="n">
        <v>0.3</v>
      </c>
    </row>
    <row r="1180">
      <c r="I1180" t="inlineStr">
        <is>
          <t>A</t>
        </is>
      </c>
      <c r="J1180" t="inlineStr">
        <is>
          <t>A</t>
        </is>
      </c>
      <c r="K1180" t="inlineStr">
        <is>
          <t>B</t>
        </is>
      </c>
    </row>
    <row r="1181">
      <c r="J1181" t="inlineStr">
        <is>
          <t>inherit</t>
        </is>
      </c>
      <c r="K1181" t="inlineStr">
        <is>
          <t>inherit</t>
        </is>
      </c>
    </row>
    <row r="1182"/>
    <row r="1183">
      <c r="J1183" t="inlineStr">
        <is>
          <t>inherit</t>
        </is>
      </c>
      <c r="K1183" t="inlineStr">
        <is>
          <t>inherit</t>
        </is>
      </c>
    </row>
    <row r="1184"/>
    <row r="1185">
      <c r="J1185" t="inlineStr">
        <is>
          <t>inherit</t>
        </is>
      </c>
      <c r="K1185" t="inlineStr">
        <is>
          <t>inherit</t>
        </is>
      </c>
    </row>
    <row r="1186"/>
    <row r="1187">
      <c r="J1187" t="inlineStr">
        <is>
          <t>inherit</t>
        </is>
      </c>
      <c r="K1187" t="inlineStr">
        <is>
          <t>inherit</t>
        </is>
      </c>
    </row>
    <row r="1188"/>
    <row r="1189">
      <c r="J1189" t="inlineStr">
        <is>
          <t>inherit</t>
        </is>
      </c>
      <c r="K1189" t="inlineStr">
        <is>
          <t>inherit</t>
        </is>
      </c>
    </row>
    <row r="1190"/>
    <row r="1191">
      <c r="J1191" t="inlineStr">
        <is>
          <t>inherit</t>
        </is>
      </c>
      <c r="K1191" t="inlineStr">
        <is>
          <t>inherit</t>
        </is>
      </c>
    </row>
    <row r="1192"/>
    <row r="1193">
      <c r="J1193" t="inlineStr">
        <is>
          <t>inherit</t>
        </is>
      </c>
      <c r="K1193" t="inlineStr">
        <is>
          <t>inherit</t>
        </is>
      </c>
    </row>
    <row r="1194"/>
    <row r="1195">
      <c r="J1195" t="inlineStr">
        <is>
          <t>inherit</t>
        </is>
      </c>
      <c r="K1195" t="inlineStr">
        <is>
          <t>value</t>
        </is>
      </c>
    </row>
    <row r="1196">
      <c r="K1196" t="n">
        <v>-10000</v>
      </c>
    </row>
    <row r="1197">
      <c r="J1197" t="inlineStr">
        <is>
          <t>inherit</t>
        </is>
      </c>
      <c r="K1197" t="inlineStr">
        <is>
          <t>inherit</t>
        </is>
      </c>
    </row>
    <row r="1198"/>
    <row r="1199">
      <c r="J1199">
        <f>IFERROR(IF(NOT(ISNUMBER(J1220)),"UNKNOWN",IF(J1221="UNKNOWN","UNKNOWN",IF(J1221=FALSE,J1220,IF(NOT(ISNUMBER(J1222)),"UNKNOWN",J1220/(1+J1222))))),"ERROR")</f>
        <v/>
      </c>
      <c r="K1199">
        <f>IFERROR(IF(NOT(ISNUMBER(K1220)),"UNKNOWN",IF(K1221="UNKNOWN","UNKNOWN",IF(K1221=FALSE,K1220,IF(NOT(ISNUMBER(K1222)),"UNKNOWN",K1220/(1+K1222))))),"ERROR")</f>
        <v/>
      </c>
    </row>
    <row r="1200">
      <c r="J1200">
        <f>IFERROR(IF(J1199="ERROR","ERROR",IF(OR(NOT(ISNUMBER(J1199)),NOT(ISNUMBER(J1226))),"UNKNOWN",IF(J1228&gt;0,IF(J1210="ERROR","ERROR",IF(NOT(ISNUMBER(J1210)),"UNKNOWN",J1199-J1226-$I$1175-$I$1176*J1199-J1228*J1210)),J1199-J1226-$I$1175-$I$1176*J1199))),"ERROR")</f>
        <v/>
      </c>
      <c r="K1200">
        <f>IFERROR(IF(K1199="ERROR","ERROR",IF(OR(NOT(ISNUMBER(K1199)),NOT(ISNUMBER(K1226))),"UNKNOWN",IF(K1228&gt;0,IF(K1210="ERROR","ERROR",IF(NOT(ISNUMBER(K1210)),"UNKNOWN",K1199-K1226-$I$1175-$I$1176*K1199-K1228*K1210)),K1199-K1226-$I$1175-$I$1176*K1199))),"ERROR")</f>
        <v/>
      </c>
    </row>
    <row r="1201">
      <c r="J1201">
        <f>IFERROR(IF(J1200="ERROR","ERROR",IF(NOT(ISNUMBER(J1200)),"UNKNOWN",IF(J1199=0,"ERROR",J1200/J1199))),"ERROR")</f>
        <v/>
      </c>
      <c r="K1201">
        <f>IFERROR(IF(K1200="ERROR","ERROR",IF(NOT(ISNUMBER(K1200)),"UNKNOWN",IF(K1199=0,"ERROR",K1200/K1199))),"ERROR")</f>
        <v/>
      </c>
    </row>
    <row r="1202">
      <c r="J1202">
        <f>IF(OR(J1199="ERROR",J1200="ERROR",J1201="ERROR"),"ERROR",IF(OR(NOT(ISNUMBER(J1199)),NOT(ISNUMBER(J1200)),NOT(ISNUMBER(J1201))),"UNKNOWN","OK"))</f>
        <v/>
      </c>
      <c r="K1202">
        <f>IF(OR(K1199="ERROR",K1200="ERROR",K1201="ERROR"),"ERROR",IF(OR(NOT(ISNUMBER(K1199)),NOT(ISNUMBER(K1200)),NOT(ISNUMBER(K1201))),"UNKNOWN","OK"))</f>
        <v/>
      </c>
    </row>
    <row r="1203">
      <c r="J1203">
        <f>IFERROR(IF(NOT(ISNUMBER(J1226)),J1226,J1226+$I$1175),"ERROR")</f>
        <v/>
      </c>
      <c r="K1203">
        <f>IFERROR(IF(NOT(ISNUMBER(K1226)),K1226,K1226+$I$1175),"ERROR")</f>
        <v/>
      </c>
    </row>
    <row r="1204">
      <c r="J1204">
        <f>IFERROR(IF(NOT(ISNUMBER(J1225)),"UNKNOWN",IF(OR(J1225&lt;0,J1225&gt;=1),"ERROR",IF(J1228=0,IF(1-J1225-$I$1176&lt;=0,"ERROR",1-J1225-$I$1176),IF(NOT(ISNUMBER(J1222)),"UNKNOWN",IF(1-J1225-$I$1176-J1228*(1+J1222)&lt;=0,"ERROR",1-J1225-$I$1176-J1228*(1+J1222)))))),"ERROR")</f>
        <v/>
      </c>
      <c r="K1204">
        <f>IFERROR(IF(NOT(ISNUMBER(K1225)),"UNKNOWN",IF(OR(K1225&lt;0,K1225&gt;=1),"ERROR",IF(K1228=0,IF(1-K1225-$I$1176&lt;=0,"ERROR",1-K1225-$I$1176),IF(NOT(ISNUMBER(K1222)),"UNKNOWN",IF(1-K1225-$I$1176-K1228*(1+K1222)&lt;=0,"ERROR",1-K1225-$I$1176-K1228*(1+K1222)))))),"ERROR")</f>
        <v/>
      </c>
    </row>
    <row r="1205">
      <c r="J1205">
        <f>IFERROR(IF(NOT(ISNUMBER(J1203)),J1203,IF(NOT(ISNUMBER(J1204)),J1204,J1203/J1204)),"ERROR")</f>
        <v/>
      </c>
      <c r="K1205">
        <f>IFERROR(IF(NOT(ISNUMBER(K1203)),K1203,IF(NOT(ISNUMBER(K1204)),K1204,K1203/K1204)),"ERROR")</f>
        <v/>
      </c>
    </row>
    <row r="1206">
      <c r="J1206">
        <f>IFERROR(IF(NOT(ISNUMBER(J1205)),J1205,IF(NOT(ISNUMBER(J1222)),"UNKNOWN",J1205*(1+J1222))),"ERROR")</f>
        <v/>
      </c>
      <c r="K1206">
        <f>IFERROR(IF(NOT(ISNUMBER(K1205)),K1205,IF(NOT(ISNUMBER(K1222)),"UNKNOWN",K1205*(1+K1222))),"ERROR")</f>
        <v/>
      </c>
    </row>
    <row r="1207">
      <c r="J1207">
        <f>IFERROR(IF(J1221="UNKNOWN","UNKNOWN",IF(J1221=FALSE,J1205,J1206)),"ERROR")</f>
        <v/>
      </c>
      <c r="K1207">
        <f>IFERROR(IF(K1221="UNKNOWN","UNKNOWN",IF(K1221=FALSE,K1205,K1206)),"ERROR")</f>
        <v/>
      </c>
    </row>
    <row r="1208">
      <c r="J1208">
        <f>IFERROR(IF(NOT(ISNUMBER(J1207)),J1207,IF(NOT(ISNUMBER(J1224)),"UNKNOWN",IF(OR(J1224&lt;0,J1224&gt;=1),"ERROR",IF(J1224=0,J1207,J1207/(1-J1224))))),"ERROR")</f>
        <v/>
      </c>
      <c r="K1208">
        <f>IFERROR(IF(NOT(ISNUMBER(K1207)),K1207,IF(NOT(ISNUMBER(K1224)),"UNKNOWN",IF(OR(K1224&lt;0,K1224&gt;=1),"ERROR",IF(K1224=0,K1207,K1207/(1-K1224))))),"ERROR")</f>
        <v/>
      </c>
    </row>
    <row r="1209">
      <c r="J1209">
        <f>IF(OR(J1207="ERROR",J1208="ERROR"),"ERROR",IF(OR(NOT(ISNUMBER(J1207)),NOT(ISNUMBER(J1208))),"UNKNOWN","OK"))</f>
        <v/>
      </c>
      <c r="K1209">
        <f>IF(OR(K1207="ERROR",K1208="ERROR"),"ERROR",IF(OR(NOT(ISNUMBER(K1207)),NOT(ISNUMBER(K1208))),"UNKNOWN","OK"))</f>
        <v/>
      </c>
    </row>
    <row r="1210">
      <c r="J1210">
        <f>IFERROR(IF(NOT(ISNUMBER(J1220)),"UNKNOWN",IF(J1221="UNKNOWN","UNKNOWN",IF(J1221=TRUE,J1220,IF(NOT(ISNUMBER(J1222)),"UNKNOWN",J1220*(1+J1222))))),"ERROR")</f>
        <v/>
      </c>
      <c r="K1210">
        <f>IFERROR(IF(NOT(ISNUMBER(K1220)),"UNKNOWN",IF(K1221="UNKNOWN","UNKNOWN",IF(K1221=TRUE,K1220,IF(NOT(ISNUMBER(K1222)),"UNKNOWN",K1220*(1+K1222))))),"ERROR")</f>
        <v/>
      </c>
    </row>
    <row r="1211">
      <c r="J1211">
        <f>IFERROR(IF(NOT(ISNUMBER(J1223)),"UNKNOWN",IF(J1221="UNKNOWN","UNKNOWN",IF(J1221=FALSE,J1223,IF(NOT(ISNUMBER(J1222)),"UNKNOWN",J1223/(1+J1222))))),"ERROR")</f>
        <v/>
      </c>
      <c r="K1211">
        <f>IFERROR(IF(NOT(ISNUMBER(K1223)),"UNKNOWN",IF(K1221="UNKNOWN","UNKNOWN",IF(K1221=FALSE,K1223,IF(NOT(ISNUMBER(K1222)),"UNKNOWN",K1223/(1+K1222))))),"ERROR")</f>
        <v/>
      </c>
    </row>
    <row r="1212">
      <c r="J1212">
        <f>IFERROR(IF(NOT(ISNUMBER(J1223)),"UNKNOWN",IF(J1221="UNKNOWN","UNKNOWN",IF(J1221=TRUE,J1223,IF(NOT(ISNUMBER(J1222)),"UNKNOWN",J1223*(1+J1222))))),"ERROR")</f>
        <v/>
      </c>
      <c r="K1212">
        <f>IFERROR(IF(NOT(ISNUMBER(K1223)),"UNKNOWN",IF(K1221="UNKNOWN","UNKNOWN",IF(K1221=TRUE,K1223,IF(NOT(ISNUMBER(K1222)),"UNKNOWN",K1223*(1+K1222))))),"ERROR")</f>
        <v/>
      </c>
    </row>
    <row r="1213">
      <c r="J1213">
        <f>IFERROR(IF(J1211="ERROR","ERROR",IF(NOT(ISNUMBER(J1225)),"UNKNOWN",IF(OR(J1225&lt;0,J1225&gt;=1),"ERROR",IF(NOT(ISNUMBER(J1211)),"UNKNOWN",IF(J1228&gt;0,IF(J1212="ERROR","ERROR",IF(NOT(ISNUMBER(J1212)),"UNKNOWN",J1211*(1-J1225-$I$1176)-J1228*J1212-$I$1175)),J1211*(1-J1225-$I$1176)-$I$1175))))),"ERROR")</f>
        <v/>
      </c>
      <c r="K1213">
        <f>IFERROR(IF(K1211="ERROR","ERROR",IF(NOT(ISNUMBER(K1225)),"UNKNOWN",IF(OR(K1225&lt;0,K1225&gt;=1),"ERROR",IF(NOT(ISNUMBER(K1211)),"UNKNOWN",IF(K1228&gt;0,IF(K1212="ERROR","ERROR",IF(NOT(ISNUMBER(K1212)),"UNKNOWN",K1211*(1-K1225-$I$1176)-K1228*K1212-$I$1175)),K1211*(1-K1225-$I$1176)-$I$1175))))),"ERROR")</f>
        <v/>
      </c>
    </row>
    <row r="1214">
      <c r="J1214">
        <f>IFERROR(IF(OR(J1213="ERROR",J1226="ERROR"),"ERROR",IF(OR(NOT(ISNUMBER(J1213)),NOT(ISNUMBER(J1226))),"UNKNOWN",J1213-J1226)),"ERROR")</f>
        <v/>
      </c>
      <c r="K1214">
        <f>IFERROR(IF(OR(K1213="ERROR",K1226="ERROR"),"ERROR",IF(OR(NOT(ISNUMBER(K1213)),NOT(ISNUMBER(K1226))),"UNKNOWN",K1213-K1226)),"ERROR")</f>
        <v/>
      </c>
    </row>
    <row r="1215">
      <c r="J1215">
        <f>IF(OR(J1213="ERROR",J1226="ERROR",J1214="ERROR"),"ERROR",IF(OR(NOT(ISNUMBER(J1213)),NOT(ISNUMBER(J1226)),NOT(ISNUMBER(J1214))),"UNKNOWN","OK"))</f>
        <v/>
      </c>
      <c r="K1215">
        <f>IF(OR(K1213="ERROR",K1226="ERROR",K1214="ERROR"),"ERROR",IF(OR(NOT(ISNUMBER(K1213)),NOT(ISNUMBER(K1226)),NOT(ISNUMBER(K1214))),"UNKNOWN","OK"))</f>
        <v/>
      </c>
    </row>
    <row r="1216">
      <c r="J1216">
        <f>IFERROR(IF(NOT(ISNUMBER(J1227)),J1227,IF(J1227&lt;0,"ERROR",J1227)),"ERROR")</f>
        <v/>
      </c>
      <c r="K1216">
        <f>IFERROR(IF(NOT(ISNUMBER(K1227)),K1227,IF(K1227&lt;0,"ERROR",K1227)),"ERROR")</f>
        <v/>
      </c>
    </row>
    <row r="1217">
      <c r="J1217">
        <f>IFERROR(IF(OR(J1200="ERROR",J1216="ERROR"),"ERROR",IF(OR(NOT(ISNUMBER(J1200)),NOT(ISNUMBER(J1216))),"UNKNOWN",IF(J1200&lt;=0,"NOT_APPLICABLE",J1216/J1200))),"ERROR")</f>
        <v/>
      </c>
      <c r="K1217">
        <f>IFERROR(IF(OR(K1200="ERROR",K1216="ERROR"),"ERROR",IF(OR(NOT(ISNUMBER(K1200)),NOT(ISNUMBER(K1216))),"UNKNOWN",IF(K1200&lt;=0,"NOT_APPLICABLE",K1216/K1200))),"ERROR")</f>
        <v/>
      </c>
    </row>
    <row r="1218">
      <c r="J1218">
        <f>IF(OR(J1200="ERROR",J1216="ERROR",J1217="ERROR"),"ERROR",IF(OR(NOT(ISNUMBER(J1200)),NOT(ISNUMBER(J1216)),AND(NOT(ISNUMBER(J1217)),J1217&lt;&gt;"NOT_APPLICABLE")),"UNKNOWN","OK"))</f>
        <v/>
      </c>
      <c r="K1218">
        <f>IF(OR(K1200="ERROR",K1216="ERROR",K1217="ERROR"),"ERROR",IF(OR(NOT(ISNUMBER(K1200)),NOT(ISNUMBER(K1216)),AND(NOT(ISNUMBER(K1217)),K1217&lt;&gt;"NOT_APPLICABLE")),"UNKNOWN","OK"))</f>
        <v/>
      </c>
    </row>
    <row r="1219">
      <c r="J1219">
        <f>IF(OR(J1202="ERROR",J1209="ERROR",J1215="ERROR",J1218="ERROR"),"ERROR",IF(OR(J1202="UNKNOWN",J1209="UNKNOWN",J1215="UNKNOWN",J1218="UNKNOWN"),"INCOMPLETE","OK"))</f>
        <v/>
      </c>
      <c r="K1219">
        <f>IF(OR(K1202="ERROR",K1209="ERROR",K1215="ERROR",K1218="ERROR"),"ERROR",IF(OR(K1202="UNKNOWN",K1209="UNKNOWN",K1215="UNKNOWN",K1218="UNKNOWN"),"INCOMPLETE","OK"))</f>
        <v/>
      </c>
    </row>
    <row r="1220">
      <c r="J1220">
        <f>IF($J$1181="inherit",$I$1169,IF($J$1181="null","UNKNOWN",$J$1182))</f>
        <v/>
      </c>
      <c r="K1220">
        <f>IF($K$1181="inherit",$I$1169,IF($K$1181="null","UNKNOWN",$K$1182))</f>
        <v/>
      </c>
    </row>
    <row r="1221">
      <c r="J1221">
        <f>IF($J$1183="inherit",$I$1170,IF($J$1183="null","UNKNOWN",$J$1184))</f>
        <v/>
      </c>
      <c r="K1221">
        <f>IF($K$1183="inherit",$I$1170,IF($K$1183="null","UNKNOWN",$K$1184))</f>
        <v/>
      </c>
    </row>
    <row r="1222">
      <c r="J1222">
        <f>IF($J$1185="inherit",$I$1171,IF($J$1185="null","UNKNOWN",$J$1186))</f>
        <v/>
      </c>
      <c r="K1222">
        <f>IF($K$1185="inherit",$I$1171,IF($K$1185="null","UNKNOWN",$K$1186))</f>
        <v/>
      </c>
    </row>
    <row r="1223">
      <c r="J1223">
        <f>IF($J$1187="inherit",$I$1172,IF($J$1187="null","UNKNOWN",$J$1188))</f>
        <v/>
      </c>
      <c r="K1223">
        <f>IF($K$1187="inherit",$I$1172,IF($K$1187="null","UNKNOWN",$K$1188))</f>
        <v/>
      </c>
    </row>
    <row r="1224">
      <c r="J1224">
        <f>IF($J$1189="inherit",$I$1173,IF($J$1189="null","UNKNOWN",$J$1190))</f>
        <v/>
      </c>
      <c r="K1224">
        <f>IF($K$1189="inherit",$I$1173,IF($K$1189="null","UNKNOWN",$K$1190))</f>
        <v/>
      </c>
    </row>
    <row r="1225">
      <c r="J1225">
        <f>IF($J$1191="inherit",$I$1179,IF($J$1191="null","UNKNOWN",$J$1192))</f>
        <v/>
      </c>
      <c r="K1225">
        <f>IF($K$1191="inherit",$I$1179,IF($K$1191="null","UNKNOWN",$K$1192))</f>
        <v/>
      </c>
    </row>
    <row r="1226">
      <c r="J1226">
        <f>IF($J$1193="inherit",$I$1174,IF($J$1193="null","UNKNOWN",$J$1194))</f>
        <v/>
      </c>
      <c r="K1226">
        <f>IF($K$1193="inherit",$I$1174,IF($K$1193="null","UNKNOWN",$K$1194))</f>
        <v/>
      </c>
    </row>
    <row r="1227">
      <c r="J1227">
        <f>IF($J$1195="inherit",$I$1178,IF($J$1195="null","UNKNOWN",$J$1196))</f>
        <v/>
      </c>
      <c r="K1227">
        <f>IF($K$1195="inherit",$I$1178,IF($K$1195="null","UNKNOWN",$K$1196))</f>
        <v/>
      </c>
    </row>
    <row r="1228">
      <c r="J1228">
        <f>IF($J$1197="inherit",$I$1177,IF($J$1197="null","UNKNOWN",$J$1198))</f>
        <v/>
      </c>
      <c r="K1228">
        <f>IF($K$1197="inherit",$I$1177,IF($K$1197="null","UNKNOWN",$K$1198))</f>
        <v/>
      </c>
    </row>
    <row r="1229">
      <c r="I1229">
        <f>IFERROR(MATCH($I$1180,$J$1180:$K$1180,0),0)</f>
        <v/>
      </c>
    </row>
    <row r="1230">
      <c r="J1230">
        <f>IF(I1229=0,"ERROR",IF(OR($J$1199="ERROR",INDEX($J$1199:$K$1199,1,I1229)="ERROR"),"ERROR",IF(OR($J$1199="UNKNOWN",INDEX($J$1199:$K$1199,1,I1229)="UNKNOWN"),"UNKNOWN",IF(OR($J$1199="NOT_APPLICABLE",INDEX($J$1199:$K$1199,1,I1229)="NOT_APPLICABLE"),"NOT_APPLICABLE",$J$1199-INDEX($J$1199:$K$1199,1,I1229)))))</f>
        <v/>
      </c>
      <c r="K1230">
        <f>IF(I1229=0,"ERROR",IF(OR($K$1199="ERROR",INDEX($J$1199:$K$1199,1,I1229)="ERROR"),"ERROR",IF(OR($K$1199="UNKNOWN",INDEX($J$1199:$K$1199,1,I1229)="UNKNOWN"),"UNKNOWN",IF(OR($K$1199="NOT_APPLICABLE",INDEX($J$1199:$K$1199,1,I1229)="NOT_APPLICABLE"),"NOT_APPLICABLE",$K$1199-INDEX($J$1199:$K$1199,1,I1229)))))</f>
        <v/>
      </c>
    </row>
    <row r="1231">
      <c r="J1231">
        <f>IF(I1229=0,"ERROR",IF(OR($J$1200="ERROR",INDEX($J$1200:$K$1200,1,I1229)="ERROR"),"ERROR",IF(OR($J$1200="UNKNOWN",INDEX($J$1200:$K$1200,1,I1229)="UNKNOWN"),"UNKNOWN",IF(OR($J$1200="NOT_APPLICABLE",INDEX($J$1200:$K$1200,1,I1229)="NOT_APPLICABLE"),"NOT_APPLICABLE",$J$1200-INDEX($J$1200:$K$1200,1,I1229)))))</f>
        <v/>
      </c>
      <c r="K1231">
        <f>IF(I1229=0,"ERROR",IF(OR($K$1200="ERROR",INDEX($J$1200:$K$1200,1,I1229)="ERROR"),"ERROR",IF(OR($K$1200="UNKNOWN",INDEX($J$1200:$K$1200,1,I1229)="UNKNOWN"),"UNKNOWN",IF(OR($K$1200="NOT_APPLICABLE",INDEX($J$1200:$K$1200,1,I1229)="NOT_APPLICABLE"),"NOT_APPLICABLE",$K$1200-INDEX($J$1200:$K$1200,1,I1229)))))</f>
        <v/>
      </c>
    </row>
    <row r="1232">
      <c r="J1232">
        <f>IF(I1229=0,"ERROR",IF(OR($J$1201="ERROR",INDEX($J$1201:$K$1201,1,I1229)="ERROR"),"ERROR",IF(OR($J$1201="UNKNOWN",INDEX($J$1201:$K$1201,1,I1229)="UNKNOWN"),"UNKNOWN",IF(OR($J$1201="NOT_APPLICABLE",INDEX($J$1201:$K$1201,1,I1229)="NOT_APPLICABLE"),"NOT_APPLICABLE",$J$1201-INDEX($J$1201:$K$1201,1,I1229)))))</f>
        <v/>
      </c>
      <c r="K1232">
        <f>IF(I1229=0,"ERROR",IF(OR($K$1201="ERROR",INDEX($J$1201:$K$1201,1,I1229)="ERROR"),"ERROR",IF(OR($K$1201="UNKNOWN",INDEX($J$1201:$K$1201,1,I1229)="UNKNOWN"),"UNKNOWN",IF(OR($K$1201="NOT_APPLICABLE",INDEX($J$1201:$K$1201,1,I1229)="NOT_APPLICABLE"),"NOT_APPLICABLE",$K$1201-INDEX($J$1201:$K$1201,1,I1229)))))</f>
        <v/>
      </c>
    </row>
    <row r="1233">
      <c r="J1233">
        <f>IF(I1229=0,"ERROR",IF(OR($J$1217="ERROR",INDEX($J$1217:$K$1217,1,I1229)="ERROR"),"ERROR",IF(OR($J$1217="UNKNOWN",INDEX($J$1217:$K$1217,1,I1229)="UNKNOWN"),"UNKNOWN",IF(OR($J$1217="NOT_APPLICABLE",INDEX($J$1217:$K$1217,1,I1229)="NOT_APPLICABLE"),"NOT_APPLICABLE",$J$1217-INDEX($J$1217:$K$1217,1,I1229)))))</f>
        <v/>
      </c>
      <c r="K1233">
        <f>IF(I1229=0,"ERROR",IF(OR($K$1217="ERROR",INDEX($J$1217:$K$1217,1,I1229)="ERROR"),"ERROR",IF(OR($K$1217="UNKNOWN",INDEX($J$1217:$K$1217,1,I1229)="UNKNOWN"),"UNKNOWN",IF(OR($K$1217="NOT_APPLICABLE",INDEX($J$1217:$K$1217,1,I1229)="NOT_APPLICABLE"),"NOT_APPLICABLE",$K$1217-INDEX($J$1217:$K$1217,1,I1229)))))</f>
        <v/>
      </c>
    </row>
    <row r="1235">
      <c r="B1235" s="8" t="inlineStr">
        <is>
          <t>Scenario A: scenario_status</t>
        </is>
      </c>
      <c r="C1235" s="16">
        <f>J1219</f>
        <v/>
      </c>
      <c r="D1235" s="38" t="inlineStr">
        <is>
          <t>OK</t>
        </is>
      </c>
      <c r="F1235" s="15">
        <f>IF(J1219=D1235,"PASS","FAIL")</f>
        <v/>
      </c>
    </row>
    <row r="1236">
      <c r="B1236" s="8" t="inlineStr">
        <is>
          <t>Scenario A: contribution_margin</t>
        </is>
      </c>
      <c r="C1236" s="25">
        <f>J1200</f>
        <v/>
      </c>
      <c r="D1236" s="42" t="n">
        <v>500</v>
      </c>
      <c r="E1236" s="26">
        <f>IF(ISNUMBER(D1236),IF(ISNUMBER(J1200),ABS(J1200-D1236),"N/A"),"N/A")</f>
        <v/>
      </c>
      <c r="F1236" s="15">
        <f>IFERROR(IF(ISNUMBER(D1236),IF(ISNUMBER(J1200),IF(ABS(J1200-D1236)&lt;=0.01,"PASS","FAIL"),"FAIL"),IF(NOT(ISNUMBER(J1200)),IF(J1200=D1236,"PASS","FAIL"),"FAIL")),"FAIL")</f>
        <v/>
      </c>
    </row>
    <row r="1237">
      <c r="B1237" s="8" t="inlineStr">
        <is>
          <t>Scenario A: break_even_quantity_exact</t>
        </is>
      </c>
      <c r="C1237" s="25">
        <f>J1217</f>
        <v/>
      </c>
      <c r="D1237" s="42" t="n">
        <v>100</v>
      </c>
      <c r="E1237" s="26">
        <f>IF(ISNUMBER(D1237),IF(ISNUMBER(J1217),ABS(J1217-D1237),"N/A"),"N/A")</f>
        <v/>
      </c>
      <c r="F1237" s="15">
        <f>IFERROR(IF(ISNUMBER(D1237),IF(ISNUMBER(J1217),IF(ABS(J1217-D1237)&lt;=0.01,"PASS","FAIL"),"FAIL"),IF(NOT(ISNUMBER(J1217)),IF(J1217=D1237,"PASS","FAIL"),"FAIL")),"FAIL")</f>
        <v/>
      </c>
    </row>
    <row r="1238">
      <c r="B1238" s="8" t="inlineStr">
        <is>
          <t>Scenario A: net_sales_ex_vat_delta</t>
        </is>
      </c>
      <c r="C1238" s="43">
        <f>J1230</f>
        <v/>
      </c>
      <c r="D1238" s="44" t="n">
        <v>0</v>
      </c>
      <c r="F1238" s="15">
        <f>IFERROR(IF(ISNUMBER(D1238),IF(ISNUMBER(J1230),IF(ABS(J1230-D1238)&lt;=0.01,"PASS","FAIL"),"FAIL"),IF(NOT(ISNUMBER(J1230)),IF(J1230=D1238,"PASS","FAIL"),"FAIL")),"FAIL")</f>
        <v/>
      </c>
    </row>
    <row r="1239">
      <c r="B1239" s="8" t="inlineStr">
        <is>
          <t>Scenario A: contribution_margin_delta</t>
        </is>
      </c>
      <c r="C1239" s="43">
        <f>J1231</f>
        <v/>
      </c>
      <c r="D1239" s="44" t="n">
        <v>0</v>
      </c>
      <c r="F1239" s="15">
        <f>IFERROR(IF(ISNUMBER(D1239),IF(ISNUMBER(J1231),IF(ABS(J1231-D1239)&lt;=0.01,"PASS","FAIL"),"FAIL"),IF(NOT(ISNUMBER(J1231)),IF(J1231=D1239,"PASS","FAIL"),"FAIL")),"FAIL")</f>
        <v/>
      </c>
    </row>
    <row r="1240">
      <c r="B1240" s="8" t="inlineStr">
        <is>
          <t>Scenario A: contribution_margin_rate_delta</t>
        </is>
      </c>
      <c r="C1240" s="43">
        <f>J1232</f>
        <v/>
      </c>
      <c r="D1240" s="44" t="n">
        <v>0</v>
      </c>
      <c r="F1240" s="15">
        <f>IFERROR(IF(ISNUMBER(D1240),IF(ISNUMBER(J1232),IF(ABS(J1232-D1240)&lt;=0.01,"PASS","FAIL"),"FAIL"),IF(NOT(ISNUMBER(J1232)),IF(J1232=D1240,"PASS","FAIL"),"FAIL")),"FAIL")</f>
        <v/>
      </c>
    </row>
    <row r="1241">
      <c r="B1241" s="8" t="inlineStr">
        <is>
          <t>Scenario A: break_even_quantity_delta</t>
        </is>
      </c>
      <c r="C1241" s="43">
        <f>J1233</f>
        <v/>
      </c>
      <c r="D1241" s="44" t="n">
        <v>0</v>
      </c>
      <c r="F1241" s="15">
        <f>IFERROR(IF(ISNUMBER(D1241),IF(ISNUMBER(J1233),IF(ABS(J1233-D1241)&lt;=0.01,"PASS","FAIL"),"FAIL"),IF(NOT(ISNUMBER(J1233)),IF(J1233=D1241,"PASS","FAIL"),"FAIL")),"FAIL")</f>
        <v/>
      </c>
    </row>
    <row r="1242">
      <c r="B1242" s="8" t="inlineStr">
        <is>
          <t>Scenario B: scenario_status</t>
        </is>
      </c>
      <c r="C1242" s="16">
        <f>K1219</f>
        <v/>
      </c>
      <c r="D1242" s="38" t="inlineStr">
        <is>
          <t>ERROR</t>
        </is>
      </c>
      <c r="F1242" s="15">
        <f>IF(K1219=D1242,"PASS","FAIL")</f>
        <v/>
      </c>
    </row>
    <row r="1243">
      <c r="B1243" s="8" t="inlineStr">
        <is>
          <t>Scenario B: contribution_margin</t>
        </is>
      </c>
      <c r="C1243" s="25">
        <f>K1200</f>
        <v/>
      </c>
      <c r="D1243" s="42" t="n">
        <v>500</v>
      </c>
      <c r="E1243" s="26">
        <f>IF(ISNUMBER(D1243),IF(ISNUMBER(K1200),ABS(K1200-D1243),"N/A"),"N/A")</f>
        <v/>
      </c>
      <c r="F1243" s="15">
        <f>IFERROR(IF(ISNUMBER(D1243),IF(ISNUMBER(K1200),IF(ABS(K1200-D1243)&lt;=0.01,"PASS","FAIL"),"FAIL"),IF(NOT(ISNUMBER(K1200)),IF(K1200=D1243,"PASS","FAIL"),"FAIL")),"FAIL")</f>
        <v/>
      </c>
    </row>
    <row r="1244">
      <c r="B1244" s="8" t="inlineStr">
        <is>
          <t>Scenario B: break_even_quantity_exact</t>
        </is>
      </c>
      <c r="C1244" s="25">
        <f>K1217</f>
        <v/>
      </c>
      <c r="D1244" s="38" t="inlineStr">
        <is>
          <t>ERROR</t>
        </is>
      </c>
      <c r="E1244" s="26">
        <f>IF(ISNUMBER(D1244),IF(ISNUMBER(K1217),ABS(K1217-D1244),"N/A"),"N/A")</f>
        <v/>
      </c>
      <c r="F1244" s="15">
        <f>IFERROR(IF(ISNUMBER(D1244),IF(ISNUMBER(K1217),IF(ABS(K1217-D1244)&lt;=0.01,"PASS","FAIL"),"FAIL"),IF(NOT(ISNUMBER(K1217)),IF(K1217=D1244,"PASS","FAIL"),"FAIL")),"FAIL")</f>
        <v/>
      </c>
    </row>
    <row r="1245">
      <c r="B1245" s="8" t="inlineStr">
        <is>
          <t>Scenario B: net_sales_ex_vat_delta</t>
        </is>
      </c>
      <c r="C1245" s="43">
        <f>K1230</f>
        <v/>
      </c>
      <c r="D1245" s="44" t="n">
        <v>0</v>
      </c>
      <c r="F1245" s="15">
        <f>IFERROR(IF(ISNUMBER(D1245),IF(ISNUMBER(K1230),IF(ABS(K1230-D1245)&lt;=0.01,"PASS","FAIL"),"FAIL"),IF(NOT(ISNUMBER(K1230)),IF(K1230=D1245,"PASS","FAIL"),"FAIL")),"FAIL")</f>
        <v/>
      </c>
    </row>
    <row r="1246">
      <c r="B1246" s="8" t="inlineStr">
        <is>
          <t>Scenario B: contribution_margin_delta</t>
        </is>
      </c>
      <c r="C1246" s="43">
        <f>K1231</f>
        <v/>
      </c>
      <c r="D1246" s="44" t="n">
        <v>0</v>
      </c>
      <c r="F1246" s="15">
        <f>IFERROR(IF(ISNUMBER(D1246),IF(ISNUMBER(K1231),IF(ABS(K1231-D1246)&lt;=0.01,"PASS","FAIL"),"FAIL"),IF(NOT(ISNUMBER(K1231)),IF(K1231=D1246,"PASS","FAIL"),"FAIL")),"FAIL")</f>
        <v/>
      </c>
    </row>
    <row r="1247">
      <c r="B1247" s="8" t="inlineStr">
        <is>
          <t>Scenario B: contribution_margin_rate_delta</t>
        </is>
      </c>
      <c r="C1247" s="43">
        <f>K1232</f>
        <v/>
      </c>
      <c r="D1247" s="44" t="n">
        <v>0</v>
      </c>
      <c r="F1247" s="15">
        <f>IFERROR(IF(ISNUMBER(D1247),IF(ISNUMBER(K1232),IF(ABS(K1232-D1247)&lt;=0.01,"PASS","FAIL"),"FAIL"),IF(NOT(ISNUMBER(K1232)),IF(K1232=D1247,"PASS","FAIL"),"FAIL")),"FAIL")</f>
        <v/>
      </c>
    </row>
    <row r="1248">
      <c r="B1248" s="8" t="inlineStr">
        <is>
          <t>Scenario B: break_even_quantity_delta</t>
        </is>
      </c>
      <c r="C1248" s="43">
        <f>K1233</f>
        <v/>
      </c>
      <c r="D1248" s="38" t="inlineStr">
        <is>
          <t>ERROR</t>
        </is>
      </c>
      <c r="F1248" s="15">
        <f>IFERROR(IF(ISNUMBER(D1248),IF(ISNUMBER(K1233),IF(ABS(K1233-D1248)&lt;=0.01,"PASS","FAIL"),"FAIL"),IF(NOT(ISNUMBER(K1233)),IF(K1233=D1248,"PASS","FAIL"),"FAIL")),"FAIL")</f>
        <v/>
      </c>
    </row>
    <row r="1250" ht="20" customHeight="1">
      <c r="B1250" s="2" t="inlineStr">
        <is>
          <t>TC16. BEP NOT_APPLICABLE (CMu=0)</t>
        </is>
      </c>
      <c r="C1250" s="7" t="n"/>
      <c r="D1250" s="7" t="n"/>
      <c r="E1250" s="7" t="n"/>
      <c r="F1250" s="7" t="n"/>
    </row>
    <row r="1251">
      <c r="B1251" s="4" t="inlineStr">
        <is>
          <t>Check</t>
        </is>
      </c>
      <c r="C1251" s="4" t="inlineStr">
        <is>
          <t>Excel Result</t>
        </is>
      </c>
      <c r="D1251" s="4" t="inlineStr">
        <is>
          <t>Python Reference</t>
        </is>
      </c>
      <c r="E1251" s="4" t="inlineStr">
        <is>
          <t>Difference</t>
        </is>
      </c>
      <c r="F1251" s="4" t="inlineStr">
        <is>
          <t>PASS / FAIL</t>
        </is>
      </c>
    </row>
    <row r="1252">
      <c r="I1252" t="n">
        <v>1000</v>
      </c>
    </row>
    <row r="1253">
      <c r="I1253" t="b">
        <v>0</v>
      </c>
    </row>
    <row r="1254">
      <c r="I1254" t="n">
        <v>0.1</v>
      </c>
    </row>
    <row r="1255">
      <c r="I1255" t="n">
        <v>1000</v>
      </c>
    </row>
    <row r="1256">
      <c r="I1256" t="n">
        <v>0</v>
      </c>
    </row>
    <row r="1257">
      <c r="I1257" t="n">
        <v>400</v>
      </c>
    </row>
    <row r="1258">
      <c r="I1258" t="n">
        <v>100</v>
      </c>
    </row>
    <row r="1259">
      <c r="I1259" t="n">
        <v>0</v>
      </c>
    </row>
    <row r="1260">
      <c r="I1260" t="n">
        <v>0</v>
      </c>
    </row>
    <row r="1261">
      <c r="I1261" t="n">
        <v>50000</v>
      </c>
    </row>
    <row r="1262">
      <c r="I1262" t="n">
        <v>0.3</v>
      </c>
    </row>
    <row r="1263">
      <c r="I1263" t="inlineStr">
        <is>
          <t>A</t>
        </is>
      </c>
      <c r="J1263" t="inlineStr">
        <is>
          <t>A</t>
        </is>
      </c>
      <c r="K1263" t="inlineStr">
        <is>
          <t>B</t>
        </is>
      </c>
    </row>
    <row r="1264">
      <c r="J1264" t="inlineStr">
        <is>
          <t>inherit</t>
        </is>
      </c>
      <c r="K1264" t="inlineStr">
        <is>
          <t>value</t>
        </is>
      </c>
    </row>
    <row r="1265">
      <c r="K1265" t="n">
        <v>500</v>
      </c>
    </row>
    <row r="1266">
      <c r="J1266" t="inlineStr">
        <is>
          <t>inherit</t>
        </is>
      </c>
      <c r="K1266" t="inlineStr">
        <is>
          <t>inherit</t>
        </is>
      </c>
    </row>
    <row r="1267"/>
    <row r="1268">
      <c r="J1268" t="inlineStr">
        <is>
          <t>inherit</t>
        </is>
      </c>
      <c r="K1268" t="inlineStr">
        <is>
          <t>inherit</t>
        </is>
      </c>
    </row>
    <row r="1269"/>
    <row r="1270">
      <c r="J1270" t="inlineStr">
        <is>
          <t>inherit</t>
        </is>
      </c>
      <c r="K1270" t="inlineStr">
        <is>
          <t>inherit</t>
        </is>
      </c>
    </row>
    <row r="1271"/>
    <row r="1272">
      <c r="J1272" t="inlineStr">
        <is>
          <t>inherit</t>
        </is>
      </c>
      <c r="K1272" t="inlineStr">
        <is>
          <t>inherit</t>
        </is>
      </c>
    </row>
    <row r="1273"/>
    <row r="1274">
      <c r="J1274" t="inlineStr">
        <is>
          <t>inherit</t>
        </is>
      </c>
      <c r="K1274" t="inlineStr">
        <is>
          <t>inherit</t>
        </is>
      </c>
    </row>
    <row r="1275"/>
    <row r="1276">
      <c r="J1276" t="inlineStr">
        <is>
          <t>inherit</t>
        </is>
      </c>
      <c r="K1276" t="inlineStr">
        <is>
          <t>inherit</t>
        </is>
      </c>
    </row>
    <row r="1277"/>
    <row r="1278">
      <c r="J1278" t="inlineStr">
        <is>
          <t>inherit</t>
        </is>
      </c>
      <c r="K1278" t="inlineStr">
        <is>
          <t>inherit</t>
        </is>
      </c>
    </row>
    <row r="1279"/>
    <row r="1280">
      <c r="J1280" t="inlineStr">
        <is>
          <t>inherit</t>
        </is>
      </c>
      <c r="K1280" t="inlineStr">
        <is>
          <t>inherit</t>
        </is>
      </c>
    </row>
    <row r="1281"/>
    <row r="1282">
      <c r="J1282">
        <f>IFERROR(IF(NOT(ISNUMBER(J1303)),"UNKNOWN",IF(J1304="UNKNOWN","UNKNOWN",IF(J1304=FALSE,J1303,IF(NOT(ISNUMBER(J1305)),"UNKNOWN",J1303/(1+J1305))))),"ERROR")</f>
        <v/>
      </c>
      <c r="K1282">
        <f>IFERROR(IF(NOT(ISNUMBER(K1303)),"UNKNOWN",IF(K1304="UNKNOWN","UNKNOWN",IF(K1304=FALSE,K1303,IF(NOT(ISNUMBER(K1305)),"UNKNOWN",K1303/(1+K1305))))),"ERROR")</f>
        <v/>
      </c>
    </row>
    <row r="1283">
      <c r="J1283">
        <f>IFERROR(IF(J1282="ERROR","ERROR",IF(OR(NOT(ISNUMBER(J1282)),NOT(ISNUMBER(J1309))),"UNKNOWN",IF(J1311&gt;0,IF(J1293="ERROR","ERROR",IF(NOT(ISNUMBER(J1293)),"UNKNOWN",J1282-J1309-$I$1258-$I$1259*J1282-J1311*J1293)),J1282-J1309-$I$1258-$I$1259*J1282))),"ERROR")</f>
        <v/>
      </c>
      <c r="K1283">
        <f>IFERROR(IF(K1282="ERROR","ERROR",IF(OR(NOT(ISNUMBER(K1282)),NOT(ISNUMBER(K1309))),"UNKNOWN",IF(K1311&gt;0,IF(K1293="ERROR","ERROR",IF(NOT(ISNUMBER(K1293)),"UNKNOWN",K1282-K1309-$I$1258-$I$1259*K1282-K1311*K1293)),K1282-K1309-$I$1258-$I$1259*K1282))),"ERROR")</f>
        <v/>
      </c>
    </row>
    <row r="1284">
      <c r="J1284">
        <f>IFERROR(IF(J1283="ERROR","ERROR",IF(NOT(ISNUMBER(J1283)),"UNKNOWN",IF(J1282=0,"ERROR",J1283/J1282))),"ERROR")</f>
        <v/>
      </c>
      <c r="K1284">
        <f>IFERROR(IF(K1283="ERROR","ERROR",IF(NOT(ISNUMBER(K1283)),"UNKNOWN",IF(K1282=0,"ERROR",K1283/K1282))),"ERROR")</f>
        <v/>
      </c>
    </row>
    <row r="1285">
      <c r="J1285">
        <f>IF(OR(J1282="ERROR",J1283="ERROR",J1284="ERROR"),"ERROR",IF(OR(NOT(ISNUMBER(J1282)),NOT(ISNUMBER(J1283)),NOT(ISNUMBER(J1284))),"UNKNOWN","OK"))</f>
        <v/>
      </c>
      <c r="K1285">
        <f>IF(OR(K1282="ERROR",K1283="ERROR",K1284="ERROR"),"ERROR",IF(OR(NOT(ISNUMBER(K1282)),NOT(ISNUMBER(K1283)),NOT(ISNUMBER(K1284))),"UNKNOWN","OK"))</f>
        <v/>
      </c>
    </row>
    <row r="1286">
      <c r="J1286">
        <f>IFERROR(IF(NOT(ISNUMBER(J1309)),J1309,J1309+$I$1258),"ERROR")</f>
        <v/>
      </c>
      <c r="K1286">
        <f>IFERROR(IF(NOT(ISNUMBER(K1309)),K1309,K1309+$I$1258),"ERROR")</f>
        <v/>
      </c>
    </row>
    <row r="1287">
      <c r="J1287">
        <f>IFERROR(IF(NOT(ISNUMBER(J1308)),"UNKNOWN",IF(OR(J1308&lt;0,J1308&gt;=1),"ERROR",IF(J1311=0,IF(1-J1308-$I$1259&lt;=0,"ERROR",1-J1308-$I$1259),IF(NOT(ISNUMBER(J1305)),"UNKNOWN",IF(1-J1308-$I$1259-J1311*(1+J1305)&lt;=0,"ERROR",1-J1308-$I$1259-J1311*(1+J1305)))))),"ERROR")</f>
        <v/>
      </c>
      <c r="K1287">
        <f>IFERROR(IF(NOT(ISNUMBER(K1308)),"UNKNOWN",IF(OR(K1308&lt;0,K1308&gt;=1),"ERROR",IF(K1311=0,IF(1-K1308-$I$1259&lt;=0,"ERROR",1-K1308-$I$1259),IF(NOT(ISNUMBER(K1305)),"UNKNOWN",IF(1-K1308-$I$1259-K1311*(1+K1305)&lt;=0,"ERROR",1-K1308-$I$1259-K1311*(1+K1305)))))),"ERROR")</f>
        <v/>
      </c>
    </row>
    <row r="1288">
      <c r="J1288">
        <f>IFERROR(IF(NOT(ISNUMBER(J1286)),J1286,IF(NOT(ISNUMBER(J1287)),J1287,J1286/J1287)),"ERROR")</f>
        <v/>
      </c>
      <c r="K1288">
        <f>IFERROR(IF(NOT(ISNUMBER(K1286)),K1286,IF(NOT(ISNUMBER(K1287)),K1287,K1286/K1287)),"ERROR")</f>
        <v/>
      </c>
    </row>
    <row r="1289">
      <c r="J1289">
        <f>IFERROR(IF(NOT(ISNUMBER(J1288)),J1288,IF(NOT(ISNUMBER(J1305)),"UNKNOWN",J1288*(1+J1305))),"ERROR")</f>
        <v/>
      </c>
      <c r="K1289">
        <f>IFERROR(IF(NOT(ISNUMBER(K1288)),K1288,IF(NOT(ISNUMBER(K1305)),"UNKNOWN",K1288*(1+K1305))),"ERROR")</f>
        <v/>
      </c>
    </row>
    <row r="1290">
      <c r="J1290">
        <f>IFERROR(IF(J1304="UNKNOWN","UNKNOWN",IF(J1304=FALSE,J1288,J1289)),"ERROR")</f>
        <v/>
      </c>
      <c r="K1290">
        <f>IFERROR(IF(K1304="UNKNOWN","UNKNOWN",IF(K1304=FALSE,K1288,K1289)),"ERROR")</f>
        <v/>
      </c>
    </row>
    <row r="1291">
      <c r="J1291">
        <f>IFERROR(IF(NOT(ISNUMBER(J1290)),J1290,IF(NOT(ISNUMBER(J1307)),"UNKNOWN",IF(OR(J1307&lt;0,J1307&gt;=1),"ERROR",IF(J1307=0,J1290,J1290/(1-J1307))))),"ERROR")</f>
        <v/>
      </c>
      <c r="K1291">
        <f>IFERROR(IF(NOT(ISNUMBER(K1290)),K1290,IF(NOT(ISNUMBER(K1307)),"UNKNOWN",IF(OR(K1307&lt;0,K1307&gt;=1),"ERROR",IF(K1307=0,K1290,K1290/(1-K1307))))),"ERROR")</f>
        <v/>
      </c>
    </row>
    <row r="1292">
      <c r="J1292">
        <f>IF(OR(J1290="ERROR",J1291="ERROR"),"ERROR",IF(OR(NOT(ISNUMBER(J1290)),NOT(ISNUMBER(J1291))),"UNKNOWN","OK"))</f>
        <v/>
      </c>
      <c r="K1292">
        <f>IF(OR(K1290="ERROR",K1291="ERROR"),"ERROR",IF(OR(NOT(ISNUMBER(K1290)),NOT(ISNUMBER(K1291))),"UNKNOWN","OK"))</f>
        <v/>
      </c>
    </row>
    <row r="1293">
      <c r="J1293">
        <f>IFERROR(IF(NOT(ISNUMBER(J1303)),"UNKNOWN",IF(J1304="UNKNOWN","UNKNOWN",IF(J1304=TRUE,J1303,IF(NOT(ISNUMBER(J1305)),"UNKNOWN",J1303*(1+J1305))))),"ERROR")</f>
        <v/>
      </c>
      <c r="K1293">
        <f>IFERROR(IF(NOT(ISNUMBER(K1303)),"UNKNOWN",IF(K1304="UNKNOWN","UNKNOWN",IF(K1304=TRUE,K1303,IF(NOT(ISNUMBER(K1305)),"UNKNOWN",K1303*(1+K1305))))),"ERROR")</f>
        <v/>
      </c>
    </row>
    <row r="1294">
      <c r="J1294">
        <f>IFERROR(IF(NOT(ISNUMBER(J1306)),"UNKNOWN",IF(J1304="UNKNOWN","UNKNOWN",IF(J1304=FALSE,J1306,IF(NOT(ISNUMBER(J1305)),"UNKNOWN",J1306/(1+J1305))))),"ERROR")</f>
        <v/>
      </c>
      <c r="K1294">
        <f>IFERROR(IF(NOT(ISNUMBER(K1306)),"UNKNOWN",IF(K1304="UNKNOWN","UNKNOWN",IF(K1304=FALSE,K1306,IF(NOT(ISNUMBER(K1305)),"UNKNOWN",K1306/(1+K1305))))),"ERROR")</f>
        <v/>
      </c>
    </row>
    <row r="1295">
      <c r="J1295">
        <f>IFERROR(IF(NOT(ISNUMBER(J1306)),"UNKNOWN",IF(J1304="UNKNOWN","UNKNOWN",IF(J1304=TRUE,J1306,IF(NOT(ISNUMBER(J1305)),"UNKNOWN",J1306*(1+J1305))))),"ERROR")</f>
        <v/>
      </c>
      <c r="K1295">
        <f>IFERROR(IF(NOT(ISNUMBER(K1306)),"UNKNOWN",IF(K1304="UNKNOWN","UNKNOWN",IF(K1304=TRUE,K1306,IF(NOT(ISNUMBER(K1305)),"UNKNOWN",K1306*(1+K1305))))),"ERROR")</f>
        <v/>
      </c>
    </row>
    <row r="1296">
      <c r="J1296">
        <f>IFERROR(IF(J1294="ERROR","ERROR",IF(NOT(ISNUMBER(J1308)),"UNKNOWN",IF(OR(J1308&lt;0,J1308&gt;=1),"ERROR",IF(NOT(ISNUMBER(J1294)),"UNKNOWN",IF(J1311&gt;0,IF(J1295="ERROR","ERROR",IF(NOT(ISNUMBER(J1295)),"UNKNOWN",J1294*(1-J1308-$I$1259)-J1311*J1295-$I$1258)),J1294*(1-J1308-$I$1259)-$I$1258))))),"ERROR")</f>
        <v/>
      </c>
      <c r="K1296">
        <f>IFERROR(IF(K1294="ERROR","ERROR",IF(NOT(ISNUMBER(K1308)),"UNKNOWN",IF(OR(K1308&lt;0,K1308&gt;=1),"ERROR",IF(NOT(ISNUMBER(K1294)),"UNKNOWN",IF(K1311&gt;0,IF(K1295="ERROR","ERROR",IF(NOT(ISNUMBER(K1295)),"UNKNOWN",K1294*(1-K1308-$I$1259)-K1311*K1295-$I$1258)),K1294*(1-K1308-$I$1259)-$I$1258))))),"ERROR")</f>
        <v/>
      </c>
    </row>
    <row r="1297">
      <c r="J1297">
        <f>IFERROR(IF(OR(J1296="ERROR",J1309="ERROR"),"ERROR",IF(OR(NOT(ISNUMBER(J1296)),NOT(ISNUMBER(J1309))),"UNKNOWN",J1296-J1309)),"ERROR")</f>
        <v/>
      </c>
      <c r="K1297">
        <f>IFERROR(IF(OR(K1296="ERROR",K1309="ERROR"),"ERROR",IF(OR(NOT(ISNUMBER(K1296)),NOT(ISNUMBER(K1309))),"UNKNOWN",K1296-K1309)),"ERROR")</f>
        <v/>
      </c>
    </row>
    <row r="1298">
      <c r="J1298">
        <f>IF(OR(J1296="ERROR",J1309="ERROR",J1297="ERROR"),"ERROR",IF(OR(NOT(ISNUMBER(J1296)),NOT(ISNUMBER(J1309)),NOT(ISNUMBER(J1297))),"UNKNOWN","OK"))</f>
        <v/>
      </c>
      <c r="K1298">
        <f>IF(OR(K1296="ERROR",K1309="ERROR",K1297="ERROR"),"ERROR",IF(OR(NOT(ISNUMBER(K1296)),NOT(ISNUMBER(K1309)),NOT(ISNUMBER(K1297))),"UNKNOWN","OK"))</f>
        <v/>
      </c>
    </row>
    <row r="1299">
      <c r="J1299">
        <f>IFERROR(IF(NOT(ISNUMBER(J1310)),J1310,IF(J1310&lt;0,"ERROR",J1310)),"ERROR")</f>
        <v/>
      </c>
      <c r="K1299">
        <f>IFERROR(IF(NOT(ISNUMBER(K1310)),K1310,IF(K1310&lt;0,"ERROR",K1310)),"ERROR")</f>
        <v/>
      </c>
    </row>
    <row r="1300">
      <c r="J1300">
        <f>IFERROR(IF(OR(J1283="ERROR",J1299="ERROR"),"ERROR",IF(OR(NOT(ISNUMBER(J1283)),NOT(ISNUMBER(J1299))),"UNKNOWN",IF(J1283&lt;=0,"NOT_APPLICABLE",J1299/J1283))),"ERROR")</f>
        <v/>
      </c>
      <c r="K1300">
        <f>IFERROR(IF(OR(K1283="ERROR",K1299="ERROR"),"ERROR",IF(OR(NOT(ISNUMBER(K1283)),NOT(ISNUMBER(K1299))),"UNKNOWN",IF(K1283&lt;=0,"NOT_APPLICABLE",K1299/K1283))),"ERROR")</f>
        <v/>
      </c>
    </row>
    <row r="1301">
      <c r="J1301">
        <f>IF(OR(J1283="ERROR",J1299="ERROR",J1300="ERROR"),"ERROR",IF(OR(NOT(ISNUMBER(J1283)),NOT(ISNUMBER(J1299)),AND(NOT(ISNUMBER(J1300)),J1300&lt;&gt;"NOT_APPLICABLE")),"UNKNOWN","OK"))</f>
        <v/>
      </c>
      <c r="K1301">
        <f>IF(OR(K1283="ERROR",K1299="ERROR",K1300="ERROR"),"ERROR",IF(OR(NOT(ISNUMBER(K1283)),NOT(ISNUMBER(K1299)),AND(NOT(ISNUMBER(K1300)),K1300&lt;&gt;"NOT_APPLICABLE")),"UNKNOWN","OK"))</f>
        <v/>
      </c>
    </row>
    <row r="1302">
      <c r="J1302">
        <f>IF(OR(J1285="ERROR",J1292="ERROR",J1298="ERROR",J1301="ERROR"),"ERROR",IF(OR(J1285="UNKNOWN",J1292="UNKNOWN",J1298="UNKNOWN",J1301="UNKNOWN"),"INCOMPLETE","OK"))</f>
        <v/>
      </c>
      <c r="K1302">
        <f>IF(OR(K1285="ERROR",K1292="ERROR",K1298="ERROR",K1301="ERROR"),"ERROR",IF(OR(K1285="UNKNOWN",K1292="UNKNOWN",K1298="UNKNOWN",K1301="UNKNOWN"),"INCOMPLETE","OK"))</f>
        <v/>
      </c>
    </row>
    <row r="1303">
      <c r="J1303">
        <f>IF($J$1264="inherit",$I$1252,IF($J$1264="null","UNKNOWN",$J$1265))</f>
        <v/>
      </c>
      <c r="K1303">
        <f>IF($K$1264="inherit",$I$1252,IF($K$1264="null","UNKNOWN",$K$1265))</f>
        <v/>
      </c>
    </row>
    <row r="1304">
      <c r="J1304">
        <f>IF($J$1266="inherit",$I$1253,IF($J$1266="null","UNKNOWN",$J$1267))</f>
        <v/>
      </c>
      <c r="K1304">
        <f>IF($K$1266="inherit",$I$1253,IF($K$1266="null","UNKNOWN",$K$1267))</f>
        <v/>
      </c>
    </row>
    <row r="1305">
      <c r="J1305">
        <f>IF($J$1268="inherit",$I$1254,IF($J$1268="null","UNKNOWN",$J$1269))</f>
        <v/>
      </c>
      <c r="K1305">
        <f>IF($K$1268="inherit",$I$1254,IF($K$1268="null","UNKNOWN",$K$1269))</f>
        <v/>
      </c>
    </row>
    <row r="1306">
      <c r="J1306">
        <f>IF($J$1270="inherit",$I$1255,IF($J$1270="null","UNKNOWN",$J$1271))</f>
        <v/>
      </c>
      <c r="K1306">
        <f>IF($K$1270="inherit",$I$1255,IF($K$1270="null","UNKNOWN",$K$1271))</f>
        <v/>
      </c>
    </row>
    <row r="1307">
      <c r="J1307">
        <f>IF($J$1272="inherit",$I$1256,IF($J$1272="null","UNKNOWN",$J$1273))</f>
        <v/>
      </c>
      <c r="K1307">
        <f>IF($K$1272="inherit",$I$1256,IF($K$1272="null","UNKNOWN",$K$1273))</f>
        <v/>
      </c>
    </row>
    <row r="1308">
      <c r="J1308">
        <f>IF($J$1274="inherit",$I$1262,IF($J$1274="null","UNKNOWN",$J$1275))</f>
        <v/>
      </c>
      <c r="K1308">
        <f>IF($K$1274="inherit",$I$1262,IF($K$1274="null","UNKNOWN",$K$1275))</f>
        <v/>
      </c>
    </row>
    <row r="1309">
      <c r="J1309">
        <f>IF($J$1276="inherit",$I$1257,IF($J$1276="null","UNKNOWN",$J$1277))</f>
        <v/>
      </c>
      <c r="K1309">
        <f>IF($K$1276="inherit",$I$1257,IF($K$1276="null","UNKNOWN",$K$1277))</f>
        <v/>
      </c>
    </row>
    <row r="1310">
      <c r="J1310">
        <f>IF($J$1278="inherit",$I$1261,IF($J$1278="null","UNKNOWN",$J$1279))</f>
        <v/>
      </c>
      <c r="K1310">
        <f>IF($K$1278="inherit",$I$1261,IF($K$1278="null","UNKNOWN",$K$1279))</f>
        <v/>
      </c>
    </row>
    <row r="1311">
      <c r="J1311">
        <f>IF($J$1280="inherit",$I$1260,IF($J$1280="null","UNKNOWN",$J$1281))</f>
        <v/>
      </c>
      <c r="K1311">
        <f>IF($K$1280="inherit",$I$1260,IF($K$1280="null","UNKNOWN",$K$1281))</f>
        <v/>
      </c>
    </row>
    <row r="1312">
      <c r="I1312">
        <f>IFERROR(MATCH($I$1263,$J$1263:$K$1263,0),0)</f>
        <v/>
      </c>
    </row>
    <row r="1313">
      <c r="J1313">
        <f>IF(I1312=0,"ERROR",IF(OR($J$1282="ERROR",INDEX($J$1282:$K$1282,1,I1312)="ERROR"),"ERROR",IF(OR($J$1282="UNKNOWN",INDEX($J$1282:$K$1282,1,I1312)="UNKNOWN"),"UNKNOWN",IF(OR($J$1282="NOT_APPLICABLE",INDEX($J$1282:$K$1282,1,I1312)="NOT_APPLICABLE"),"NOT_APPLICABLE",$J$1282-INDEX($J$1282:$K$1282,1,I1312)))))</f>
        <v/>
      </c>
      <c r="K1313">
        <f>IF(I1312=0,"ERROR",IF(OR($K$1282="ERROR",INDEX($J$1282:$K$1282,1,I1312)="ERROR"),"ERROR",IF(OR($K$1282="UNKNOWN",INDEX($J$1282:$K$1282,1,I1312)="UNKNOWN"),"UNKNOWN",IF(OR($K$1282="NOT_APPLICABLE",INDEX($J$1282:$K$1282,1,I1312)="NOT_APPLICABLE"),"NOT_APPLICABLE",$K$1282-INDEX($J$1282:$K$1282,1,I1312)))))</f>
        <v/>
      </c>
    </row>
    <row r="1314">
      <c r="J1314">
        <f>IF(I1312=0,"ERROR",IF(OR($J$1283="ERROR",INDEX($J$1283:$K$1283,1,I1312)="ERROR"),"ERROR",IF(OR($J$1283="UNKNOWN",INDEX($J$1283:$K$1283,1,I1312)="UNKNOWN"),"UNKNOWN",IF(OR($J$1283="NOT_APPLICABLE",INDEX($J$1283:$K$1283,1,I1312)="NOT_APPLICABLE"),"NOT_APPLICABLE",$J$1283-INDEX($J$1283:$K$1283,1,I1312)))))</f>
        <v/>
      </c>
      <c r="K1314">
        <f>IF(I1312=0,"ERROR",IF(OR($K$1283="ERROR",INDEX($J$1283:$K$1283,1,I1312)="ERROR"),"ERROR",IF(OR($K$1283="UNKNOWN",INDEX($J$1283:$K$1283,1,I1312)="UNKNOWN"),"UNKNOWN",IF(OR($K$1283="NOT_APPLICABLE",INDEX($J$1283:$K$1283,1,I1312)="NOT_APPLICABLE"),"NOT_APPLICABLE",$K$1283-INDEX($J$1283:$K$1283,1,I1312)))))</f>
        <v/>
      </c>
    </row>
    <row r="1315">
      <c r="J1315">
        <f>IF(I1312=0,"ERROR",IF(OR($J$1284="ERROR",INDEX($J$1284:$K$1284,1,I1312)="ERROR"),"ERROR",IF(OR($J$1284="UNKNOWN",INDEX($J$1284:$K$1284,1,I1312)="UNKNOWN"),"UNKNOWN",IF(OR($J$1284="NOT_APPLICABLE",INDEX($J$1284:$K$1284,1,I1312)="NOT_APPLICABLE"),"NOT_APPLICABLE",$J$1284-INDEX($J$1284:$K$1284,1,I1312)))))</f>
        <v/>
      </c>
      <c r="K1315">
        <f>IF(I1312=0,"ERROR",IF(OR($K$1284="ERROR",INDEX($J$1284:$K$1284,1,I1312)="ERROR"),"ERROR",IF(OR($K$1284="UNKNOWN",INDEX($J$1284:$K$1284,1,I1312)="UNKNOWN"),"UNKNOWN",IF(OR($K$1284="NOT_APPLICABLE",INDEX($J$1284:$K$1284,1,I1312)="NOT_APPLICABLE"),"NOT_APPLICABLE",$K$1284-INDEX($J$1284:$K$1284,1,I1312)))))</f>
        <v/>
      </c>
    </row>
    <row r="1316">
      <c r="J1316">
        <f>IF(I1312=0,"ERROR",IF(OR($J$1300="ERROR",INDEX($J$1300:$K$1300,1,I1312)="ERROR"),"ERROR",IF(OR($J$1300="UNKNOWN",INDEX($J$1300:$K$1300,1,I1312)="UNKNOWN"),"UNKNOWN",IF(OR($J$1300="NOT_APPLICABLE",INDEX($J$1300:$K$1300,1,I1312)="NOT_APPLICABLE"),"NOT_APPLICABLE",$J$1300-INDEX($J$1300:$K$1300,1,I1312)))))</f>
        <v/>
      </c>
      <c r="K1316">
        <f>IF(I1312=0,"ERROR",IF(OR($K$1300="ERROR",INDEX($J$1300:$K$1300,1,I1312)="ERROR"),"ERROR",IF(OR($K$1300="UNKNOWN",INDEX($J$1300:$K$1300,1,I1312)="UNKNOWN"),"UNKNOWN",IF(OR($K$1300="NOT_APPLICABLE",INDEX($J$1300:$K$1300,1,I1312)="NOT_APPLICABLE"),"NOT_APPLICABLE",$K$1300-INDEX($J$1300:$K$1300,1,I1312)))))</f>
        <v/>
      </c>
    </row>
    <row r="1318">
      <c r="B1318" s="8" t="inlineStr">
        <is>
          <t>Scenario A: scenario_status</t>
        </is>
      </c>
      <c r="C1318" s="16">
        <f>J1302</f>
        <v/>
      </c>
      <c r="D1318" s="38" t="inlineStr">
        <is>
          <t>OK</t>
        </is>
      </c>
      <c r="F1318" s="15">
        <f>IF(J1302=D1318,"PASS","FAIL")</f>
        <v/>
      </c>
    </row>
    <row r="1319">
      <c r="B1319" s="8" t="inlineStr">
        <is>
          <t>Scenario A: contribution_margin</t>
        </is>
      </c>
      <c r="C1319" s="25">
        <f>J1283</f>
        <v/>
      </c>
      <c r="D1319" s="42" t="n">
        <v>500</v>
      </c>
      <c r="E1319" s="26">
        <f>IF(ISNUMBER(D1319),IF(ISNUMBER(J1283),ABS(J1283-D1319),"N/A"),"N/A")</f>
        <v/>
      </c>
      <c r="F1319" s="15">
        <f>IFERROR(IF(ISNUMBER(D1319),IF(ISNUMBER(J1283),IF(ABS(J1283-D1319)&lt;=0.01,"PASS","FAIL"),"FAIL"),IF(NOT(ISNUMBER(J1283)),IF(J1283=D1319,"PASS","FAIL"),"FAIL")),"FAIL")</f>
        <v/>
      </c>
    </row>
    <row r="1320">
      <c r="B1320" s="8" t="inlineStr">
        <is>
          <t>Scenario A: break_even_quantity_exact</t>
        </is>
      </c>
      <c r="C1320" s="25">
        <f>J1300</f>
        <v/>
      </c>
      <c r="D1320" s="42" t="n">
        <v>100</v>
      </c>
      <c r="E1320" s="26">
        <f>IF(ISNUMBER(D1320),IF(ISNUMBER(J1300),ABS(J1300-D1320),"N/A"),"N/A")</f>
        <v/>
      </c>
      <c r="F1320" s="15">
        <f>IFERROR(IF(ISNUMBER(D1320),IF(ISNUMBER(J1300),IF(ABS(J1300-D1320)&lt;=0.01,"PASS","FAIL"),"FAIL"),IF(NOT(ISNUMBER(J1300)),IF(J1300=D1320,"PASS","FAIL"),"FAIL")),"FAIL")</f>
        <v/>
      </c>
    </row>
    <row r="1321">
      <c r="B1321" s="8" t="inlineStr">
        <is>
          <t>Scenario A: net_sales_ex_vat_delta</t>
        </is>
      </c>
      <c r="C1321" s="43">
        <f>J1313</f>
        <v/>
      </c>
      <c r="D1321" s="44" t="n">
        <v>0</v>
      </c>
      <c r="F1321" s="15">
        <f>IFERROR(IF(ISNUMBER(D1321),IF(ISNUMBER(J1313),IF(ABS(J1313-D1321)&lt;=0.01,"PASS","FAIL"),"FAIL"),IF(NOT(ISNUMBER(J1313)),IF(J1313=D1321,"PASS","FAIL"),"FAIL")),"FAIL")</f>
        <v/>
      </c>
    </row>
    <row r="1322">
      <c r="B1322" s="8" t="inlineStr">
        <is>
          <t>Scenario A: contribution_margin_delta</t>
        </is>
      </c>
      <c r="C1322" s="43">
        <f>J1314</f>
        <v/>
      </c>
      <c r="D1322" s="44" t="n">
        <v>0</v>
      </c>
      <c r="F1322" s="15">
        <f>IFERROR(IF(ISNUMBER(D1322),IF(ISNUMBER(J1314),IF(ABS(J1314-D1322)&lt;=0.01,"PASS","FAIL"),"FAIL"),IF(NOT(ISNUMBER(J1314)),IF(J1314=D1322,"PASS","FAIL"),"FAIL")),"FAIL")</f>
        <v/>
      </c>
    </row>
    <row r="1323">
      <c r="B1323" s="8" t="inlineStr">
        <is>
          <t>Scenario A: contribution_margin_rate_delta</t>
        </is>
      </c>
      <c r="C1323" s="43">
        <f>J1315</f>
        <v/>
      </c>
      <c r="D1323" s="44" t="n">
        <v>0</v>
      </c>
      <c r="F1323" s="15">
        <f>IFERROR(IF(ISNUMBER(D1323),IF(ISNUMBER(J1315),IF(ABS(J1315-D1323)&lt;=0.01,"PASS","FAIL"),"FAIL"),IF(NOT(ISNUMBER(J1315)),IF(J1315=D1323,"PASS","FAIL"),"FAIL")),"FAIL")</f>
        <v/>
      </c>
    </row>
    <row r="1324">
      <c r="B1324" s="8" t="inlineStr">
        <is>
          <t>Scenario A: break_even_quantity_delta</t>
        </is>
      </c>
      <c r="C1324" s="43">
        <f>J1316</f>
        <v/>
      </c>
      <c r="D1324" s="44" t="n">
        <v>0</v>
      </c>
      <c r="F1324" s="15">
        <f>IFERROR(IF(ISNUMBER(D1324),IF(ISNUMBER(J1316),IF(ABS(J1316-D1324)&lt;=0.01,"PASS","FAIL"),"FAIL"),IF(NOT(ISNUMBER(J1316)),IF(J1316=D1324,"PASS","FAIL"),"FAIL")),"FAIL")</f>
        <v/>
      </c>
    </row>
    <row r="1325">
      <c r="B1325" s="8" t="inlineStr">
        <is>
          <t>Scenario B: scenario_status</t>
        </is>
      </c>
      <c r="C1325" s="16">
        <f>K1302</f>
        <v/>
      </c>
      <c r="D1325" s="38" t="inlineStr">
        <is>
          <t>OK</t>
        </is>
      </c>
      <c r="F1325" s="15">
        <f>IF(K1302=D1325,"PASS","FAIL")</f>
        <v/>
      </c>
    </row>
    <row r="1326">
      <c r="B1326" s="8" t="inlineStr">
        <is>
          <t>Scenario B: contribution_margin</t>
        </is>
      </c>
      <c r="C1326" s="25">
        <f>K1283</f>
        <v/>
      </c>
      <c r="D1326" s="42" t="n">
        <v>0</v>
      </c>
      <c r="E1326" s="26">
        <f>IF(ISNUMBER(D1326),IF(ISNUMBER(K1283),ABS(K1283-D1326),"N/A"),"N/A")</f>
        <v/>
      </c>
      <c r="F1326" s="15">
        <f>IFERROR(IF(ISNUMBER(D1326),IF(ISNUMBER(K1283),IF(ABS(K1283-D1326)&lt;=0.01,"PASS","FAIL"),"FAIL"),IF(NOT(ISNUMBER(K1283)),IF(K1283=D1326,"PASS","FAIL"),"FAIL")),"FAIL")</f>
        <v/>
      </c>
    </row>
    <row r="1327">
      <c r="B1327" s="8" t="inlineStr">
        <is>
          <t>Scenario B: break_even_quantity_exact</t>
        </is>
      </c>
      <c r="C1327" s="25">
        <f>K1300</f>
        <v/>
      </c>
      <c r="D1327" s="38" t="inlineStr">
        <is>
          <t>NOT_APPLICABLE</t>
        </is>
      </c>
      <c r="E1327" s="26">
        <f>IF(ISNUMBER(D1327),IF(ISNUMBER(K1300),ABS(K1300-D1327),"N/A"),"N/A")</f>
        <v/>
      </c>
      <c r="F1327" s="15">
        <f>IFERROR(IF(ISNUMBER(D1327),IF(ISNUMBER(K1300),IF(ABS(K1300-D1327)&lt;=0.01,"PASS","FAIL"),"FAIL"),IF(NOT(ISNUMBER(K1300)),IF(K1300=D1327,"PASS","FAIL"),"FAIL")),"FAIL")</f>
        <v/>
      </c>
    </row>
    <row r="1328">
      <c r="B1328" s="8" t="inlineStr">
        <is>
          <t>Scenario B: net_sales_ex_vat_delta</t>
        </is>
      </c>
      <c r="C1328" s="43">
        <f>K1313</f>
        <v/>
      </c>
      <c r="D1328" s="44" t="n">
        <v>-500</v>
      </c>
      <c r="F1328" s="15">
        <f>IFERROR(IF(ISNUMBER(D1328),IF(ISNUMBER(K1313),IF(ABS(K1313-D1328)&lt;=0.01,"PASS","FAIL"),"FAIL"),IF(NOT(ISNUMBER(K1313)),IF(K1313=D1328,"PASS","FAIL"),"FAIL")),"FAIL")</f>
        <v/>
      </c>
    </row>
    <row r="1329">
      <c r="B1329" s="8" t="inlineStr">
        <is>
          <t>Scenario B: contribution_margin_delta</t>
        </is>
      </c>
      <c r="C1329" s="43">
        <f>K1314</f>
        <v/>
      </c>
      <c r="D1329" s="44" t="n">
        <v>-500</v>
      </c>
      <c r="F1329" s="15">
        <f>IFERROR(IF(ISNUMBER(D1329),IF(ISNUMBER(K1314),IF(ABS(K1314-D1329)&lt;=0.01,"PASS","FAIL"),"FAIL"),IF(NOT(ISNUMBER(K1314)),IF(K1314=D1329,"PASS","FAIL"),"FAIL")),"FAIL")</f>
        <v/>
      </c>
    </row>
    <row r="1330">
      <c r="B1330" s="8" t="inlineStr">
        <is>
          <t>Scenario B: contribution_margin_rate_delta</t>
        </is>
      </c>
      <c r="C1330" s="43">
        <f>K1315</f>
        <v/>
      </c>
      <c r="D1330" s="44" t="n">
        <v>-0.5</v>
      </c>
      <c r="F1330" s="15">
        <f>IFERROR(IF(ISNUMBER(D1330),IF(ISNUMBER(K1315),IF(ABS(K1315-D1330)&lt;=0.01,"PASS","FAIL"),"FAIL"),IF(NOT(ISNUMBER(K1315)),IF(K1315=D1330,"PASS","FAIL"),"FAIL")),"FAIL")</f>
        <v/>
      </c>
    </row>
    <row r="1331">
      <c r="B1331" s="8" t="inlineStr">
        <is>
          <t>Scenario B: break_even_quantity_delta</t>
        </is>
      </c>
      <c r="C1331" s="43">
        <f>K1316</f>
        <v/>
      </c>
      <c r="D1331" s="38" t="inlineStr">
        <is>
          <t>NOT_APPLICABLE</t>
        </is>
      </c>
      <c r="F1331" s="15">
        <f>IFERROR(IF(ISNUMBER(D1331),IF(ISNUMBER(K1316),IF(ABS(K1316-D1331)&lt;=0.01,"PASS","FAIL"),"FAIL"),IF(NOT(ISNUMBER(K1316)),IF(K1316=D1331,"PASS","FAIL"),"FAIL")),"FAIL")</f>
        <v/>
      </c>
    </row>
    <row r="1333" ht="20" customHeight="1">
      <c r="B1333" s="2" t="inlineStr">
        <is>
          <t>TC17. Baseline change (recompute deltas)</t>
        </is>
      </c>
      <c r="C1333" s="7" t="n"/>
      <c r="D1333" s="7" t="n"/>
      <c r="E1333" s="7" t="n"/>
      <c r="F1333" s="7" t="n"/>
    </row>
    <row r="1334">
      <c r="B1334" s="4" t="inlineStr">
        <is>
          <t>Check</t>
        </is>
      </c>
      <c r="C1334" s="4" t="inlineStr">
        <is>
          <t>Excel Result</t>
        </is>
      </c>
      <c r="D1334" s="4" t="inlineStr">
        <is>
          <t>Python Reference</t>
        </is>
      </c>
      <c r="E1334" s="4" t="inlineStr">
        <is>
          <t>Difference</t>
        </is>
      </c>
      <c r="F1334" s="4" t="inlineStr">
        <is>
          <t>PASS / FAIL</t>
        </is>
      </c>
    </row>
    <row r="1335">
      <c r="I1335" t="n">
        <v>1000</v>
      </c>
    </row>
    <row r="1336">
      <c r="I1336" t="b">
        <v>0</v>
      </c>
    </row>
    <row r="1337">
      <c r="I1337" t="n">
        <v>0.1</v>
      </c>
    </row>
    <row r="1338">
      <c r="I1338" t="n">
        <v>1000</v>
      </c>
    </row>
    <row r="1339">
      <c r="I1339" t="n">
        <v>0</v>
      </c>
    </row>
    <row r="1340">
      <c r="I1340" t="n">
        <v>400</v>
      </c>
    </row>
    <row r="1341">
      <c r="I1341" t="n">
        <v>100</v>
      </c>
    </row>
    <row r="1342">
      <c r="I1342" t="n">
        <v>0</v>
      </c>
    </row>
    <row r="1343">
      <c r="I1343" t="n">
        <v>0</v>
      </c>
    </row>
    <row r="1344">
      <c r="I1344" t="n">
        <v>50000</v>
      </c>
    </row>
    <row r="1345">
      <c r="I1345" t="n">
        <v>0.3</v>
      </c>
    </row>
    <row r="1346">
      <c r="I1346" t="inlineStr">
        <is>
          <t>B</t>
        </is>
      </c>
      <c r="J1346" t="inlineStr">
        <is>
          <t>A</t>
        </is>
      </c>
      <c r="K1346" t="inlineStr">
        <is>
          <t>B</t>
        </is>
      </c>
    </row>
    <row r="1347">
      <c r="J1347" t="inlineStr">
        <is>
          <t>inherit</t>
        </is>
      </c>
      <c r="K1347" t="inlineStr">
        <is>
          <t>value</t>
        </is>
      </c>
    </row>
    <row r="1348">
      <c r="K1348" t="n">
        <v>1200</v>
      </c>
    </row>
    <row r="1349">
      <c r="J1349" t="inlineStr">
        <is>
          <t>inherit</t>
        </is>
      </c>
      <c r="K1349" t="inlineStr">
        <is>
          <t>inherit</t>
        </is>
      </c>
    </row>
    <row r="1350"/>
    <row r="1351">
      <c r="J1351" t="inlineStr">
        <is>
          <t>inherit</t>
        </is>
      </c>
      <c r="K1351" t="inlineStr">
        <is>
          <t>inherit</t>
        </is>
      </c>
    </row>
    <row r="1352"/>
    <row r="1353">
      <c r="J1353" t="inlineStr">
        <is>
          <t>inherit</t>
        </is>
      </c>
      <c r="K1353" t="inlineStr">
        <is>
          <t>inherit</t>
        </is>
      </c>
    </row>
    <row r="1354"/>
    <row r="1355">
      <c r="J1355" t="inlineStr">
        <is>
          <t>inherit</t>
        </is>
      </c>
      <c r="K1355" t="inlineStr">
        <is>
          <t>inherit</t>
        </is>
      </c>
    </row>
    <row r="1356"/>
    <row r="1357">
      <c r="J1357" t="inlineStr">
        <is>
          <t>inherit</t>
        </is>
      </c>
      <c r="K1357" t="inlineStr">
        <is>
          <t>inherit</t>
        </is>
      </c>
    </row>
    <row r="1358"/>
    <row r="1359">
      <c r="J1359" t="inlineStr">
        <is>
          <t>inherit</t>
        </is>
      </c>
      <c r="K1359" t="inlineStr">
        <is>
          <t>inherit</t>
        </is>
      </c>
    </row>
    <row r="1360"/>
    <row r="1361">
      <c r="J1361" t="inlineStr">
        <is>
          <t>inherit</t>
        </is>
      </c>
      <c r="K1361" t="inlineStr">
        <is>
          <t>inherit</t>
        </is>
      </c>
    </row>
    <row r="1362"/>
    <row r="1363">
      <c r="J1363" t="inlineStr">
        <is>
          <t>inherit</t>
        </is>
      </c>
      <c r="K1363" t="inlineStr">
        <is>
          <t>inherit</t>
        </is>
      </c>
    </row>
    <row r="1364"/>
    <row r="1365">
      <c r="J1365">
        <f>IFERROR(IF(NOT(ISNUMBER(J1386)),"UNKNOWN",IF(J1387="UNKNOWN","UNKNOWN",IF(J1387=FALSE,J1386,IF(NOT(ISNUMBER(J1388)),"UNKNOWN",J1386/(1+J1388))))),"ERROR")</f>
        <v/>
      </c>
      <c r="K1365">
        <f>IFERROR(IF(NOT(ISNUMBER(K1386)),"UNKNOWN",IF(K1387="UNKNOWN","UNKNOWN",IF(K1387=FALSE,K1386,IF(NOT(ISNUMBER(K1388)),"UNKNOWN",K1386/(1+K1388))))),"ERROR")</f>
        <v/>
      </c>
    </row>
    <row r="1366">
      <c r="J1366">
        <f>IFERROR(IF(J1365="ERROR","ERROR",IF(OR(NOT(ISNUMBER(J1365)),NOT(ISNUMBER(J1392))),"UNKNOWN",IF(J1394&gt;0,IF(J1376="ERROR","ERROR",IF(NOT(ISNUMBER(J1376)),"UNKNOWN",J1365-J1392-$I$1341-$I$1342*J1365-J1394*J1376)),J1365-J1392-$I$1341-$I$1342*J1365))),"ERROR")</f>
        <v/>
      </c>
      <c r="K1366">
        <f>IFERROR(IF(K1365="ERROR","ERROR",IF(OR(NOT(ISNUMBER(K1365)),NOT(ISNUMBER(K1392))),"UNKNOWN",IF(K1394&gt;0,IF(K1376="ERROR","ERROR",IF(NOT(ISNUMBER(K1376)),"UNKNOWN",K1365-K1392-$I$1341-$I$1342*K1365-K1394*K1376)),K1365-K1392-$I$1341-$I$1342*K1365))),"ERROR")</f>
        <v/>
      </c>
    </row>
    <row r="1367">
      <c r="J1367">
        <f>IFERROR(IF(J1366="ERROR","ERROR",IF(NOT(ISNUMBER(J1366)),"UNKNOWN",IF(J1365=0,"ERROR",J1366/J1365))),"ERROR")</f>
        <v/>
      </c>
      <c r="K1367">
        <f>IFERROR(IF(K1366="ERROR","ERROR",IF(NOT(ISNUMBER(K1366)),"UNKNOWN",IF(K1365=0,"ERROR",K1366/K1365))),"ERROR")</f>
        <v/>
      </c>
    </row>
    <row r="1368">
      <c r="J1368">
        <f>IF(OR(J1365="ERROR",J1366="ERROR",J1367="ERROR"),"ERROR",IF(OR(NOT(ISNUMBER(J1365)),NOT(ISNUMBER(J1366)),NOT(ISNUMBER(J1367))),"UNKNOWN","OK"))</f>
        <v/>
      </c>
      <c r="K1368">
        <f>IF(OR(K1365="ERROR",K1366="ERROR",K1367="ERROR"),"ERROR",IF(OR(NOT(ISNUMBER(K1365)),NOT(ISNUMBER(K1366)),NOT(ISNUMBER(K1367))),"UNKNOWN","OK"))</f>
        <v/>
      </c>
    </row>
    <row r="1369">
      <c r="J1369">
        <f>IFERROR(IF(NOT(ISNUMBER(J1392)),J1392,J1392+$I$1341),"ERROR")</f>
        <v/>
      </c>
      <c r="K1369">
        <f>IFERROR(IF(NOT(ISNUMBER(K1392)),K1392,K1392+$I$1341),"ERROR")</f>
        <v/>
      </c>
    </row>
    <row r="1370">
      <c r="J1370">
        <f>IFERROR(IF(NOT(ISNUMBER(J1391)),"UNKNOWN",IF(OR(J1391&lt;0,J1391&gt;=1),"ERROR",IF(J1394=0,IF(1-J1391-$I$1342&lt;=0,"ERROR",1-J1391-$I$1342),IF(NOT(ISNUMBER(J1388)),"UNKNOWN",IF(1-J1391-$I$1342-J1394*(1+J1388)&lt;=0,"ERROR",1-J1391-$I$1342-J1394*(1+J1388)))))),"ERROR")</f>
        <v/>
      </c>
      <c r="K1370">
        <f>IFERROR(IF(NOT(ISNUMBER(K1391)),"UNKNOWN",IF(OR(K1391&lt;0,K1391&gt;=1),"ERROR",IF(K1394=0,IF(1-K1391-$I$1342&lt;=0,"ERROR",1-K1391-$I$1342),IF(NOT(ISNUMBER(K1388)),"UNKNOWN",IF(1-K1391-$I$1342-K1394*(1+K1388)&lt;=0,"ERROR",1-K1391-$I$1342-K1394*(1+K1388)))))),"ERROR")</f>
        <v/>
      </c>
    </row>
    <row r="1371">
      <c r="J1371">
        <f>IFERROR(IF(NOT(ISNUMBER(J1369)),J1369,IF(NOT(ISNUMBER(J1370)),J1370,J1369/J1370)),"ERROR")</f>
        <v/>
      </c>
      <c r="K1371">
        <f>IFERROR(IF(NOT(ISNUMBER(K1369)),K1369,IF(NOT(ISNUMBER(K1370)),K1370,K1369/K1370)),"ERROR")</f>
        <v/>
      </c>
    </row>
    <row r="1372">
      <c r="J1372">
        <f>IFERROR(IF(NOT(ISNUMBER(J1371)),J1371,IF(NOT(ISNUMBER(J1388)),"UNKNOWN",J1371*(1+J1388))),"ERROR")</f>
        <v/>
      </c>
      <c r="K1372">
        <f>IFERROR(IF(NOT(ISNUMBER(K1371)),K1371,IF(NOT(ISNUMBER(K1388)),"UNKNOWN",K1371*(1+K1388))),"ERROR")</f>
        <v/>
      </c>
    </row>
    <row r="1373">
      <c r="J1373">
        <f>IFERROR(IF(J1387="UNKNOWN","UNKNOWN",IF(J1387=FALSE,J1371,J1372)),"ERROR")</f>
        <v/>
      </c>
      <c r="K1373">
        <f>IFERROR(IF(K1387="UNKNOWN","UNKNOWN",IF(K1387=FALSE,K1371,K1372)),"ERROR")</f>
        <v/>
      </c>
    </row>
    <row r="1374">
      <c r="J1374">
        <f>IFERROR(IF(NOT(ISNUMBER(J1373)),J1373,IF(NOT(ISNUMBER(J1390)),"UNKNOWN",IF(OR(J1390&lt;0,J1390&gt;=1),"ERROR",IF(J1390=0,J1373,J1373/(1-J1390))))),"ERROR")</f>
        <v/>
      </c>
      <c r="K1374">
        <f>IFERROR(IF(NOT(ISNUMBER(K1373)),K1373,IF(NOT(ISNUMBER(K1390)),"UNKNOWN",IF(OR(K1390&lt;0,K1390&gt;=1),"ERROR",IF(K1390=0,K1373,K1373/(1-K1390))))),"ERROR")</f>
        <v/>
      </c>
    </row>
    <row r="1375">
      <c r="J1375">
        <f>IF(OR(J1373="ERROR",J1374="ERROR"),"ERROR",IF(OR(NOT(ISNUMBER(J1373)),NOT(ISNUMBER(J1374))),"UNKNOWN","OK"))</f>
        <v/>
      </c>
      <c r="K1375">
        <f>IF(OR(K1373="ERROR",K1374="ERROR"),"ERROR",IF(OR(NOT(ISNUMBER(K1373)),NOT(ISNUMBER(K1374))),"UNKNOWN","OK"))</f>
        <v/>
      </c>
    </row>
    <row r="1376">
      <c r="J1376">
        <f>IFERROR(IF(NOT(ISNUMBER(J1386)),"UNKNOWN",IF(J1387="UNKNOWN","UNKNOWN",IF(J1387=TRUE,J1386,IF(NOT(ISNUMBER(J1388)),"UNKNOWN",J1386*(1+J1388))))),"ERROR")</f>
        <v/>
      </c>
      <c r="K1376">
        <f>IFERROR(IF(NOT(ISNUMBER(K1386)),"UNKNOWN",IF(K1387="UNKNOWN","UNKNOWN",IF(K1387=TRUE,K1386,IF(NOT(ISNUMBER(K1388)),"UNKNOWN",K1386*(1+K1388))))),"ERROR")</f>
        <v/>
      </c>
    </row>
    <row r="1377">
      <c r="J1377">
        <f>IFERROR(IF(NOT(ISNUMBER(J1389)),"UNKNOWN",IF(J1387="UNKNOWN","UNKNOWN",IF(J1387=FALSE,J1389,IF(NOT(ISNUMBER(J1388)),"UNKNOWN",J1389/(1+J1388))))),"ERROR")</f>
        <v/>
      </c>
      <c r="K1377">
        <f>IFERROR(IF(NOT(ISNUMBER(K1389)),"UNKNOWN",IF(K1387="UNKNOWN","UNKNOWN",IF(K1387=FALSE,K1389,IF(NOT(ISNUMBER(K1388)),"UNKNOWN",K1389/(1+K1388))))),"ERROR")</f>
        <v/>
      </c>
    </row>
    <row r="1378">
      <c r="J1378">
        <f>IFERROR(IF(NOT(ISNUMBER(J1389)),"UNKNOWN",IF(J1387="UNKNOWN","UNKNOWN",IF(J1387=TRUE,J1389,IF(NOT(ISNUMBER(J1388)),"UNKNOWN",J1389*(1+J1388))))),"ERROR")</f>
        <v/>
      </c>
      <c r="K1378">
        <f>IFERROR(IF(NOT(ISNUMBER(K1389)),"UNKNOWN",IF(K1387="UNKNOWN","UNKNOWN",IF(K1387=TRUE,K1389,IF(NOT(ISNUMBER(K1388)),"UNKNOWN",K1389*(1+K1388))))),"ERROR")</f>
        <v/>
      </c>
    </row>
    <row r="1379">
      <c r="J1379">
        <f>IFERROR(IF(J1377="ERROR","ERROR",IF(NOT(ISNUMBER(J1391)),"UNKNOWN",IF(OR(J1391&lt;0,J1391&gt;=1),"ERROR",IF(NOT(ISNUMBER(J1377)),"UNKNOWN",IF(J1394&gt;0,IF(J1378="ERROR","ERROR",IF(NOT(ISNUMBER(J1378)),"UNKNOWN",J1377*(1-J1391-$I$1342)-J1394*J1378-$I$1341)),J1377*(1-J1391-$I$1342)-$I$1341))))),"ERROR")</f>
        <v/>
      </c>
      <c r="K1379">
        <f>IFERROR(IF(K1377="ERROR","ERROR",IF(NOT(ISNUMBER(K1391)),"UNKNOWN",IF(OR(K1391&lt;0,K1391&gt;=1),"ERROR",IF(NOT(ISNUMBER(K1377)),"UNKNOWN",IF(K1394&gt;0,IF(K1378="ERROR","ERROR",IF(NOT(ISNUMBER(K1378)),"UNKNOWN",K1377*(1-K1391-$I$1342)-K1394*K1378-$I$1341)),K1377*(1-K1391-$I$1342)-$I$1341))))),"ERROR")</f>
        <v/>
      </c>
    </row>
    <row r="1380">
      <c r="J1380">
        <f>IFERROR(IF(OR(J1379="ERROR",J1392="ERROR"),"ERROR",IF(OR(NOT(ISNUMBER(J1379)),NOT(ISNUMBER(J1392))),"UNKNOWN",J1379-J1392)),"ERROR")</f>
        <v/>
      </c>
      <c r="K1380">
        <f>IFERROR(IF(OR(K1379="ERROR",K1392="ERROR"),"ERROR",IF(OR(NOT(ISNUMBER(K1379)),NOT(ISNUMBER(K1392))),"UNKNOWN",K1379-K1392)),"ERROR")</f>
        <v/>
      </c>
    </row>
    <row r="1381">
      <c r="J1381">
        <f>IF(OR(J1379="ERROR",J1392="ERROR",J1380="ERROR"),"ERROR",IF(OR(NOT(ISNUMBER(J1379)),NOT(ISNUMBER(J1392)),NOT(ISNUMBER(J1380))),"UNKNOWN","OK"))</f>
        <v/>
      </c>
      <c r="K1381">
        <f>IF(OR(K1379="ERROR",K1392="ERROR",K1380="ERROR"),"ERROR",IF(OR(NOT(ISNUMBER(K1379)),NOT(ISNUMBER(K1392)),NOT(ISNUMBER(K1380))),"UNKNOWN","OK"))</f>
        <v/>
      </c>
    </row>
    <row r="1382">
      <c r="J1382">
        <f>IFERROR(IF(NOT(ISNUMBER(J1393)),J1393,IF(J1393&lt;0,"ERROR",J1393)),"ERROR")</f>
        <v/>
      </c>
      <c r="K1382">
        <f>IFERROR(IF(NOT(ISNUMBER(K1393)),K1393,IF(K1393&lt;0,"ERROR",K1393)),"ERROR")</f>
        <v/>
      </c>
    </row>
    <row r="1383">
      <c r="J1383">
        <f>IFERROR(IF(OR(J1366="ERROR",J1382="ERROR"),"ERROR",IF(OR(NOT(ISNUMBER(J1366)),NOT(ISNUMBER(J1382))),"UNKNOWN",IF(J1366&lt;=0,"NOT_APPLICABLE",J1382/J1366))),"ERROR")</f>
        <v/>
      </c>
      <c r="K1383">
        <f>IFERROR(IF(OR(K1366="ERROR",K1382="ERROR"),"ERROR",IF(OR(NOT(ISNUMBER(K1366)),NOT(ISNUMBER(K1382))),"UNKNOWN",IF(K1366&lt;=0,"NOT_APPLICABLE",K1382/K1366))),"ERROR")</f>
        <v/>
      </c>
    </row>
    <row r="1384">
      <c r="J1384">
        <f>IF(OR(J1366="ERROR",J1382="ERROR",J1383="ERROR"),"ERROR",IF(OR(NOT(ISNUMBER(J1366)),NOT(ISNUMBER(J1382)),AND(NOT(ISNUMBER(J1383)),J1383&lt;&gt;"NOT_APPLICABLE")),"UNKNOWN","OK"))</f>
        <v/>
      </c>
      <c r="K1384">
        <f>IF(OR(K1366="ERROR",K1382="ERROR",K1383="ERROR"),"ERROR",IF(OR(NOT(ISNUMBER(K1366)),NOT(ISNUMBER(K1382)),AND(NOT(ISNUMBER(K1383)),K1383&lt;&gt;"NOT_APPLICABLE")),"UNKNOWN","OK"))</f>
        <v/>
      </c>
    </row>
    <row r="1385">
      <c r="J1385">
        <f>IF(OR(J1368="ERROR",J1375="ERROR",J1381="ERROR",J1384="ERROR"),"ERROR",IF(OR(J1368="UNKNOWN",J1375="UNKNOWN",J1381="UNKNOWN",J1384="UNKNOWN"),"INCOMPLETE","OK"))</f>
        <v/>
      </c>
      <c r="K1385">
        <f>IF(OR(K1368="ERROR",K1375="ERROR",K1381="ERROR",K1384="ERROR"),"ERROR",IF(OR(K1368="UNKNOWN",K1375="UNKNOWN",K1381="UNKNOWN",K1384="UNKNOWN"),"INCOMPLETE","OK"))</f>
        <v/>
      </c>
    </row>
    <row r="1386">
      <c r="J1386">
        <f>IF($J$1347="inherit",$I$1335,IF($J$1347="null","UNKNOWN",$J$1348))</f>
        <v/>
      </c>
      <c r="K1386">
        <f>IF($K$1347="inherit",$I$1335,IF($K$1347="null","UNKNOWN",$K$1348))</f>
        <v/>
      </c>
    </row>
    <row r="1387">
      <c r="J1387">
        <f>IF($J$1349="inherit",$I$1336,IF($J$1349="null","UNKNOWN",$J$1350))</f>
        <v/>
      </c>
      <c r="K1387">
        <f>IF($K$1349="inherit",$I$1336,IF($K$1349="null","UNKNOWN",$K$1350))</f>
        <v/>
      </c>
    </row>
    <row r="1388">
      <c r="J1388">
        <f>IF($J$1351="inherit",$I$1337,IF($J$1351="null","UNKNOWN",$J$1352))</f>
        <v/>
      </c>
      <c r="K1388">
        <f>IF($K$1351="inherit",$I$1337,IF($K$1351="null","UNKNOWN",$K$1352))</f>
        <v/>
      </c>
    </row>
    <row r="1389">
      <c r="J1389">
        <f>IF($J$1353="inherit",$I$1338,IF($J$1353="null","UNKNOWN",$J$1354))</f>
        <v/>
      </c>
      <c r="K1389">
        <f>IF($K$1353="inherit",$I$1338,IF($K$1353="null","UNKNOWN",$K$1354))</f>
        <v/>
      </c>
    </row>
    <row r="1390">
      <c r="J1390">
        <f>IF($J$1355="inherit",$I$1339,IF($J$1355="null","UNKNOWN",$J$1356))</f>
        <v/>
      </c>
      <c r="K1390">
        <f>IF($K$1355="inherit",$I$1339,IF($K$1355="null","UNKNOWN",$K$1356))</f>
        <v/>
      </c>
    </row>
    <row r="1391">
      <c r="J1391">
        <f>IF($J$1357="inherit",$I$1345,IF($J$1357="null","UNKNOWN",$J$1358))</f>
        <v/>
      </c>
      <c r="K1391">
        <f>IF($K$1357="inherit",$I$1345,IF($K$1357="null","UNKNOWN",$K$1358))</f>
        <v/>
      </c>
    </row>
    <row r="1392">
      <c r="J1392">
        <f>IF($J$1359="inherit",$I$1340,IF($J$1359="null","UNKNOWN",$J$1360))</f>
        <v/>
      </c>
      <c r="K1392">
        <f>IF($K$1359="inherit",$I$1340,IF($K$1359="null","UNKNOWN",$K$1360))</f>
        <v/>
      </c>
    </row>
    <row r="1393">
      <c r="J1393">
        <f>IF($J$1361="inherit",$I$1344,IF($J$1361="null","UNKNOWN",$J$1362))</f>
        <v/>
      </c>
      <c r="K1393">
        <f>IF($K$1361="inherit",$I$1344,IF($K$1361="null","UNKNOWN",$K$1362))</f>
        <v/>
      </c>
    </row>
    <row r="1394">
      <c r="J1394">
        <f>IF($J$1363="inherit",$I$1343,IF($J$1363="null","UNKNOWN",$J$1364))</f>
        <v/>
      </c>
      <c r="K1394">
        <f>IF($K$1363="inherit",$I$1343,IF($K$1363="null","UNKNOWN",$K$1364))</f>
        <v/>
      </c>
    </row>
    <row r="1395">
      <c r="I1395">
        <f>IFERROR(MATCH($I$1346,$J$1346:$K$1346,0),0)</f>
        <v/>
      </c>
    </row>
    <row r="1396">
      <c r="J1396">
        <f>IF(I1395=0,"ERROR",IF(OR($J$1365="ERROR",INDEX($J$1365:$K$1365,1,I1395)="ERROR"),"ERROR",IF(OR($J$1365="UNKNOWN",INDEX($J$1365:$K$1365,1,I1395)="UNKNOWN"),"UNKNOWN",IF(OR($J$1365="NOT_APPLICABLE",INDEX($J$1365:$K$1365,1,I1395)="NOT_APPLICABLE"),"NOT_APPLICABLE",$J$1365-INDEX($J$1365:$K$1365,1,I1395)))))</f>
        <v/>
      </c>
      <c r="K1396">
        <f>IF(I1395=0,"ERROR",IF(OR($K$1365="ERROR",INDEX($J$1365:$K$1365,1,I1395)="ERROR"),"ERROR",IF(OR($K$1365="UNKNOWN",INDEX($J$1365:$K$1365,1,I1395)="UNKNOWN"),"UNKNOWN",IF(OR($K$1365="NOT_APPLICABLE",INDEX($J$1365:$K$1365,1,I1395)="NOT_APPLICABLE"),"NOT_APPLICABLE",$K$1365-INDEX($J$1365:$K$1365,1,I1395)))))</f>
        <v/>
      </c>
    </row>
    <row r="1397">
      <c r="J1397">
        <f>IF(I1395=0,"ERROR",IF(OR($J$1366="ERROR",INDEX($J$1366:$K$1366,1,I1395)="ERROR"),"ERROR",IF(OR($J$1366="UNKNOWN",INDEX($J$1366:$K$1366,1,I1395)="UNKNOWN"),"UNKNOWN",IF(OR($J$1366="NOT_APPLICABLE",INDEX($J$1366:$K$1366,1,I1395)="NOT_APPLICABLE"),"NOT_APPLICABLE",$J$1366-INDEX($J$1366:$K$1366,1,I1395)))))</f>
        <v/>
      </c>
      <c r="K1397">
        <f>IF(I1395=0,"ERROR",IF(OR($K$1366="ERROR",INDEX($J$1366:$K$1366,1,I1395)="ERROR"),"ERROR",IF(OR($K$1366="UNKNOWN",INDEX($J$1366:$K$1366,1,I1395)="UNKNOWN"),"UNKNOWN",IF(OR($K$1366="NOT_APPLICABLE",INDEX($J$1366:$K$1366,1,I1395)="NOT_APPLICABLE"),"NOT_APPLICABLE",$K$1366-INDEX($J$1366:$K$1366,1,I1395)))))</f>
        <v/>
      </c>
    </row>
    <row r="1398">
      <c r="J1398">
        <f>IF(I1395=0,"ERROR",IF(OR($J$1367="ERROR",INDEX($J$1367:$K$1367,1,I1395)="ERROR"),"ERROR",IF(OR($J$1367="UNKNOWN",INDEX($J$1367:$K$1367,1,I1395)="UNKNOWN"),"UNKNOWN",IF(OR($J$1367="NOT_APPLICABLE",INDEX($J$1367:$K$1367,1,I1395)="NOT_APPLICABLE"),"NOT_APPLICABLE",$J$1367-INDEX($J$1367:$K$1367,1,I1395)))))</f>
        <v/>
      </c>
      <c r="K1398">
        <f>IF(I1395=0,"ERROR",IF(OR($K$1367="ERROR",INDEX($J$1367:$K$1367,1,I1395)="ERROR"),"ERROR",IF(OR($K$1367="UNKNOWN",INDEX($J$1367:$K$1367,1,I1395)="UNKNOWN"),"UNKNOWN",IF(OR($K$1367="NOT_APPLICABLE",INDEX($J$1367:$K$1367,1,I1395)="NOT_APPLICABLE"),"NOT_APPLICABLE",$K$1367-INDEX($J$1367:$K$1367,1,I1395)))))</f>
        <v/>
      </c>
    </row>
    <row r="1399">
      <c r="J1399">
        <f>IF(I1395=0,"ERROR",IF(OR($J$1383="ERROR",INDEX($J$1383:$K$1383,1,I1395)="ERROR"),"ERROR",IF(OR($J$1383="UNKNOWN",INDEX($J$1383:$K$1383,1,I1395)="UNKNOWN"),"UNKNOWN",IF(OR($J$1383="NOT_APPLICABLE",INDEX($J$1383:$K$1383,1,I1395)="NOT_APPLICABLE"),"NOT_APPLICABLE",$J$1383-INDEX($J$1383:$K$1383,1,I1395)))))</f>
        <v/>
      </c>
      <c r="K1399">
        <f>IF(I1395=0,"ERROR",IF(OR($K$1383="ERROR",INDEX($J$1383:$K$1383,1,I1395)="ERROR"),"ERROR",IF(OR($K$1383="UNKNOWN",INDEX($J$1383:$K$1383,1,I1395)="UNKNOWN"),"UNKNOWN",IF(OR($K$1383="NOT_APPLICABLE",INDEX($J$1383:$K$1383,1,I1395)="NOT_APPLICABLE"),"NOT_APPLICABLE",$K$1383-INDEX($J$1383:$K$1383,1,I1395)))))</f>
        <v/>
      </c>
    </row>
    <row r="1401">
      <c r="B1401" s="8" t="inlineStr">
        <is>
          <t>Scenario A: scenario_status</t>
        </is>
      </c>
      <c r="C1401" s="16">
        <f>J1385</f>
        <v/>
      </c>
      <c r="D1401" s="38" t="inlineStr">
        <is>
          <t>OK</t>
        </is>
      </c>
      <c r="F1401" s="15">
        <f>IF(J1385=D1401,"PASS","FAIL")</f>
        <v/>
      </c>
    </row>
    <row r="1402">
      <c r="B1402" s="8" t="inlineStr">
        <is>
          <t>Scenario A: contribution_margin</t>
        </is>
      </c>
      <c r="C1402" s="25">
        <f>J1366</f>
        <v/>
      </c>
      <c r="D1402" s="42" t="n">
        <v>500</v>
      </c>
      <c r="E1402" s="26">
        <f>IF(ISNUMBER(D1402),IF(ISNUMBER(J1366),ABS(J1366-D1402),"N/A"),"N/A")</f>
        <v/>
      </c>
      <c r="F1402" s="15">
        <f>IFERROR(IF(ISNUMBER(D1402),IF(ISNUMBER(J1366),IF(ABS(J1366-D1402)&lt;=0.01,"PASS","FAIL"),"FAIL"),IF(NOT(ISNUMBER(J1366)),IF(J1366=D1402,"PASS","FAIL"),"FAIL")),"FAIL")</f>
        <v/>
      </c>
    </row>
    <row r="1403">
      <c r="B1403" s="8" t="inlineStr">
        <is>
          <t>Scenario A: break_even_quantity_exact</t>
        </is>
      </c>
      <c r="C1403" s="25">
        <f>J1383</f>
        <v/>
      </c>
      <c r="D1403" s="42" t="n">
        <v>100</v>
      </c>
      <c r="E1403" s="26">
        <f>IF(ISNUMBER(D1403),IF(ISNUMBER(J1383),ABS(J1383-D1403),"N/A"),"N/A")</f>
        <v/>
      </c>
      <c r="F1403" s="15">
        <f>IFERROR(IF(ISNUMBER(D1403),IF(ISNUMBER(J1383),IF(ABS(J1383-D1403)&lt;=0.01,"PASS","FAIL"),"FAIL"),IF(NOT(ISNUMBER(J1383)),IF(J1383=D1403,"PASS","FAIL"),"FAIL")),"FAIL")</f>
        <v/>
      </c>
    </row>
    <row r="1404">
      <c r="B1404" s="8" t="inlineStr">
        <is>
          <t>Scenario A: net_sales_ex_vat_delta</t>
        </is>
      </c>
      <c r="C1404" s="43">
        <f>J1396</f>
        <v/>
      </c>
      <c r="D1404" s="44" t="n">
        <v>-200</v>
      </c>
      <c r="F1404" s="15">
        <f>IFERROR(IF(ISNUMBER(D1404),IF(ISNUMBER(J1396),IF(ABS(J1396-D1404)&lt;=0.01,"PASS","FAIL"),"FAIL"),IF(NOT(ISNUMBER(J1396)),IF(J1396=D1404,"PASS","FAIL"),"FAIL")),"FAIL")</f>
        <v/>
      </c>
    </row>
    <row r="1405">
      <c r="B1405" s="8" t="inlineStr">
        <is>
          <t>Scenario A: contribution_margin_delta</t>
        </is>
      </c>
      <c r="C1405" s="43">
        <f>J1397</f>
        <v/>
      </c>
      <c r="D1405" s="44" t="n">
        <v>-200</v>
      </c>
      <c r="F1405" s="15">
        <f>IFERROR(IF(ISNUMBER(D1405),IF(ISNUMBER(J1397),IF(ABS(J1397-D1405)&lt;=0.01,"PASS","FAIL"),"FAIL"),IF(NOT(ISNUMBER(J1397)),IF(J1397=D1405,"PASS","FAIL"),"FAIL")),"FAIL")</f>
        <v/>
      </c>
    </row>
    <row r="1406">
      <c r="B1406" s="8" t="inlineStr">
        <is>
          <t>Scenario A: contribution_margin_rate_delta</t>
        </is>
      </c>
      <c r="C1406" s="43">
        <f>J1398</f>
        <v/>
      </c>
      <c r="D1406" s="44" t="n">
        <v>-0.08333333333333337</v>
      </c>
      <c r="F1406" s="15">
        <f>IFERROR(IF(ISNUMBER(D1406),IF(ISNUMBER(J1398),IF(ABS(J1398-D1406)&lt;=0.01,"PASS","FAIL"),"FAIL"),IF(NOT(ISNUMBER(J1398)),IF(J1398=D1406,"PASS","FAIL"),"FAIL")),"FAIL")</f>
        <v/>
      </c>
    </row>
    <row r="1407">
      <c r="B1407" s="8" t="inlineStr">
        <is>
          <t>Scenario A: break_even_quantity_delta</t>
        </is>
      </c>
      <c r="C1407" s="43">
        <f>J1399</f>
        <v/>
      </c>
      <c r="D1407" s="44" t="n">
        <v>28.57142857142857</v>
      </c>
      <c r="F1407" s="15">
        <f>IFERROR(IF(ISNUMBER(D1407),IF(ISNUMBER(J1399),IF(ABS(J1399-D1407)&lt;=0.01,"PASS","FAIL"),"FAIL"),IF(NOT(ISNUMBER(J1399)),IF(J1399=D1407,"PASS","FAIL"),"FAIL")),"FAIL")</f>
        <v/>
      </c>
    </row>
    <row r="1408">
      <c r="B1408" s="8" t="inlineStr">
        <is>
          <t>Scenario B: scenario_status</t>
        </is>
      </c>
      <c r="C1408" s="16">
        <f>K1385</f>
        <v/>
      </c>
      <c r="D1408" s="38" t="inlineStr">
        <is>
          <t>OK</t>
        </is>
      </c>
      <c r="F1408" s="15">
        <f>IF(K1385=D1408,"PASS","FAIL")</f>
        <v/>
      </c>
    </row>
    <row r="1409">
      <c r="B1409" s="8" t="inlineStr">
        <is>
          <t>Scenario B: contribution_margin</t>
        </is>
      </c>
      <c r="C1409" s="25">
        <f>K1366</f>
        <v/>
      </c>
      <c r="D1409" s="42" t="n">
        <v>700</v>
      </c>
      <c r="E1409" s="26">
        <f>IF(ISNUMBER(D1409),IF(ISNUMBER(K1366),ABS(K1366-D1409),"N/A"),"N/A")</f>
        <v/>
      </c>
      <c r="F1409" s="15">
        <f>IFERROR(IF(ISNUMBER(D1409),IF(ISNUMBER(K1366),IF(ABS(K1366-D1409)&lt;=0.01,"PASS","FAIL"),"FAIL"),IF(NOT(ISNUMBER(K1366)),IF(K1366=D1409,"PASS","FAIL"),"FAIL")),"FAIL")</f>
        <v/>
      </c>
    </row>
    <row r="1410">
      <c r="B1410" s="8" t="inlineStr">
        <is>
          <t>Scenario B: break_even_quantity_exact</t>
        </is>
      </c>
      <c r="C1410" s="25">
        <f>K1383</f>
        <v/>
      </c>
      <c r="D1410" s="42" t="n">
        <v>71.42857142857143</v>
      </c>
      <c r="E1410" s="26">
        <f>IF(ISNUMBER(D1410),IF(ISNUMBER(K1383),ABS(K1383-D1410),"N/A"),"N/A")</f>
        <v/>
      </c>
      <c r="F1410" s="15">
        <f>IFERROR(IF(ISNUMBER(D1410),IF(ISNUMBER(K1383),IF(ABS(K1383-D1410)&lt;=0.01,"PASS","FAIL"),"FAIL"),IF(NOT(ISNUMBER(K1383)),IF(K1383=D1410,"PASS","FAIL"),"FAIL")),"FAIL")</f>
        <v/>
      </c>
    </row>
    <row r="1411">
      <c r="B1411" s="8" t="inlineStr">
        <is>
          <t>Scenario B: net_sales_ex_vat_delta</t>
        </is>
      </c>
      <c r="C1411" s="43">
        <f>K1396</f>
        <v/>
      </c>
      <c r="D1411" s="44" t="n">
        <v>0</v>
      </c>
      <c r="F1411" s="15">
        <f>IFERROR(IF(ISNUMBER(D1411),IF(ISNUMBER(K1396),IF(ABS(K1396-D1411)&lt;=0.01,"PASS","FAIL"),"FAIL"),IF(NOT(ISNUMBER(K1396)),IF(K1396=D1411,"PASS","FAIL"),"FAIL")),"FAIL")</f>
        <v/>
      </c>
    </row>
    <row r="1412">
      <c r="B1412" s="8" t="inlineStr">
        <is>
          <t>Scenario B: contribution_margin_delta</t>
        </is>
      </c>
      <c r="C1412" s="43">
        <f>K1397</f>
        <v/>
      </c>
      <c r="D1412" s="44" t="n">
        <v>0</v>
      </c>
      <c r="F1412" s="15">
        <f>IFERROR(IF(ISNUMBER(D1412),IF(ISNUMBER(K1397),IF(ABS(K1397-D1412)&lt;=0.01,"PASS","FAIL"),"FAIL"),IF(NOT(ISNUMBER(K1397)),IF(K1397=D1412,"PASS","FAIL"),"FAIL")),"FAIL")</f>
        <v/>
      </c>
    </row>
    <row r="1413">
      <c r="B1413" s="8" t="inlineStr">
        <is>
          <t>Scenario B: contribution_margin_rate_delta</t>
        </is>
      </c>
      <c r="C1413" s="43">
        <f>K1398</f>
        <v/>
      </c>
      <c r="D1413" s="44" t="n">
        <v>0</v>
      </c>
      <c r="F1413" s="15">
        <f>IFERROR(IF(ISNUMBER(D1413),IF(ISNUMBER(K1398),IF(ABS(K1398-D1413)&lt;=0.01,"PASS","FAIL"),"FAIL"),IF(NOT(ISNUMBER(K1398)),IF(K1398=D1413,"PASS","FAIL"),"FAIL")),"FAIL")</f>
        <v/>
      </c>
    </row>
    <row r="1414">
      <c r="B1414" s="8" t="inlineStr">
        <is>
          <t>Scenario B: break_even_quantity_delta</t>
        </is>
      </c>
      <c r="C1414" s="43">
        <f>K1399</f>
        <v/>
      </c>
      <c r="D1414" s="44" t="n">
        <v>0</v>
      </c>
      <c r="F1414" s="15">
        <f>IFERROR(IF(ISNUMBER(D1414),IF(ISNUMBER(K1399),IF(ABS(K1399-D1414)&lt;=0.01,"PASS","FAIL"),"FAIL"),IF(NOT(ISNUMBER(K1399)),IF(K1399=D1414,"PASS","FAIL"),"FAIL")),"FAIL")</f>
        <v/>
      </c>
    </row>
    <row r="1416" ht="20" customHeight="1">
      <c r="B1416" s="2" t="inlineStr">
        <is>
          <t>TC18. Omitted override inherits base</t>
        </is>
      </c>
      <c r="C1416" s="7" t="n"/>
      <c r="D1416" s="7" t="n"/>
      <c r="E1416" s="7" t="n"/>
      <c r="F1416" s="7" t="n"/>
    </row>
    <row r="1417">
      <c r="B1417" s="4" t="inlineStr">
        <is>
          <t>Check</t>
        </is>
      </c>
      <c r="C1417" s="4" t="inlineStr">
        <is>
          <t>Excel Result</t>
        </is>
      </c>
      <c r="D1417" s="4" t="inlineStr">
        <is>
          <t>Python Reference</t>
        </is>
      </c>
      <c r="E1417" s="4" t="inlineStr">
        <is>
          <t>Difference</t>
        </is>
      </c>
      <c r="F1417" s="4" t="inlineStr">
        <is>
          <t>PASS / FAIL</t>
        </is>
      </c>
    </row>
    <row r="1418">
      <c r="I1418" t="n">
        <v>1000</v>
      </c>
    </row>
    <row r="1419">
      <c r="I1419" t="b">
        <v>0</v>
      </c>
    </row>
    <row r="1420">
      <c r="I1420" t="n">
        <v>0.1</v>
      </c>
    </row>
    <row r="1421">
      <c r="I1421" t="n">
        <v>1000</v>
      </c>
    </row>
    <row r="1422">
      <c r="I1422" t="n">
        <v>0</v>
      </c>
    </row>
    <row r="1423">
      <c r="I1423" t="n">
        <v>400</v>
      </c>
    </row>
    <row r="1424">
      <c r="I1424" t="n">
        <v>100</v>
      </c>
    </row>
    <row r="1425">
      <c r="I1425" t="n">
        <v>0</v>
      </c>
    </row>
    <row r="1426">
      <c r="I1426" t="n">
        <v>0</v>
      </c>
    </row>
    <row r="1427">
      <c r="I1427" t="n">
        <v>50000</v>
      </c>
    </row>
    <row r="1428">
      <c r="I1428" t="n">
        <v>0.3</v>
      </c>
    </row>
    <row r="1429">
      <c r="I1429" t="inlineStr">
        <is>
          <t>A</t>
        </is>
      </c>
      <c r="J1429" t="inlineStr">
        <is>
          <t>A</t>
        </is>
      </c>
      <c r="K1429" t="inlineStr">
        <is>
          <t>B</t>
        </is>
      </c>
    </row>
    <row r="1430">
      <c r="J1430" t="inlineStr">
        <is>
          <t>inherit</t>
        </is>
      </c>
      <c r="K1430" t="inlineStr">
        <is>
          <t>value</t>
        </is>
      </c>
    </row>
    <row r="1431">
      <c r="K1431" t="n">
        <v>1200</v>
      </c>
    </row>
    <row r="1432">
      <c r="J1432" t="inlineStr">
        <is>
          <t>inherit</t>
        </is>
      </c>
      <c r="K1432" t="inlineStr">
        <is>
          <t>inherit</t>
        </is>
      </c>
    </row>
    <row r="1433"/>
    <row r="1434">
      <c r="J1434" t="inlineStr">
        <is>
          <t>inherit</t>
        </is>
      </c>
      <c r="K1434" t="inlineStr">
        <is>
          <t>inherit</t>
        </is>
      </c>
    </row>
    <row r="1435"/>
    <row r="1436">
      <c r="J1436" t="inlineStr">
        <is>
          <t>inherit</t>
        </is>
      </c>
      <c r="K1436" t="inlineStr">
        <is>
          <t>inherit</t>
        </is>
      </c>
    </row>
    <row r="1437"/>
    <row r="1438">
      <c r="J1438" t="inlineStr">
        <is>
          <t>inherit</t>
        </is>
      </c>
      <c r="K1438" t="inlineStr">
        <is>
          <t>inherit</t>
        </is>
      </c>
    </row>
    <row r="1439"/>
    <row r="1440">
      <c r="J1440" t="inlineStr">
        <is>
          <t>inherit</t>
        </is>
      </c>
      <c r="K1440" t="inlineStr">
        <is>
          <t>inherit</t>
        </is>
      </c>
    </row>
    <row r="1441"/>
    <row r="1442">
      <c r="J1442" t="inlineStr">
        <is>
          <t>inherit</t>
        </is>
      </c>
      <c r="K1442" t="inlineStr">
        <is>
          <t>inherit</t>
        </is>
      </c>
    </row>
    <row r="1443"/>
    <row r="1444">
      <c r="J1444" t="inlineStr">
        <is>
          <t>inherit</t>
        </is>
      </c>
      <c r="K1444" t="inlineStr">
        <is>
          <t>inherit</t>
        </is>
      </c>
    </row>
    <row r="1445"/>
    <row r="1446">
      <c r="J1446" t="inlineStr">
        <is>
          <t>inherit</t>
        </is>
      </c>
      <c r="K1446" t="inlineStr">
        <is>
          <t>inherit</t>
        </is>
      </c>
    </row>
    <row r="1447"/>
    <row r="1448">
      <c r="J1448">
        <f>IFERROR(IF(NOT(ISNUMBER(J1469)),"UNKNOWN",IF(J1470="UNKNOWN","UNKNOWN",IF(J1470=FALSE,J1469,IF(NOT(ISNUMBER(J1471)),"UNKNOWN",J1469/(1+J1471))))),"ERROR")</f>
        <v/>
      </c>
      <c r="K1448">
        <f>IFERROR(IF(NOT(ISNUMBER(K1469)),"UNKNOWN",IF(K1470="UNKNOWN","UNKNOWN",IF(K1470=FALSE,K1469,IF(NOT(ISNUMBER(K1471)),"UNKNOWN",K1469/(1+K1471))))),"ERROR")</f>
        <v/>
      </c>
    </row>
    <row r="1449">
      <c r="J1449">
        <f>IFERROR(IF(J1448="ERROR","ERROR",IF(OR(NOT(ISNUMBER(J1448)),NOT(ISNUMBER(J1475))),"UNKNOWN",IF(J1477&gt;0,IF(J1459="ERROR","ERROR",IF(NOT(ISNUMBER(J1459)),"UNKNOWN",J1448-J1475-$I$1424-$I$1425*J1448-J1477*J1459)),J1448-J1475-$I$1424-$I$1425*J1448))),"ERROR")</f>
        <v/>
      </c>
      <c r="K1449">
        <f>IFERROR(IF(K1448="ERROR","ERROR",IF(OR(NOT(ISNUMBER(K1448)),NOT(ISNUMBER(K1475))),"UNKNOWN",IF(K1477&gt;0,IF(K1459="ERROR","ERROR",IF(NOT(ISNUMBER(K1459)),"UNKNOWN",K1448-K1475-$I$1424-$I$1425*K1448-K1477*K1459)),K1448-K1475-$I$1424-$I$1425*K1448))),"ERROR")</f>
        <v/>
      </c>
    </row>
    <row r="1450">
      <c r="J1450">
        <f>IFERROR(IF(J1449="ERROR","ERROR",IF(NOT(ISNUMBER(J1449)),"UNKNOWN",IF(J1448=0,"ERROR",J1449/J1448))),"ERROR")</f>
        <v/>
      </c>
      <c r="K1450">
        <f>IFERROR(IF(K1449="ERROR","ERROR",IF(NOT(ISNUMBER(K1449)),"UNKNOWN",IF(K1448=0,"ERROR",K1449/K1448))),"ERROR")</f>
        <v/>
      </c>
    </row>
    <row r="1451">
      <c r="J1451">
        <f>IF(OR(J1448="ERROR",J1449="ERROR",J1450="ERROR"),"ERROR",IF(OR(NOT(ISNUMBER(J1448)),NOT(ISNUMBER(J1449)),NOT(ISNUMBER(J1450))),"UNKNOWN","OK"))</f>
        <v/>
      </c>
      <c r="K1451">
        <f>IF(OR(K1448="ERROR",K1449="ERROR",K1450="ERROR"),"ERROR",IF(OR(NOT(ISNUMBER(K1448)),NOT(ISNUMBER(K1449)),NOT(ISNUMBER(K1450))),"UNKNOWN","OK"))</f>
        <v/>
      </c>
    </row>
    <row r="1452">
      <c r="J1452">
        <f>IFERROR(IF(NOT(ISNUMBER(J1475)),J1475,J1475+$I$1424),"ERROR")</f>
        <v/>
      </c>
      <c r="K1452">
        <f>IFERROR(IF(NOT(ISNUMBER(K1475)),K1475,K1475+$I$1424),"ERROR")</f>
        <v/>
      </c>
    </row>
    <row r="1453">
      <c r="J1453">
        <f>IFERROR(IF(NOT(ISNUMBER(J1474)),"UNKNOWN",IF(OR(J1474&lt;0,J1474&gt;=1),"ERROR",IF(J1477=0,IF(1-J1474-$I$1425&lt;=0,"ERROR",1-J1474-$I$1425),IF(NOT(ISNUMBER(J1471)),"UNKNOWN",IF(1-J1474-$I$1425-J1477*(1+J1471)&lt;=0,"ERROR",1-J1474-$I$1425-J1477*(1+J1471)))))),"ERROR")</f>
        <v/>
      </c>
      <c r="K1453">
        <f>IFERROR(IF(NOT(ISNUMBER(K1474)),"UNKNOWN",IF(OR(K1474&lt;0,K1474&gt;=1),"ERROR",IF(K1477=0,IF(1-K1474-$I$1425&lt;=0,"ERROR",1-K1474-$I$1425),IF(NOT(ISNUMBER(K1471)),"UNKNOWN",IF(1-K1474-$I$1425-K1477*(1+K1471)&lt;=0,"ERROR",1-K1474-$I$1425-K1477*(1+K1471)))))),"ERROR")</f>
        <v/>
      </c>
    </row>
    <row r="1454">
      <c r="J1454">
        <f>IFERROR(IF(NOT(ISNUMBER(J1452)),J1452,IF(NOT(ISNUMBER(J1453)),J1453,J1452/J1453)),"ERROR")</f>
        <v/>
      </c>
      <c r="K1454">
        <f>IFERROR(IF(NOT(ISNUMBER(K1452)),K1452,IF(NOT(ISNUMBER(K1453)),K1453,K1452/K1453)),"ERROR")</f>
        <v/>
      </c>
    </row>
    <row r="1455">
      <c r="J1455">
        <f>IFERROR(IF(NOT(ISNUMBER(J1454)),J1454,IF(NOT(ISNUMBER(J1471)),"UNKNOWN",J1454*(1+J1471))),"ERROR")</f>
        <v/>
      </c>
      <c r="K1455">
        <f>IFERROR(IF(NOT(ISNUMBER(K1454)),K1454,IF(NOT(ISNUMBER(K1471)),"UNKNOWN",K1454*(1+K1471))),"ERROR")</f>
        <v/>
      </c>
    </row>
    <row r="1456">
      <c r="J1456">
        <f>IFERROR(IF(J1470="UNKNOWN","UNKNOWN",IF(J1470=FALSE,J1454,J1455)),"ERROR")</f>
        <v/>
      </c>
      <c r="K1456">
        <f>IFERROR(IF(K1470="UNKNOWN","UNKNOWN",IF(K1470=FALSE,K1454,K1455)),"ERROR")</f>
        <v/>
      </c>
    </row>
    <row r="1457">
      <c r="J1457">
        <f>IFERROR(IF(NOT(ISNUMBER(J1456)),J1456,IF(NOT(ISNUMBER(J1473)),"UNKNOWN",IF(OR(J1473&lt;0,J1473&gt;=1),"ERROR",IF(J1473=0,J1456,J1456/(1-J1473))))),"ERROR")</f>
        <v/>
      </c>
      <c r="K1457">
        <f>IFERROR(IF(NOT(ISNUMBER(K1456)),K1456,IF(NOT(ISNUMBER(K1473)),"UNKNOWN",IF(OR(K1473&lt;0,K1473&gt;=1),"ERROR",IF(K1473=0,K1456,K1456/(1-K1473))))),"ERROR")</f>
        <v/>
      </c>
    </row>
    <row r="1458">
      <c r="J1458">
        <f>IF(OR(J1456="ERROR",J1457="ERROR"),"ERROR",IF(OR(NOT(ISNUMBER(J1456)),NOT(ISNUMBER(J1457))),"UNKNOWN","OK"))</f>
        <v/>
      </c>
      <c r="K1458">
        <f>IF(OR(K1456="ERROR",K1457="ERROR"),"ERROR",IF(OR(NOT(ISNUMBER(K1456)),NOT(ISNUMBER(K1457))),"UNKNOWN","OK"))</f>
        <v/>
      </c>
    </row>
    <row r="1459">
      <c r="J1459">
        <f>IFERROR(IF(NOT(ISNUMBER(J1469)),"UNKNOWN",IF(J1470="UNKNOWN","UNKNOWN",IF(J1470=TRUE,J1469,IF(NOT(ISNUMBER(J1471)),"UNKNOWN",J1469*(1+J1471))))),"ERROR")</f>
        <v/>
      </c>
      <c r="K1459">
        <f>IFERROR(IF(NOT(ISNUMBER(K1469)),"UNKNOWN",IF(K1470="UNKNOWN","UNKNOWN",IF(K1470=TRUE,K1469,IF(NOT(ISNUMBER(K1471)),"UNKNOWN",K1469*(1+K1471))))),"ERROR")</f>
        <v/>
      </c>
    </row>
    <row r="1460">
      <c r="J1460">
        <f>IFERROR(IF(NOT(ISNUMBER(J1472)),"UNKNOWN",IF(J1470="UNKNOWN","UNKNOWN",IF(J1470=FALSE,J1472,IF(NOT(ISNUMBER(J1471)),"UNKNOWN",J1472/(1+J1471))))),"ERROR")</f>
        <v/>
      </c>
      <c r="K1460">
        <f>IFERROR(IF(NOT(ISNUMBER(K1472)),"UNKNOWN",IF(K1470="UNKNOWN","UNKNOWN",IF(K1470=FALSE,K1472,IF(NOT(ISNUMBER(K1471)),"UNKNOWN",K1472/(1+K1471))))),"ERROR")</f>
        <v/>
      </c>
    </row>
    <row r="1461">
      <c r="J1461">
        <f>IFERROR(IF(NOT(ISNUMBER(J1472)),"UNKNOWN",IF(J1470="UNKNOWN","UNKNOWN",IF(J1470=TRUE,J1472,IF(NOT(ISNUMBER(J1471)),"UNKNOWN",J1472*(1+J1471))))),"ERROR")</f>
        <v/>
      </c>
      <c r="K1461">
        <f>IFERROR(IF(NOT(ISNUMBER(K1472)),"UNKNOWN",IF(K1470="UNKNOWN","UNKNOWN",IF(K1470=TRUE,K1472,IF(NOT(ISNUMBER(K1471)),"UNKNOWN",K1472*(1+K1471))))),"ERROR")</f>
        <v/>
      </c>
    </row>
    <row r="1462">
      <c r="J1462">
        <f>IFERROR(IF(J1460="ERROR","ERROR",IF(NOT(ISNUMBER(J1474)),"UNKNOWN",IF(OR(J1474&lt;0,J1474&gt;=1),"ERROR",IF(NOT(ISNUMBER(J1460)),"UNKNOWN",IF(J1477&gt;0,IF(J1461="ERROR","ERROR",IF(NOT(ISNUMBER(J1461)),"UNKNOWN",J1460*(1-J1474-$I$1425)-J1477*J1461-$I$1424)),J1460*(1-J1474-$I$1425)-$I$1424))))),"ERROR")</f>
        <v/>
      </c>
      <c r="K1462">
        <f>IFERROR(IF(K1460="ERROR","ERROR",IF(NOT(ISNUMBER(K1474)),"UNKNOWN",IF(OR(K1474&lt;0,K1474&gt;=1),"ERROR",IF(NOT(ISNUMBER(K1460)),"UNKNOWN",IF(K1477&gt;0,IF(K1461="ERROR","ERROR",IF(NOT(ISNUMBER(K1461)),"UNKNOWN",K1460*(1-K1474-$I$1425)-K1477*K1461-$I$1424)),K1460*(1-K1474-$I$1425)-$I$1424))))),"ERROR")</f>
        <v/>
      </c>
    </row>
    <row r="1463">
      <c r="J1463">
        <f>IFERROR(IF(OR(J1462="ERROR",J1475="ERROR"),"ERROR",IF(OR(NOT(ISNUMBER(J1462)),NOT(ISNUMBER(J1475))),"UNKNOWN",J1462-J1475)),"ERROR")</f>
        <v/>
      </c>
      <c r="K1463">
        <f>IFERROR(IF(OR(K1462="ERROR",K1475="ERROR"),"ERROR",IF(OR(NOT(ISNUMBER(K1462)),NOT(ISNUMBER(K1475))),"UNKNOWN",K1462-K1475)),"ERROR")</f>
        <v/>
      </c>
    </row>
    <row r="1464">
      <c r="J1464">
        <f>IF(OR(J1462="ERROR",J1475="ERROR",J1463="ERROR"),"ERROR",IF(OR(NOT(ISNUMBER(J1462)),NOT(ISNUMBER(J1475)),NOT(ISNUMBER(J1463))),"UNKNOWN","OK"))</f>
        <v/>
      </c>
      <c r="K1464">
        <f>IF(OR(K1462="ERROR",K1475="ERROR",K1463="ERROR"),"ERROR",IF(OR(NOT(ISNUMBER(K1462)),NOT(ISNUMBER(K1475)),NOT(ISNUMBER(K1463))),"UNKNOWN","OK"))</f>
        <v/>
      </c>
    </row>
    <row r="1465">
      <c r="J1465">
        <f>IFERROR(IF(NOT(ISNUMBER(J1476)),J1476,IF(J1476&lt;0,"ERROR",J1476)),"ERROR")</f>
        <v/>
      </c>
      <c r="K1465">
        <f>IFERROR(IF(NOT(ISNUMBER(K1476)),K1476,IF(K1476&lt;0,"ERROR",K1476)),"ERROR")</f>
        <v/>
      </c>
    </row>
    <row r="1466">
      <c r="J1466">
        <f>IFERROR(IF(OR(J1449="ERROR",J1465="ERROR"),"ERROR",IF(OR(NOT(ISNUMBER(J1449)),NOT(ISNUMBER(J1465))),"UNKNOWN",IF(J1449&lt;=0,"NOT_APPLICABLE",J1465/J1449))),"ERROR")</f>
        <v/>
      </c>
      <c r="K1466">
        <f>IFERROR(IF(OR(K1449="ERROR",K1465="ERROR"),"ERROR",IF(OR(NOT(ISNUMBER(K1449)),NOT(ISNUMBER(K1465))),"UNKNOWN",IF(K1449&lt;=0,"NOT_APPLICABLE",K1465/K1449))),"ERROR")</f>
        <v/>
      </c>
    </row>
    <row r="1467">
      <c r="J1467">
        <f>IF(OR(J1449="ERROR",J1465="ERROR",J1466="ERROR"),"ERROR",IF(OR(NOT(ISNUMBER(J1449)),NOT(ISNUMBER(J1465)),AND(NOT(ISNUMBER(J1466)),J1466&lt;&gt;"NOT_APPLICABLE")),"UNKNOWN","OK"))</f>
        <v/>
      </c>
      <c r="K1467">
        <f>IF(OR(K1449="ERROR",K1465="ERROR",K1466="ERROR"),"ERROR",IF(OR(NOT(ISNUMBER(K1449)),NOT(ISNUMBER(K1465)),AND(NOT(ISNUMBER(K1466)),K1466&lt;&gt;"NOT_APPLICABLE")),"UNKNOWN","OK"))</f>
        <v/>
      </c>
    </row>
    <row r="1468">
      <c r="J1468">
        <f>IF(OR(J1451="ERROR",J1458="ERROR",J1464="ERROR",J1467="ERROR"),"ERROR",IF(OR(J1451="UNKNOWN",J1458="UNKNOWN",J1464="UNKNOWN",J1467="UNKNOWN"),"INCOMPLETE","OK"))</f>
        <v/>
      </c>
      <c r="K1468">
        <f>IF(OR(K1451="ERROR",K1458="ERROR",K1464="ERROR",K1467="ERROR"),"ERROR",IF(OR(K1451="UNKNOWN",K1458="UNKNOWN",K1464="UNKNOWN",K1467="UNKNOWN"),"INCOMPLETE","OK"))</f>
        <v/>
      </c>
    </row>
    <row r="1469">
      <c r="J1469">
        <f>IF($J$1430="inherit",$I$1418,IF($J$1430="null","UNKNOWN",$J$1431))</f>
        <v/>
      </c>
      <c r="K1469">
        <f>IF($K$1430="inherit",$I$1418,IF($K$1430="null","UNKNOWN",$K$1431))</f>
        <v/>
      </c>
    </row>
    <row r="1470">
      <c r="J1470">
        <f>IF($J$1432="inherit",$I$1419,IF($J$1432="null","UNKNOWN",$J$1433))</f>
        <v/>
      </c>
      <c r="K1470">
        <f>IF($K$1432="inherit",$I$1419,IF($K$1432="null","UNKNOWN",$K$1433))</f>
        <v/>
      </c>
    </row>
    <row r="1471">
      <c r="J1471">
        <f>IF($J$1434="inherit",$I$1420,IF($J$1434="null","UNKNOWN",$J$1435))</f>
        <v/>
      </c>
      <c r="K1471">
        <f>IF($K$1434="inherit",$I$1420,IF($K$1434="null","UNKNOWN",$K$1435))</f>
        <v/>
      </c>
    </row>
    <row r="1472">
      <c r="J1472">
        <f>IF($J$1436="inherit",$I$1421,IF($J$1436="null","UNKNOWN",$J$1437))</f>
        <v/>
      </c>
      <c r="K1472">
        <f>IF($K$1436="inherit",$I$1421,IF($K$1436="null","UNKNOWN",$K$1437))</f>
        <v/>
      </c>
    </row>
    <row r="1473">
      <c r="J1473">
        <f>IF($J$1438="inherit",$I$1422,IF($J$1438="null","UNKNOWN",$J$1439))</f>
        <v/>
      </c>
      <c r="K1473">
        <f>IF($K$1438="inherit",$I$1422,IF($K$1438="null","UNKNOWN",$K$1439))</f>
        <v/>
      </c>
    </row>
    <row r="1474">
      <c r="J1474">
        <f>IF($J$1440="inherit",$I$1428,IF($J$1440="null","UNKNOWN",$J$1441))</f>
        <v/>
      </c>
      <c r="K1474">
        <f>IF($K$1440="inherit",$I$1428,IF($K$1440="null","UNKNOWN",$K$1441))</f>
        <v/>
      </c>
    </row>
    <row r="1475">
      <c r="J1475">
        <f>IF($J$1442="inherit",$I$1423,IF($J$1442="null","UNKNOWN",$J$1443))</f>
        <v/>
      </c>
      <c r="K1475">
        <f>IF($K$1442="inherit",$I$1423,IF($K$1442="null","UNKNOWN",$K$1443))</f>
        <v/>
      </c>
    </row>
    <row r="1476">
      <c r="J1476">
        <f>IF($J$1444="inherit",$I$1427,IF($J$1444="null","UNKNOWN",$J$1445))</f>
        <v/>
      </c>
      <c r="K1476">
        <f>IF($K$1444="inherit",$I$1427,IF($K$1444="null","UNKNOWN",$K$1445))</f>
        <v/>
      </c>
    </row>
    <row r="1477">
      <c r="J1477">
        <f>IF($J$1446="inherit",$I$1426,IF($J$1446="null","UNKNOWN",$J$1447))</f>
        <v/>
      </c>
      <c r="K1477">
        <f>IF($K$1446="inherit",$I$1426,IF($K$1446="null","UNKNOWN",$K$1447))</f>
        <v/>
      </c>
    </row>
    <row r="1478">
      <c r="I1478">
        <f>IFERROR(MATCH($I$1429,$J$1429:$K$1429,0),0)</f>
        <v/>
      </c>
    </row>
    <row r="1479">
      <c r="J1479">
        <f>IF(I1478=0,"ERROR",IF(OR($J$1448="ERROR",INDEX($J$1448:$K$1448,1,I1478)="ERROR"),"ERROR",IF(OR($J$1448="UNKNOWN",INDEX($J$1448:$K$1448,1,I1478)="UNKNOWN"),"UNKNOWN",IF(OR($J$1448="NOT_APPLICABLE",INDEX($J$1448:$K$1448,1,I1478)="NOT_APPLICABLE"),"NOT_APPLICABLE",$J$1448-INDEX($J$1448:$K$1448,1,I1478)))))</f>
        <v/>
      </c>
      <c r="K1479">
        <f>IF(I1478=0,"ERROR",IF(OR($K$1448="ERROR",INDEX($J$1448:$K$1448,1,I1478)="ERROR"),"ERROR",IF(OR($K$1448="UNKNOWN",INDEX($J$1448:$K$1448,1,I1478)="UNKNOWN"),"UNKNOWN",IF(OR($K$1448="NOT_APPLICABLE",INDEX($J$1448:$K$1448,1,I1478)="NOT_APPLICABLE"),"NOT_APPLICABLE",$K$1448-INDEX($J$1448:$K$1448,1,I1478)))))</f>
        <v/>
      </c>
    </row>
    <row r="1480">
      <c r="J1480">
        <f>IF(I1478=0,"ERROR",IF(OR($J$1449="ERROR",INDEX($J$1449:$K$1449,1,I1478)="ERROR"),"ERROR",IF(OR($J$1449="UNKNOWN",INDEX($J$1449:$K$1449,1,I1478)="UNKNOWN"),"UNKNOWN",IF(OR($J$1449="NOT_APPLICABLE",INDEX($J$1449:$K$1449,1,I1478)="NOT_APPLICABLE"),"NOT_APPLICABLE",$J$1449-INDEX($J$1449:$K$1449,1,I1478)))))</f>
        <v/>
      </c>
      <c r="K1480">
        <f>IF(I1478=0,"ERROR",IF(OR($K$1449="ERROR",INDEX($J$1449:$K$1449,1,I1478)="ERROR"),"ERROR",IF(OR($K$1449="UNKNOWN",INDEX($J$1449:$K$1449,1,I1478)="UNKNOWN"),"UNKNOWN",IF(OR($K$1449="NOT_APPLICABLE",INDEX($J$1449:$K$1449,1,I1478)="NOT_APPLICABLE"),"NOT_APPLICABLE",$K$1449-INDEX($J$1449:$K$1449,1,I1478)))))</f>
        <v/>
      </c>
    </row>
    <row r="1481">
      <c r="J1481">
        <f>IF(I1478=0,"ERROR",IF(OR($J$1450="ERROR",INDEX($J$1450:$K$1450,1,I1478)="ERROR"),"ERROR",IF(OR($J$1450="UNKNOWN",INDEX($J$1450:$K$1450,1,I1478)="UNKNOWN"),"UNKNOWN",IF(OR($J$1450="NOT_APPLICABLE",INDEX($J$1450:$K$1450,1,I1478)="NOT_APPLICABLE"),"NOT_APPLICABLE",$J$1450-INDEX($J$1450:$K$1450,1,I1478)))))</f>
        <v/>
      </c>
      <c r="K1481">
        <f>IF(I1478=0,"ERROR",IF(OR($K$1450="ERROR",INDEX($J$1450:$K$1450,1,I1478)="ERROR"),"ERROR",IF(OR($K$1450="UNKNOWN",INDEX($J$1450:$K$1450,1,I1478)="UNKNOWN"),"UNKNOWN",IF(OR($K$1450="NOT_APPLICABLE",INDEX($J$1450:$K$1450,1,I1478)="NOT_APPLICABLE"),"NOT_APPLICABLE",$K$1450-INDEX($J$1450:$K$1450,1,I1478)))))</f>
        <v/>
      </c>
    </row>
    <row r="1482">
      <c r="J1482">
        <f>IF(I1478=0,"ERROR",IF(OR($J$1466="ERROR",INDEX($J$1466:$K$1466,1,I1478)="ERROR"),"ERROR",IF(OR($J$1466="UNKNOWN",INDEX($J$1466:$K$1466,1,I1478)="UNKNOWN"),"UNKNOWN",IF(OR($J$1466="NOT_APPLICABLE",INDEX($J$1466:$K$1466,1,I1478)="NOT_APPLICABLE"),"NOT_APPLICABLE",$J$1466-INDEX($J$1466:$K$1466,1,I1478)))))</f>
        <v/>
      </c>
      <c r="K1482">
        <f>IF(I1478=0,"ERROR",IF(OR($K$1466="ERROR",INDEX($J$1466:$K$1466,1,I1478)="ERROR"),"ERROR",IF(OR($K$1466="UNKNOWN",INDEX($J$1466:$K$1466,1,I1478)="UNKNOWN"),"UNKNOWN",IF(OR($K$1466="NOT_APPLICABLE",INDEX($J$1466:$K$1466,1,I1478)="NOT_APPLICABLE"),"NOT_APPLICABLE",$K$1466-INDEX($J$1466:$K$1466,1,I1478)))))</f>
        <v/>
      </c>
    </row>
    <row r="1484">
      <c r="B1484" s="8" t="inlineStr">
        <is>
          <t>Scenario A: scenario_status</t>
        </is>
      </c>
      <c r="C1484" s="16">
        <f>J1468</f>
        <v/>
      </c>
      <c r="D1484" s="38" t="inlineStr">
        <is>
          <t>OK</t>
        </is>
      </c>
      <c r="F1484" s="15">
        <f>IF(J1468=D1484,"PASS","FAIL")</f>
        <v/>
      </c>
    </row>
    <row r="1485">
      <c r="B1485" s="8" t="inlineStr">
        <is>
          <t>Scenario A: contribution_margin</t>
        </is>
      </c>
      <c r="C1485" s="25">
        <f>J1449</f>
        <v/>
      </c>
      <c r="D1485" s="42" t="n">
        <v>500</v>
      </c>
      <c r="E1485" s="26">
        <f>IF(ISNUMBER(D1485),IF(ISNUMBER(J1449),ABS(J1449-D1485),"N/A"),"N/A")</f>
        <v/>
      </c>
      <c r="F1485" s="15">
        <f>IFERROR(IF(ISNUMBER(D1485),IF(ISNUMBER(J1449),IF(ABS(J1449-D1485)&lt;=0.01,"PASS","FAIL"),"FAIL"),IF(NOT(ISNUMBER(J1449)),IF(J1449=D1485,"PASS","FAIL"),"FAIL")),"FAIL")</f>
        <v/>
      </c>
    </row>
    <row r="1486">
      <c r="B1486" s="8" t="inlineStr">
        <is>
          <t>Scenario A: break_even_quantity_exact</t>
        </is>
      </c>
      <c r="C1486" s="25">
        <f>J1466</f>
        <v/>
      </c>
      <c r="D1486" s="42" t="n">
        <v>100</v>
      </c>
      <c r="E1486" s="26">
        <f>IF(ISNUMBER(D1486),IF(ISNUMBER(J1466),ABS(J1466-D1486),"N/A"),"N/A")</f>
        <v/>
      </c>
      <c r="F1486" s="15">
        <f>IFERROR(IF(ISNUMBER(D1486),IF(ISNUMBER(J1466),IF(ABS(J1466-D1486)&lt;=0.01,"PASS","FAIL"),"FAIL"),IF(NOT(ISNUMBER(J1466)),IF(J1466=D1486,"PASS","FAIL"),"FAIL")),"FAIL")</f>
        <v/>
      </c>
    </row>
    <row r="1487">
      <c r="B1487" s="8" t="inlineStr">
        <is>
          <t>Scenario A: net_sales_ex_vat_delta</t>
        </is>
      </c>
      <c r="C1487" s="43">
        <f>J1479</f>
        <v/>
      </c>
      <c r="D1487" s="44" t="n">
        <v>0</v>
      </c>
      <c r="F1487" s="15">
        <f>IFERROR(IF(ISNUMBER(D1487),IF(ISNUMBER(J1479),IF(ABS(J1479-D1487)&lt;=0.01,"PASS","FAIL"),"FAIL"),IF(NOT(ISNUMBER(J1479)),IF(J1479=D1487,"PASS","FAIL"),"FAIL")),"FAIL")</f>
        <v/>
      </c>
    </row>
    <row r="1488">
      <c r="B1488" s="8" t="inlineStr">
        <is>
          <t>Scenario A: contribution_margin_delta</t>
        </is>
      </c>
      <c r="C1488" s="43">
        <f>J1480</f>
        <v/>
      </c>
      <c r="D1488" s="44" t="n">
        <v>0</v>
      </c>
      <c r="F1488" s="15">
        <f>IFERROR(IF(ISNUMBER(D1488),IF(ISNUMBER(J1480),IF(ABS(J1480-D1488)&lt;=0.01,"PASS","FAIL"),"FAIL"),IF(NOT(ISNUMBER(J1480)),IF(J1480=D1488,"PASS","FAIL"),"FAIL")),"FAIL")</f>
        <v/>
      </c>
    </row>
    <row r="1489">
      <c r="B1489" s="8" t="inlineStr">
        <is>
          <t>Scenario A: contribution_margin_rate_delta</t>
        </is>
      </c>
      <c r="C1489" s="43">
        <f>J1481</f>
        <v/>
      </c>
      <c r="D1489" s="44" t="n">
        <v>0</v>
      </c>
      <c r="F1489" s="15">
        <f>IFERROR(IF(ISNUMBER(D1489),IF(ISNUMBER(J1481),IF(ABS(J1481-D1489)&lt;=0.01,"PASS","FAIL"),"FAIL"),IF(NOT(ISNUMBER(J1481)),IF(J1481=D1489,"PASS","FAIL"),"FAIL")),"FAIL")</f>
        <v/>
      </c>
    </row>
    <row r="1490">
      <c r="B1490" s="8" t="inlineStr">
        <is>
          <t>Scenario A: break_even_quantity_delta</t>
        </is>
      </c>
      <c r="C1490" s="43">
        <f>J1482</f>
        <v/>
      </c>
      <c r="D1490" s="44" t="n">
        <v>0</v>
      </c>
      <c r="F1490" s="15">
        <f>IFERROR(IF(ISNUMBER(D1490),IF(ISNUMBER(J1482),IF(ABS(J1482-D1490)&lt;=0.01,"PASS","FAIL"),"FAIL"),IF(NOT(ISNUMBER(J1482)),IF(J1482=D1490,"PASS","FAIL"),"FAIL")),"FAIL")</f>
        <v/>
      </c>
    </row>
    <row r="1491">
      <c r="B1491" s="8" t="inlineStr">
        <is>
          <t>Scenario B: scenario_status</t>
        </is>
      </c>
      <c r="C1491" s="16">
        <f>K1468</f>
        <v/>
      </c>
      <c r="D1491" s="38" t="inlineStr">
        <is>
          <t>OK</t>
        </is>
      </c>
      <c r="F1491" s="15">
        <f>IF(K1468=D1491,"PASS","FAIL")</f>
        <v/>
      </c>
    </row>
    <row r="1492">
      <c r="B1492" s="8" t="inlineStr">
        <is>
          <t>Scenario B: contribution_margin</t>
        </is>
      </c>
      <c r="C1492" s="25">
        <f>K1449</f>
        <v/>
      </c>
      <c r="D1492" s="42" t="n">
        <v>700</v>
      </c>
      <c r="E1492" s="26">
        <f>IF(ISNUMBER(D1492),IF(ISNUMBER(K1449),ABS(K1449-D1492),"N/A"),"N/A")</f>
        <v/>
      </c>
      <c r="F1492" s="15">
        <f>IFERROR(IF(ISNUMBER(D1492),IF(ISNUMBER(K1449),IF(ABS(K1449-D1492)&lt;=0.01,"PASS","FAIL"),"FAIL"),IF(NOT(ISNUMBER(K1449)),IF(K1449=D1492,"PASS","FAIL"),"FAIL")),"FAIL")</f>
        <v/>
      </c>
    </row>
    <row r="1493">
      <c r="B1493" s="8" t="inlineStr">
        <is>
          <t>Scenario B: break_even_quantity_exact</t>
        </is>
      </c>
      <c r="C1493" s="25">
        <f>K1466</f>
        <v/>
      </c>
      <c r="D1493" s="42" t="n">
        <v>71.42857142857143</v>
      </c>
      <c r="E1493" s="26">
        <f>IF(ISNUMBER(D1493),IF(ISNUMBER(K1466),ABS(K1466-D1493),"N/A"),"N/A")</f>
        <v/>
      </c>
      <c r="F1493" s="15">
        <f>IFERROR(IF(ISNUMBER(D1493),IF(ISNUMBER(K1466),IF(ABS(K1466-D1493)&lt;=0.01,"PASS","FAIL"),"FAIL"),IF(NOT(ISNUMBER(K1466)),IF(K1466=D1493,"PASS","FAIL"),"FAIL")),"FAIL")</f>
        <v/>
      </c>
    </row>
    <row r="1494">
      <c r="B1494" s="8" t="inlineStr">
        <is>
          <t>Scenario B: net_sales_ex_vat_delta</t>
        </is>
      </c>
      <c r="C1494" s="43">
        <f>K1479</f>
        <v/>
      </c>
      <c r="D1494" s="44" t="n">
        <v>200</v>
      </c>
      <c r="F1494" s="15">
        <f>IFERROR(IF(ISNUMBER(D1494),IF(ISNUMBER(K1479),IF(ABS(K1479-D1494)&lt;=0.01,"PASS","FAIL"),"FAIL"),IF(NOT(ISNUMBER(K1479)),IF(K1479=D1494,"PASS","FAIL"),"FAIL")),"FAIL")</f>
        <v/>
      </c>
    </row>
    <row r="1495">
      <c r="B1495" s="8" t="inlineStr">
        <is>
          <t>Scenario B: contribution_margin_delta</t>
        </is>
      </c>
      <c r="C1495" s="43">
        <f>K1480</f>
        <v/>
      </c>
      <c r="D1495" s="44" t="n">
        <v>200</v>
      </c>
      <c r="F1495" s="15">
        <f>IFERROR(IF(ISNUMBER(D1495),IF(ISNUMBER(K1480),IF(ABS(K1480-D1495)&lt;=0.01,"PASS","FAIL"),"FAIL"),IF(NOT(ISNUMBER(K1480)),IF(K1480=D1495,"PASS","FAIL"),"FAIL")),"FAIL")</f>
        <v/>
      </c>
    </row>
    <row r="1496">
      <c r="B1496" s="8" t="inlineStr">
        <is>
          <t>Scenario B: contribution_margin_rate_delta</t>
        </is>
      </c>
      <c r="C1496" s="43">
        <f>K1481</f>
        <v/>
      </c>
      <c r="D1496" s="44" t="n">
        <v>0.08333333333333337</v>
      </c>
      <c r="F1496" s="15">
        <f>IFERROR(IF(ISNUMBER(D1496),IF(ISNUMBER(K1481),IF(ABS(K1481-D1496)&lt;=0.01,"PASS","FAIL"),"FAIL"),IF(NOT(ISNUMBER(K1481)),IF(K1481=D1496,"PASS","FAIL"),"FAIL")),"FAIL")</f>
        <v/>
      </c>
    </row>
    <row r="1497">
      <c r="B1497" s="8" t="inlineStr">
        <is>
          <t>Scenario B: break_even_quantity_delta</t>
        </is>
      </c>
      <c r="C1497" s="43">
        <f>K1482</f>
        <v/>
      </c>
      <c r="D1497" s="44" t="n">
        <v>-28.57142857142857</v>
      </c>
      <c r="F1497" s="15">
        <f>IFERROR(IF(ISNUMBER(D1497),IF(ISNUMBER(K1482),IF(ABS(K1482-D1497)&lt;=0.01,"PASS","FAIL"),"FAIL"),IF(NOT(ISNUMBER(K1482)),IF(K1482=D1497,"PASS","FAIL"),"FAIL")),"FAIL")</f>
        <v/>
      </c>
    </row>
    <row r="1499" ht="20" customHeight="1">
      <c r="B1499" s="2" t="inlineStr">
        <is>
          <t>TC19. Explicit null override -&gt; UNKNOWN</t>
        </is>
      </c>
      <c r="C1499" s="7" t="n"/>
      <c r="D1499" s="7" t="n"/>
      <c r="E1499" s="7" t="n"/>
      <c r="F1499" s="7" t="n"/>
    </row>
    <row r="1500">
      <c r="B1500" s="4" t="inlineStr">
        <is>
          <t>Check</t>
        </is>
      </c>
      <c r="C1500" s="4" t="inlineStr">
        <is>
          <t>Excel Result</t>
        </is>
      </c>
      <c r="D1500" s="4" t="inlineStr">
        <is>
          <t>Python Reference</t>
        </is>
      </c>
      <c r="E1500" s="4" t="inlineStr">
        <is>
          <t>Difference</t>
        </is>
      </c>
      <c r="F1500" s="4" t="inlineStr">
        <is>
          <t>PASS / FAIL</t>
        </is>
      </c>
    </row>
    <row r="1501">
      <c r="I1501" t="n">
        <v>1000</v>
      </c>
    </row>
    <row r="1502">
      <c r="I1502" t="b">
        <v>0</v>
      </c>
    </row>
    <row r="1503">
      <c r="I1503" t="n">
        <v>0.1</v>
      </c>
    </row>
    <row r="1504">
      <c r="I1504" t="n">
        <v>1000</v>
      </c>
    </row>
    <row r="1505">
      <c r="I1505" t="n">
        <v>0</v>
      </c>
    </row>
    <row r="1506">
      <c r="I1506" t="n">
        <v>400</v>
      </c>
    </row>
    <row r="1507">
      <c r="I1507" t="n">
        <v>100</v>
      </c>
    </row>
    <row r="1508">
      <c r="I1508" t="n">
        <v>0</v>
      </c>
    </row>
    <row r="1509">
      <c r="I1509" t="n">
        <v>0</v>
      </c>
    </row>
    <row r="1510">
      <c r="I1510" t="n">
        <v>50000</v>
      </c>
    </row>
    <row r="1511">
      <c r="I1511" t="n">
        <v>0.3</v>
      </c>
    </row>
    <row r="1512">
      <c r="I1512" t="inlineStr">
        <is>
          <t>A</t>
        </is>
      </c>
      <c r="J1512" t="inlineStr">
        <is>
          <t>A</t>
        </is>
      </c>
      <c r="K1512" t="inlineStr">
        <is>
          <t>B</t>
        </is>
      </c>
    </row>
    <row r="1513">
      <c r="J1513" t="inlineStr">
        <is>
          <t>inherit</t>
        </is>
      </c>
      <c r="K1513" t="inlineStr">
        <is>
          <t>null</t>
        </is>
      </c>
    </row>
    <row r="1514"/>
    <row r="1515">
      <c r="J1515" t="inlineStr">
        <is>
          <t>inherit</t>
        </is>
      </c>
      <c r="K1515" t="inlineStr">
        <is>
          <t>inherit</t>
        </is>
      </c>
    </row>
    <row r="1516"/>
    <row r="1517">
      <c r="J1517" t="inlineStr">
        <is>
          <t>inherit</t>
        </is>
      </c>
      <c r="K1517" t="inlineStr">
        <is>
          <t>inherit</t>
        </is>
      </c>
    </row>
    <row r="1518"/>
    <row r="1519">
      <c r="J1519" t="inlineStr">
        <is>
          <t>inherit</t>
        </is>
      </c>
      <c r="K1519" t="inlineStr">
        <is>
          <t>inherit</t>
        </is>
      </c>
    </row>
    <row r="1520"/>
    <row r="1521">
      <c r="J1521" t="inlineStr">
        <is>
          <t>inherit</t>
        </is>
      </c>
      <c r="K1521" t="inlineStr">
        <is>
          <t>inherit</t>
        </is>
      </c>
    </row>
    <row r="1522"/>
    <row r="1523">
      <c r="J1523" t="inlineStr">
        <is>
          <t>inherit</t>
        </is>
      </c>
      <c r="K1523" t="inlineStr">
        <is>
          <t>inherit</t>
        </is>
      </c>
    </row>
    <row r="1524"/>
    <row r="1525">
      <c r="J1525" t="inlineStr">
        <is>
          <t>inherit</t>
        </is>
      </c>
      <c r="K1525" t="inlineStr">
        <is>
          <t>inherit</t>
        </is>
      </c>
    </row>
    <row r="1526"/>
    <row r="1527">
      <c r="J1527" t="inlineStr">
        <is>
          <t>inherit</t>
        </is>
      </c>
      <c r="K1527" t="inlineStr">
        <is>
          <t>inherit</t>
        </is>
      </c>
    </row>
    <row r="1528"/>
    <row r="1529">
      <c r="J1529" t="inlineStr">
        <is>
          <t>inherit</t>
        </is>
      </c>
      <c r="K1529" t="inlineStr">
        <is>
          <t>inherit</t>
        </is>
      </c>
    </row>
    <row r="1530"/>
    <row r="1531">
      <c r="J1531">
        <f>IFERROR(IF(NOT(ISNUMBER(J1552)),"UNKNOWN",IF(J1553="UNKNOWN","UNKNOWN",IF(J1553=FALSE,J1552,IF(NOT(ISNUMBER(J1554)),"UNKNOWN",J1552/(1+J1554))))),"ERROR")</f>
        <v/>
      </c>
      <c r="K1531">
        <f>IFERROR(IF(NOT(ISNUMBER(K1552)),"UNKNOWN",IF(K1553="UNKNOWN","UNKNOWN",IF(K1553=FALSE,K1552,IF(NOT(ISNUMBER(K1554)),"UNKNOWN",K1552/(1+K1554))))),"ERROR")</f>
        <v/>
      </c>
    </row>
    <row r="1532">
      <c r="J1532">
        <f>IFERROR(IF(J1531="ERROR","ERROR",IF(OR(NOT(ISNUMBER(J1531)),NOT(ISNUMBER(J1558))),"UNKNOWN",IF(J1560&gt;0,IF(J1542="ERROR","ERROR",IF(NOT(ISNUMBER(J1542)),"UNKNOWN",J1531-J1558-$I$1507-$I$1508*J1531-J1560*J1542)),J1531-J1558-$I$1507-$I$1508*J1531))),"ERROR")</f>
        <v/>
      </c>
      <c r="K1532">
        <f>IFERROR(IF(K1531="ERROR","ERROR",IF(OR(NOT(ISNUMBER(K1531)),NOT(ISNUMBER(K1558))),"UNKNOWN",IF(K1560&gt;0,IF(K1542="ERROR","ERROR",IF(NOT(ISNUMBER(K1542)),"UNKNOWN",K1531-K1558-$I$1507-$I$1508*K1531-K1560*K1542)),K1531-K1558-$I$1507-$I$1508*K1531))),"ERROR")</f>
        <v/>
      </c>
    </row>
    <row r="1533">
      <c r="J1533">
        <f>IFERROR(IF(J1532="ERROR","ERROR",IF(NOT(ISNUMBER(J1532)),"UNKNOWN",IF(J1531=0,"ERROR",J1532/J1531))),"ERROR")</f>
        <v/>
      </c>
      <c r="K1533">
        <f>IFERROR(IF(K1532="ERROR","ERROR",IF(NOT(ISNUMBER(K1532)),"UNKNOWN",IF(K1531=0,"ERROR",K1532/K1531))),"ERROR")</f>
        <v/>
      </c>
    </row>
    <row r="1534">
      <c r="J1534">
        <f>IF(OR(J1531="ERROR",J1532="ERROR",J1533="ERROR"),"ERROR",IF(OR(NOT(ISNUMBER(J1531)),NOT(ISNUMBER(J1532)),NOT(ISNUMBER(J1533))),"UNKNOWN","OK"))</f>
        <v/>
      </c>
      <c r="K1534">
        <f>IF(OR(K1531="ERROR",K1532="ERROR",K1533="ERROR"),"ERROR",IF(OR(NOT(ISNUMBER(K1531)),NOT(ISNUMBER(K1532)),NOT(ISNUMBER(K1533))),"UNKNOWN","OK"))</f>
        <v/>
      </c>
    </row>
    <row r="1535">
      <c r="J1535">
        <f>IFERROR(IF(NOT(ISNUMBER(J1558)),J1558,J1558+$I$1507),"ERROR")</f>
        <v/>
      </c>
      <c r="K1535">
        <f>IFERROR(IF(NOT(ISNUMBER(K1558)),K1558,K1558+$I$1507),"ERROR")</f>
        <v/>
      </c>
    </row>
    <row r="1536">
      <c r="J1536">
        <f>IFERROR(IF(NOT(ISNUMBER(J1557)),"UNKNOWN",IF(OR(J1557&lt;0,J1557&gt;=1),"ERROR",IF(J1560=0,IF(1-J1557-$I$1508&lt;=0,"ERROR",1-J1557-$I$1508),IF(NOT(ISNUMBER(J1554)),"UNKNOWN",IF(1-J1557-$I$1508-J1560*(1+J1554)&lt;=0,"ERROR",1-J1557-$I$1508-J1560*(1+J1554)))))),"ERROR")</f>
        <v/>
      </c>
      <c r="K1536">
        <f>IFERROR(IF(NOT(ISNUMBER(K1557)),"UNKNOWN",IF(OR(K1557&lt;0,K1557&gt;=1),"ERROR",IF(K1560=0,IF(1-K1557-$I$1508&lt;=0,"ERROR",1-K1557-$I$1508),IF(NOT(ISNUMBER(K1554)),"UNKNOWN",IF(1-K1557-$I$1508-K1560*(1+K1554)&lt;=0,"ERROR",1-K1557-$I$1508-K1560*(1+K1554)))))),"ERROR")</f>
        <v/>
      </c>
    </row>
    <row r="1537">
      <c r="J1537">
        <f>IFERROR(IF(NOT(ISNUMBER(J1535)),J1535,IF(NOT(ISNUMBER(J1536)),J1536,J1535/J1536)),"ERROR")</f>
        <v/>
      </c>
      <c r="K1537">
        <f>IFERROR(IF(NOT(ISNUMBER(K1535)),K1535,IF(NOT(ISNUMBER(K1536)),K1536,K1535/K1536)),"ERROR")</f>
        <v/>
      </c>
    </row>
    <row r="1538">
      <c r="J1538">
        <f>IFERROR(IF(NOT(ISNUMBER(J1537)),J1537,IF(NOT(ISNUMBER(J1554)),"UNKNOWN",J1537*(1+J1554))),"ERROR")</f>
        <v/>
      </c>
      <c r="K1538">
        <f>IFERROR(IF(NOT(ISNUMBER(K1537)),K1537,IF(NOT(ISNUMBER(K1554)),"UNKNOWN",K1537*(1+K1554))),"ERROR")</f>
        <v/>
      </c>
    </row>
    <row r="1539">
      <c r="J1539">
        <f>IFERROR(IF(J1553="UNKNOWN","UNKNOWN",IF(J1553=FALSE,J1537,J1538)),"ERROR")</f>
        <v/>
      </c>
      <c r="K1539">
        <f>IFERROR(IF(K1553="UNKNOWN","UNKNOWN",IF(K1553=FALSE,K1537,K1538)),"ERROR")</f>
        <v/>
      </c>
    </row>
    <row r="1540">
      <c r="J1540">
        <f>IFERROR(IF(NOT(ISNUMBER(J1539)),J1539,IF(NOT(ISNUMBER(J1556)),"UNKNOWN",IF(OR(J1556&lt;0,J1556&gt;=1),"ERROR",IF(J1556=0,J1539,J1539/(1-J1556))))),"ERROR")</f>
        <v/>
      </c>
      <c r="K1540">
        <f>IFERROR(IF(NOT(ISNUMBER(K1539)),K1539,IF(NOT(ISNUMBER(K1556)),"UNKNOWN",IF(OR(K1556&lt;0,K1556&gt;=1),"ERROR",IF(K1556=0,K1539,K1539/(1-K1556))))),"ERROR")</f>
        <v/>
      </c>
    </row>
    <row r="1541">
      <c r="J1541">
        <f>IF(OR(J1539="ERROR",J1540="ERROR"),"ERROR",IF(OR(NOT(ISNUMBER(J1539)),NOT(ISNUMBER(J1540))),"UNKNOWN","OK"))</f>
        <v/>
      </c>
      <c r="K1541">
        <f>IF(OR(K1539="ERROR",K1540="ERROR"),"ERROR",IF(OR(NOT(ISNUMBER(K1539)),NOT(ISNUMBER(K1540))),"UNKNOWN","OK"))</f>
        <v/>
      </c>
    </row>
    <row r="1542">
      <c r="J1542">
        <f>IFERROR(IF(NOT(ISNUMBER(J1552)),"UNKNOWN",IF(J1553="UNKNOWN","UNKNOWN",IF(J1553=TRUE,J1552,IF(NOT(ISNUMBER(J1554)),"UNKNOWN",J1552*(1+J1554))))),"ERROR")</f>
        <v/>
      </c>
      <c r="K1542">
        <f>IFERROR(IF(NOT(ISNUMBER(K1552)),"UNKNOWN",IF(K1553="UNKNOWN","UNKNOWN",IF(K1553=TRUE,K1552,IF(NOT(ISNUMBER(K1554)),"UNKNOWN",K1552*(1+K1554))))),"ERROR")</f>
        <v/>
      </c>
    </row>
    <row r="1543">
      <c r="J1543">
        <f>IFERROR(IF(NOT(ISNUMBER(J1555)),"UNKNOWN",IF(J1553="UNKNOWN","UNKNOWN",IF(J1553=FALSE,J1555,IF(NOT(ISNUMBER(J1554)),"UNKNOWN",J1555/(1+J1554))))),"ERROR")</f>
        <v/>
      </c>
      <c r="K1543">
        <f>IFERROR(IF(NOT(ISNUMBER(K1555)),"UNKNOWN",IF(K1553="UNKNOWN","UNKNOWN",IF(K1553=FALSE,K1555,IF(NOT(ISNUMBER(K1554)),"UNKNOWN",K1555/(1+K1554))))),"ERROR")</f>
        <v/>
      </c>
    </row>
    <row r="1544">
      <c r="J1544">
        <f>IFERROR(IF(NOT(ISNUMBER(J1555)),"UNKNOWN",IF(J1553="UNKNOWN","UNKNOWN",IF(J1553=TRUE,J1555,IF(NOT(ISNUMBER(J1554)),"UNKNOWN",J1555*(1+J1554))))),"ERROR")</f>
        <v/>
      </c>
      <c r="K1544">
        <f>IFERROR(IF(NOT(ISNUMBER(K1555)),"UNKNOWN",IF(K1553="UNKNOWN","UNKNOWN",IF(K1553=TRUE,K1555,IF(NOT(ISNUMBER(K1554)),"UNKNOWN",K1555*(1+K1554))))),"ERROR")</f>
        <v/>
      </c>
    </row>
    <row r="1545">
      <c r="J1545">
        <f>IFERROR(IF(J1543="ERROR","ERROR",IF(NOT(ISNUMBER(J1557)),"UNKNOWN",IF(OR(J1557&lt;0,J1557&gt;=1),"ERROR",IF(NOT(ISNUMBER(J1543)),"UNKNOWN",IF(J1560&gt;0,IF(J1544="ERROR","ERROR",IF(NOT(ISNUMBER(J1544)),"UNKNOWN",J1543*(1-J1557-$I$1508)-J1560*J1544-$I$1507)),J1543*(1-J1557-$I$1508)-$I$1507))))),"ERROR")</f>
        <v/>
      </c>
      <c r="K1545">
        <f>IFERROR(IF(K1543="ERROR","ERROR",IF(NOT(ISNUMBER(K1557)),"UNKNOWN",IF(OR(K1557&lt;0,K1557&gt;=1),"ERROR",IF(NOT(ISNUMBER(K1543)),"UNKNOWN",IF(K1560&gt;0,IF(K1544="ERROR","ERROR",IF(NOT(ISNUMBER(K1544)),"UNKNOWN",K1543*(1-K1557-$I$1508)-K1560*K1544-$I$1507)),K1543*(1-K1557-$I$1508)-$I$1507))))),"ERROR")</f>
        <v/>
      </c>
    </row>
    <row r="1546">
      <c r="J1546">
        <f>IFERROR(IF(OR(J1545="ERROR",J1558="ERROR"),"ERROR",IF(OR(NOT(ISNUMBER(J1545)),NOT(ISNUMBER(J1558))),"UNKNOWN",J1545-J1558)),"ERROR")</f>
        <v/>
      </c>
      <c r="K1546">
        <f>IFERROR(IF(OR(K1545="ERROR",K1558="ERROR"),"ERROR",IF(OR(NOT(ISNUMBER(K1545)),NOT(ISNUMBER(K1558))),"UNKNOWN",K1545-K1558)),"ERROR")</f>
        <v/>
      </c>
    </row>
    <row r="1547">
      <c r="J1547">
        <f>IF(OR(J1545="ERROR",J1558="ERROR",J1546="ERROR"),"ERROR",IF(OR(NOT(ISNUMBER(J1545)),NOT(ISNUMBER(J1558)),NOT(ISNUMBER(J1546))),"UNKNOWN","OK"))</f>
        <v/>
      </c>
      <c r="K1547">
        <f>IF(OR(K1545="ERROR",K1558="ERROR",K1546="ERROR"),"ERROR",IF(OR(NOT(ISNUMBER(K1545)),NOT(ISNUMBER(K1558)),NOT(ISNUMBER(K1546))),"UNKNOWN","OK"))</f>
        <v/>
      </c>
    </row>
    <row r="1548">
      <c r="J1548">
        <f>IFERROR(IF(NOT(ISNUMBER(J1559)),J1559,IF(J1559&lt;0,"ERROR",J1559)),"ERROR")</f>
        <v/>
      </c>
      <c r="K1548">
        <f>IFERROR(IF(NOT(ISNUMBER(K1559)),K1559,IF(K1559&lt;0,"ERROR",K1559)),"ERROR")</f>
        <v/>
      </c>
    </row>
    <row r="1549">
      <c r="J1549">
        <f>IFERROR(IF(OR(J1532="ERROR",J1548="ERROR"),"ERROR",IF(OR(NOT(ISNUMBER(J1532)),NOT(ISNUMBER(J1548))),"UNKNOWN",IF(J1532&lt;=0,"NOT_APPLICABLE",J1548/J1532))),"ERROR")</f>
        <v/>
      </c>
      <c r="K1549">
        <f>IFERROR(IF(OR(K1532="ERROR",K1548="ERROR"),"ERROR",IF(OR(NOT(ISNUMBER(K1532)),NOT(ISNUMBER(K1548))),"UNKNOWN",IF(K1532&lt;=0,"NOT_APPLICABLE",K1548/K1532))),"ERROR")</f>
        <v/>
      </c>
    </row>
    <row r="1550">
      <c r="J1550">
        <f>IF(OR(J1532="ERROR",J1548="ERROR",J1549="ERROR"),"ERROR",IF(OR(NOT(ISNUMBER(J1532)),NOT(ISNUMBER(J1548)),AND(NOT(ISNUMBER(J1549)),J1549&lt;&gt;"NOT_APPLICABLE")),"UNKNOWN","OK"))</f>
        <v/>
      </c>
      <c r="K1550">
        <f>IF(OR(K1532="ERROR",K1548="ERROR",K1549="ERROR"),"ERROR",IF(OR(NOT(ISNUMBER(K1532)),NOT(ISNUMBER(K1548)),AND(NOT(ISNUMBER(K1549)),K1549&lt;&gt;"NOT_APPLICABLE")),"UNKNOWN","OK"))</f>
        <v/>
      </c>
    </row>
    <row r="1551">
      <c r="J1551">
        <f>IF(OR(J1534="ERROR",J1541="ERROR",J1547="ERROR",J1550="ERROR"),"ERROR",IF(OR(J1534="UNKNOWN",J1541="UNKNOWN",J1547="UNKNOWN",J1550="UNKNOWN"),"INCOMPLETE","OK"))</f>
        <v/>
      </c>
      <c r="K1551">
        <f>IF(OR(K1534="ERROR",K1541="ERROR",K1547="ERROR",K1550="ERROR"),"ERROR",IF(OR(K1534="UNKNOWN",K1541="UNKNOWN",K1547="UNKNOWN",K1550="UNKNOWN"),"INCOMPLETE","OK"))</f>
        <v/>
      </c>
    </row>
    <row r="1552">
      <c r="J1552">
        <f>IF($J$1513="inherit",$I$1501,IF($J$1513="null","UNKNOWN",$J$1514))</f>
        <v/>
      </c>
      <c r="K1552">
        <f>IF($K$1513="inherit",$I$1501,IF($K$1513="null","UNKNOWN",$K$1514))</f>
        <v/>
      </c>
    </row>
    <row r="1553">
      <c r="J1553">
        <f>IF($J$1515="inherit",$I$1502,IF($J$1515="null","UNKNOWN",$J$1516))</f>
        <v/>
      </c>
      <c r="K1553">
        <f>IF($K$1515="inherit",$I$1502,IF($K$1515="null","UNKNOWN",$K$1516))</f>
        <v/>
      </c>
    </row>
    <row r="1554">
      <c r="J1554">
        <f>IF($J$1517="inherit",$I$1503,IF($J$1517="null","UNKNOWN",$J$1518))</f>
        <v/>
      </c>
      <c r="K1554">
        <f>IF($K$1517="inherit",$I$1503,IF($K$1517="null","UNKNOWN",$K$1518))</f>
        <v/>
      </c>
    </row>
    <row r="1555">
      <c r="J1555">
        <f>IF($J$1519="inherit",$I$1504,IF($J$1519="null","UNKNOWN",$J$1520))</f>
        <v/>
      </c>
      <c r="K1555">
        <f>IF($K$1519="inherit",$I$1504,IF($K$1519="null","UNKNOWN",$K$1520))</f>
        <v/>
      </c>
    </row>
    <row r="1556">
      <c r="J1556">
        <f>IF($J$1521="inherit",$I$1505,IF($J$1521="null","UNKNOWN",$J$1522))</f>
        <v/>
      </c>
      <c r="K1556">
        <f>IF($K$1521="inherit",$I$1505,IF($K$1521="null","UNKNOWN",$K$1522))</f>
        <v/>
      </c>
    </row>
    <row r="1557">
      <c r="J1557">
        <f>IF($J$1523="inherit",$I$1511,IF($J$1523="null","UNKNOWN",$J$1524))</f>
        <v/>
      </c>
      <c r="K1557">
        <f>IF($K$1523="inherit",$I$1511,IF($K$1523="null","UNKNOWN",$K$1524))</f>
        <v/>
      </c>
    </row>
    <row r="1558">
      <c r="J1558">
        <f>IF($J$1525="inherit",$I$1506,IF($J$1525="null","UNKNOWN",$J$1526))</f>
        <v/>
      </c>
      <c r="K1558">
        <f>IF($K$1525="inherit",$I$1506,IF($K$1525="null","UNKNOWN",$K$1526))</f>
        <v/>
      </c>
    </row>
    <row r="1559">
      <c r="J1559">
        <f>IF($J$1527="inherit",$I$1510,IF($J$1527="null","UNKNOWN",$J$1528))</f>
        <v/>
      </c>
      <c r="K1559">
        <f>IF($K$1527="inherit",$I$1510,IF($K$1527="null","UNKNOWN",$K$1528))</f>
        <v/>
      </c>
    </row>
    <row r="1560">
      <c r="J1560">
        <f>IF($J$1529="inherit",$I$1509,IF($J$1529="null","UNKNOWN",$J$1530))</f>
        <v/>
      </c>
      <c r="K1560">
        <f>IF($K$1529="inherit",$I$1509,IF($K$1529="null","UNKNOWN",$K$1530))</f>
        <v/>
      </c>
    </row>
    <row r="1561">
      <c r="I1561">
        <f>IFERROR(MATCH($I$1512,$J$1512:$K$1512,0),0)</f>
        <v/>
      </c>
    </row>
    <row r="1562">
      <c r="J1562">
        <f>IF(I1561=0,"ERROR",IF(OR($J$1531="ERROR",INDEX($J$1531:$K$1531,1,I1561)="ERROR"),"ERROR",IF(OR($J$1531="UNKNOWN",INDEX($J$1531:$K$1531,1,I1561)="UNKNOWN"),"UNKNOWN",IF(OR($J$1531="NOT_APPLICABLE",INDEX($J$1531:$K$1531,1,I1561)="NOT_APPLICABLE"),"NOT_APPLICABLE",$J$1531-INDEX($J$1531:$K$1531,1,I1561)))))</f>
        <v/>
      </c>
      <c r="K1562">
        <f>IF(I1561=0,"ERROR",IF(OR($K$1531="ERROR",INDEX($J$1531:$K$1531,1,I1561)="ERROR"),"ERROR",IF(OR($K$1531="UNKNOWN",INDEX($J$1531:$K$1531,1,I1561)="UNKNOWN"),"UNKNOWN",IF(OR($K$1531="NOT_APPLICABLE",INDEX($J$1531:$K$1531,1,I1561)="NOT_APPLICABLE"),"NOT_APPLICABLE",$K$1531-INDEX($J$1531:$K$1531,1,I1561)))))</f>
        <v/>
      </c>
    </row>
    <row r="1563">
      <c r="J1563">
        <f>IF(I1561=0,"ERROR",IF(OR($J$1532="ERROR",INDEX($J$1532:$K$1532,1,I1561)="ERROR"),"ERROR",IF(OR($J$1532="UNKNOWN",INDEX($J$1532:$K$1532,1,I1561)="UNKNOWN"),"UNKNOWN",IF(OR($J$1532="NOT_APPLICABLE",INDEX($J$1532:$K$1532,1,I1561)="NOT_APPLICABLE"),"NOT_APPLICABLE",$J$1532-INDEX($J$1532:$K$1532,1,I1561)))))</f>
        <v/>
      </c>
      <c r="K1563">
        <f>IF(I1561=0,"ERROR",IF(OR($K$1532="ERROR",INDEX($J$1532:$K$1532,1,I1561)="ERROR"),"ERROR",IF(OR($K$1532="UNKNOWN",INDEX($J$1532:$K$1532,1,I1561)="UNKNOWN"),"UNKNOWN",IF(OR($K$1532="NOT_APPLICABLE",INDEX($J$1532:$K$1532,1,I1561)="NOT_APPLICABLE"),"NOT_APPLICABLE",$K$1532-INDEX($J$1532:$K$1532,1,I1561)))))</f>
        <v/>
      </c>
    </row>
    <row r="1564">
      <c r="J1564">
        <f>IF(I1561=0,"ERROR",IF(OR($J$1533="ERROR",INDEX($J$1533:$K$1533,1,I1561)="ERROR"),"ERROR",IF(OR($J$1533="UNKNOWN",INDEX($J$1533:$K$1533,1,I1561)="UNKNOWN"),"UNKNOWN",IF(OR($J$1533="NOT_APPLICABLE",INDEX($J$1533:$K$1533,1,I1561)="NOT_APPLICABLE"),"NOT_APPLICABLE",$J$1533-INDEX($J$1533:$K$1533,1,I1561)))))</f>
        <v/>
      </c>
      <c r="K1564">
        <f>IF(I1561=0,"ERROR",IF(OR($K$1533="ERROR",INDEX($J$1533:$K$1533,1,I1561)="ERROR"),"ERROR",IF(OR($K$1533="UNKNOWN",INDEX($J$1533:$K$1533,1,I1561)="UNKNOWN"),"UNKNOWN",IF(OR($K$1533="NOT_APPLICABLE",INDEX($J$1533:$K$1533,1,I1561)="NOT_APPLICABLE"),"NOT_APPLICABLE",$K$1533-INDEX($J$1533:$K$1533,1,I1561)))))</f>
        <v/>
      </c>
    </row>
    <row r="1565">
      <c r="J1565">
        <f>IF(I1561=0,"ERROR",IF(OR($J$1549="ERROR",INDEX($J$1549:$K$1549,1,I1561)="ERROR"),"ERROR",IF(OR($J$1549="UNKNOWN",INDEX($J$1549:$K$1549,1,I1561)="UNKNOWN"),"UNKNOWN",IF(OR($J$1549="NOT_APPLICABLE",INDEX($J$1549:$K$1549,1,I1561)="NOT_APPLICABLE"),"NOT_APPLICABLE",$J$1549-INDEX($J$1549:$K$1549,1,I1561)))))</f>
        <v/>
      </c>
      <c r="K1565">
        <f>IF(I1561=0,"ERROR",IF(OR($K$1549="ERROR",INDEX($J$1549:$K$1549,1,I1561)="ERROR"),"ERROR",IF(OR($K$1549="UNKNOWN",INDEX($J$1549:$K$1549,1,I1561)="UNKNOWN"),"UNKNOWN",IF(OR($K$1549="NOT_APPLICABLE",INDEX($J$1549:$K$1549,1,I1561)="NOT_APPLICABLE"),"NOT_APPLICABLE",$K$1549-INDEX($J$1549:$K$1549,1,I1561)))))</f>
        <v/>
      </c>
    </row>
    <row r="1567">
      <c r="B1567" s="8" t="inlineStr">
        <is>
          <t>Scenario A: scenario_status</t>
        </is>
      </c>
      <c r="C1567" s="16">
        <f>J1551</f>
        <v/>
      </c>
      <c r="D1567" s="38" t="inlineStr">
        <is>
          <t>OK</t>
        </is>
      </c>
      <c r="F1567" s="15">
        <f>IF(J1551=D1567,"PASS","FAIL")</f>
        <v/>
      </c>
    </row>
    <row r="1568">
      <c r="B1568" s="8" t="inlineStr">
        <is>
          <t>Scenario A: contribution_margin</t>
        </is>
      </c>
      <c r="C1568" s="25">
        <f>J1532</f>
        <v/>
      </c>
      <c r="D1568" s="42" t="n">
        <v>500</v>
      </c>
      <c r="E1568" s="26">
        <f>IF(ISNUMBER(D1568),IF(ISNUMBER(J1532),ABS(J1532-D1568),"N/A"),"N/A")</f>
        <v/>
      </c>
      <c r="F1568" s="15">
        <f>IFERROR(IF(ISNUMBER(D1568),IF(ISNUMBER(J1532),IF(ABS(J1532-D1568)&lt;=0.01,"PASS","FAIL"),"FAIL"),IF(NOT(ISNUMBER(J1532)),IF(J1532=D1568,"PASS","FAIL"),"FAIL")),"FAIL")</f>
        <v/>
      </c>
    </row>
    <row r="1569">
      <c r="B1569" s="8" t="inlineStr">
        <is>
          <t>Scenario A: break_even_quantity_exact</t>
        </is>
      </c>
      <c r="C1569" s="25">
        <f>J1549</f>
        <v/>
      </c>
      <c r="D1569" s="42" t="n">
        <v>100</v>
      </c>
      <c r="E1569" s="26">
        <f>IF(ISNUMBER(D1569),IF(ISNUMBER(J1549),ABS(J1549-D1569),"N/A"),"N/A")</f>
        <v/>
      </c>
      <c r="F1569" s="15">
        <f>IFERROR(IF(ISNUMBER(D1569),IF(ISNUMBER(J1549),IF(ABS(J1549-D1569)&lt;=0.01,"PASS","FAIL"),"FAIL"),IF(NOT(ISNUMBER(J1549)),IF(J1549=D1569,"PASS","FAIL"),"FAIL")),"FAIL")</f>
        <v/>
      </c>
    </row>
    <row r="1570">
      <c r="B1570" s="8" t="inlineStr">
        <is>
          <t>Scenario A: net_sales_ex_vat_delta</t>
        </is>
      </c>
      <c r="C1570" s="43">
        <f>J1562</f>
        <v/>
      </c>
      <c r="D1570" s="44" t="n">
        <v>0</v>
      </c>
      <c r="F1570" s="15">
        <f>IFERROR(IF(ISNUMBER(D1570),IF(ISNUMBER(J1562),IF(ABS(J1562-D1570)&lt;=0.01,"PASS","FAIL"),"FAIL"),IF(NOT(ISNUMBER(J1562)),IF(J1562=D1570,"PASS","FAIL"),"FAIL")),"FAIL")</f>
        <v/>
      </c>
    </row>
    <row r="1571">
      <c r="B1571" s="8" t="inlineStr">
        <is>
          <t>Scenario A: contribution_margin_delta</t>
        </is>
      </c>
      <c r="C1571" s="43">
        <f>J1563</f>
        <v/>
      </c>
      <c r="D1571" s="44" t="n">
        <v>0</v>
      </c>
      <c r="F1571" s="15">
        <f>IFERROR(IF(ISNUMBER(D1571),IF(ISNUMBER(J1563),IF(ABS(J1563-D1571)&lt;=0.01,"PASS","FAIL"),"FAIL"),IF(NOT(ISNUMBER(J1563)),IF(J1563=D1571,"PASS","FAIL"),"FAIL")),"FAIL")</f>
        <v/>
      </c>
    </row>
    <row r="1572">
      <c r="B1572" s="8" t="inlineStr">
        <is>
          <t>Scenario A: contribution_margin_rate_delta</t>
        </is>
      </c>
      <c r="C1572" s="43">
        <f>J1564</f>
        <v/>
      </c>
      <c r="D1572" s="44" t="n">
        <v>0</v>
      </c>
      <c r="F1572" s="15">
        <f>IFERROR(IF(ISNUMBER(D1572),IF(ISNUMBER(J1564),IF(ABS(J1564-D1572)&lt;=0.01,"PASS","FAIL"),"FAIL"),IF(NOT(ISNUMBER(J1564)),IF(J1564=D1572,"PASS","FAIL"),"FAIL")),"FAIL")</f>
        <v/>
      </c>
    </row>
    <row r="1573">
      <c r="B1573" s="8" t="inlineStr">
        <is>
          <t>Scenario A: break_even_quantity_delta</t>
        </is>
      </c>
      <c r="C1573" s="43">
        <f>J1565</f>
        <v/>
      </c>
      <c r="D1573" s="44" t="n">
        <v>0</v>
      </c>
      <c r="F1573" s="15">
        <f>IFERROR(IF(ISNUMBER(D1573),IF(ISNUMBER(J1565),IF(ABS(J1565-D1573)&lt;=0.01,"PASS","FAIL"),"FAIL"),IF(NOT(ISNUMBER(J1565)),IF(J1565=D1573,"PASS","FAIL"),"FAIL")),"FAIL")</f>
        <v/>
      </c>
    </row>
    <row r="1574">
      <c r="B1574" s="8" t="inlineStr">
        <is>
          <t>Scenario B: scenario_status</t>
        </is>
      </c>
      <c r="C1574" s="16">
        <f>K1551</f>
        <v/>
      </c>
      <c r="D1574" s="38" t="inlineStr">
        <is>
          <t>INCOMPLETE</t>
        </is>
      </c>
      <c r="F1574" s="15">
        <f>IF(K1551=D1574,"PASS","FAIL")</f>
        <v/>
      </c>
    </row>
    <row r="1575">
      <c r="B1575" s="8" t="inlineStr">
        <is>
          <t>Scenario B: contribution_margin</t>
        </is>
      </c>
      <c r="C1575" s="25">
        <f>K1532</f>
        <v/>
      </c>
      <c r="D1575" s="38" t="inlineStr">
        <is>
          <t>UNKNOWN</t>
        </is>
      </c>
      <c r="E1575" s="26">
        <f>IF(ISNUMBER(D1575),IF(ISNUMBER(K1532),ABS(K1532-D1575),"N/A"),"N/A")</f>
        <v/>
      </c>
      <c r="F1575" s="15">
        <f>IFERROR(IF(ISNUMBER(D1575),IF(ISNUMBER(K1532),IF(ABS(K1532-D1575)&lt;=0.01,"PASS","FAIL"),"FAIL"),IF(NOT(ISNUMBER(K1532)),IF(K1532=D1575,"PASS","FAIL"),"FAIL")),"FAIL")</f>
        <v/>
      </c>
    </row>
    <row r="1576">
      <c r="B1576" s="8" t="inlineStr">
        <is>
          <t>Scenario B: break_even_quantity_exact</t>
        </is>
      </c>
      <c r="C1576" s="25">
        <f>K1549</f>
        <v/>
      </c>
      <c r="D1576" s="38" t="inlineStr">
        <is>
          <t>UNKNOWN</t>
        </is>
      </c>
      <c r="E1576" s="26">
        <f>IF(ISNUMBER(D1576),IF(ISNUMBER(K1549),ABS(K1549-D1576),"N/A"),"N/A")</f>
        <v/>
      </c>
      <c r="F1576" s="15">
        <f>IFERROR(IF(ISNUMBER(D1576),IF(ISNUMBER(K1549),IF(ABS(K1549-D1576)&lt;=0.01,"PASS","FAIL"),"FAIL"),IF(NOT(ISNUMBER(K1549)),IF(K1549=D1576,"PASS","FAIL"),"FAIL")),"FAIL")</f>
        <v/>
      </c>
    </row>
    <row r="1577">
      <c r="B1577" s="8" t="inlineStr">
        <is>
          <t>Scenario B: net_sales_ex_vat_delta</t>
        </is>
      </c>
      <c r="C1577" s="43">
        <f>K1562</f>
        <v/>
      </c>
      <c r="D1577" s="38" t="inlineStr">
        <is>
          <t>UNKNOWN</t>
        </is>
      </c>
      <c r="F1577" s="15">
        <f>IFERROR(IF(ISNUMBER(D1577),IF(ISNUMBER(K1562),IF(ABS(K1562-D1577)&lt;=0.01,"PASS","FAIL"),"FAIL"),IF(NOT(ISNUMBER(K1562)),IF(K1562=D1577,"PASS","FAIL"),"FAIL")),"FAIL")</f>
        <v/>
      </c>
    </row>
    <row r="1578">
      <c r="B1578" s="8" t="inlineStr">
        <is>
          <t>Scenario B: contribution_margin_delta</t>
        </is>
      </c>
      <c r="C1578" s="43">
        <f>K1563</f>
        <v/>
      </c>
      <c r="D1578" s="38" t="inlineStr">
        <is>
          <t>UNKNOWN</t>
        </is>
      </c>
      <c r="F1578" s="15">
        <f>IFERROR(IF(ISNUMBER(D1578),IF(ISNUMBER(K1563),IF(ABS(K1563-D1578)&lt;=0.01,"PASS","FAIL"),"FAIL"),IF(NOT(ISNUMBER(K1563)),IF(K1563=D1578,"PASS","FAIL"),"FAIL")),"FAIL")</f>
        <v/>
      </c>
    </row>
    <row r="1579">
      <c r="B1579" s="8" t="inlineStr">
        <is>
          <t>Scenario B: contribution_margin_rate_delta</t>
        </is>
      </c>
      <c r="C1579" s="43">
        <f>K1564</f>
        <v/>
      </c>
      <c r="D1579" s="38" t="inlineStr">
        <is>
          <t>UNKNOWN</t>
        </is>
      </c>
      <c r="F1579" s="15">
        <f>IFERROR(IF(ISNUMBER(D1579),IF(ISNUMBER(K1564),IF(ABS(K1564-D1579)&lt;=0.01,"PASS","FAIL"),"FAIL"),IF(NOT(ISNUMBER(K1564)),IF(K1564=D1579,"PASS","FAIL"),"FAIL")),"FAIL")</f>
        <v/>
      </c>
    </row>
    <row r="1580">
      <c r="B1580" s="8" t="inlineStr">
        <is>
          <t>Scenario B: break_even_quantity_delta</t>
        </is>
      </c>
      <c r="C1580" s="43">
        <f>K1565</f>
        <v/>
      </c>
      <c r="D1580" s="38" t="inlineStr">
        <is>
          <t>UNKNOWN</t>
        </is>
      </c>
      <c r="F1580" s="15">
        <f>IFERROR(IF(ISNUMBER(D1580),IF(ISNUMBER(K1565),IF(ABS(K1565-D1580)&lt;=0.01,"PASS","FAIL"),"FAIL"),IF(NOT(ISNUMBER(K1565)),IF(K1565=D1580,"PASS","FAIL"),"FAIL")),"FAIL")</f>
        <v/>
      </c>
    </row>
    <row r="1582" ht="20" customHeight="1">
      <c r="B1582" s="2" t="inlineStr">
        <is>
          <t>TC20. Baseline self-delta, numeric OK</t>
        </is>
      </c>
      <c r="C1582" s="7" t="n"/>
      <c r="D1582" s="7" t="n"/>
      <c r="E1582" s="7" t="n"/>
      <c r="F1582" s="7" t="n"/>
    </row>
    <row r="1583">
      <c r="B1583" s="4" t="inlineStr">
        <is>
          <t>Check</t>
        </is>
      </c>
      <c r="C1583" s="4" t="inlineStr">
        <is>
          <t>Excel Result</t>
        </is>
      </c>
      <c r="D1583" s="4" t="inlineStr">
        <is>
          <t>Python Reference</t>
        </is>
      </c>
      <c r="E1583" s="4" t="inlineStr">
        <is>
          <t>Difference</t>
        </is>
      </c>
      <c r="F1583" s="4" t="inlineStr">
        <is>
          <t>PASS / FAIL</t>
        </is>
      </c>
    </row>
    <row r="1584">
      <c r="I1584" t="n">
        <v>1000</v>
      </c>
    </row>
    <row r="1585">
      <c r="I1585" t="b">
        <v>0</v>
      </c>
    </row>
    <row r="1586">
      <c r="I1586" t="n">
        <v>0.1</v>
      </c>
    </row>
    <row r="1587">
      <c r="I1587" t="n">
        <v>1000</v>
      </c>
    </row>
    <row r="1588">
      <c r="I1588" t="n">
        <v>0</v>
      </c>
    </row>
    <row r="1589">
      <c r="I1589" t="n">
        <v>400</v>
      </c>
    </row>
    <row r="1590">
      <c r="I1590" t="n">
        <v>100</v>
      </c>
    </row>
    <row r="1591">
      <c r="I1591" t="n">
        <v>0</v>
      </c>
    </row>
    <row r="1592">
      <c r="I1592" t="n">
        <v>0</v>
      </c>
    </row>
    <row r="1593">
      <c r="I1593" t="n">
        <v>50000</v>
      </c>
    </row>
    <row r="1594">
      <c r="I1594" t="n">
        <v>0.3</v>
      </c>
    </row>
    <row r="1595">
      <c r="I1595" t="inlineStr">
        <is>
          <t>A</t>
        </is>
      </c>
      <c r="J1595" t="inlineStr">
        <is>
          <t>A</t>
        </is>
      </c>
      <c r="K1595" t="inlineStr">
        <is>
          <t>B</t>
        </is>
      </c>
    </row>
    <row r="1596">
      <c r="J1596" t="inlineStr">
        <is>
          <t>inherit</t>
        </is>
      </c>
      <c r="K1596" t="inlineStr">
        <is>
          <t>value</t>
        </is>
      </c>
    </row>
    <row r="1597">
      <c r="K1597" t="n">
        <v>1200</v>
      </c>
    </row>
    <row r="1598">
      <c r="J1598" t="inlineStr">
        <is>
          <t>inherit</t>
        </is>
      </c>
      <c r="K1598" t="inlineStr">
        <is>
          <t>inherit</t>
        </is>
      </c>
    </row>
    <row r="1599"/>
    <row r="1600">
      <c r="J1600" t="inlineStr">
        <is>
          <t>inherit</t>
        </is>
      </c>
      <c r="K1600" t="inlineStr">
        <is>
          <t>inherit</t>
        </is>
      </c>
    </row>
    <row r="1601"/>
    <row r="1602">
      <c r="J1602" t="inlineStr">
        <is>
          <t>inherit</t>
        </is>
      </c>
      <c r="K1602" t="inlineStr">
        <is>
          <t>inherit</t>
        </is>
      </c>
    </row>
    <row r="1603"/>
    <row r="1604">
      <c r="J1604" t="inlineStr">
        <is>
          <t>inherit</t>
        </is>
      </c>
      <c r="K1604" t="inlineStr">
        <is>
          <t>inherit</t>
        </is>
      </c>
    </row>
    <row r="1605"/>
    <row r="1606">
      <c r="J1606" t="inlineStr">
        <is>
          <t>inherit</t>
        </is>
      </c>
      <c r="K1606" t="inlineStr">
        <is>
          <t>inherit</t>
        </is>
      </c>
    </row>
    <row r="1607"/>
    <row r="1608">
      <c r="J1608" t="inlineStr">
        <is>
          <t>inherit</t>
        </is>
      </c>
      <c r="K1608" t="inlineStr">
        <is>
          <t>inherit</t>
        </is>
      </c>
    </row>
    <row r="1609"/>
    <row r="1610">
      <c r="J1610" t="inlineStr">
        <is>
          <t>inherit</t>
        </is>
      </c>
      <c r="K1610" t="inlineStr">
        <is>
          <t>inherit</t>
        </is>
      </c>
    </row>
    <row r="1611"/>
    <row r="1612">
      <c r="J1612" t="inlineStr">
        <is>
          <t>inherit</t>
        </is>
      </c>
      <c r="K1612" t="inlineStr">
        <is>
          <t>inherit</t>
        </is>
      </c>
    </row>
    <row r="1613"/>
    <row r="1614">
      <c r="J1614">
        <f>IFERROR(IF(NOT(ISNUMBER(J1635)),"UNKNOWN",IF(J1636="UNKNOWN","UNKNOWN",IF(J1636=FALSE,J1635,IF(NOT(ISNUMBER(J1637)),"UNKNOWN",J1635/(1+J1637))))),"ERROR")</f>
        <v/>
      </c>
      <c r="K1614">
        <f>IFERROR(IF(NOT(ISNUMBER(K1635)),"UNKNOWN",IF(K1636="UNKNOWN","UNKNOWN",IF(K1636=FALSE,K1635,IF(NOT(ISNUMBER(K1637)),"UNKNOWN",K1635/(1+K1637))))),"ERROR")</f>
        <v/>
      </c>
    </row>
    <row r="1615">
      <c r="J1615">
        <f>IFERROR(IF(J1614="ERROR","ERROR",IF(OR(NOT(ISNUMBER(J1614)),NOT(ISNUMBER(J1641))),"UNKNOWN",IF(J1643&gt;0,IF(J1625="ERROR","ERROR",IF(NOT(ISNUMBER(J1625)),"UNKNOWN",J1614-J1641-$I$1590-$I$1591*J1614-J1643*J1625)),J1614-J1641-$I$1590-$I$1591*J1614))),"ERROR")</f>
        <v/>
      </c>
      <c r="K1615">
        <f>IFERROR(IF(K1614="ERROR","ERROR",IF(OR(NOT(ISNUMBER(K1614)),NOT(ISNUMBER(K1641))),"UNKNOWN",IF(K1643&gt;0,IF(K1625="ERROR","ERROR",IF(NOT(ISNUMBER(K1625)),"UNKNOWN",K1614-K1641-$I$1590-$I$1591*K1614-K1643*K1625)),K1614-K1641-$I$1590-$I$1591*K1614))),"ERROR")</f>
        <v/>
      </c>
    </row>
    <row r="1616">
      <c r="J1616">
        <f>IFERROR(IF(J1615="ERROR","ERROR",IF(NOT(ISNUMBER(J1615)),"UNKNOWN",IF(J1614=0,"ERROR",J1615/J1614))),"ERROR")</f>
        <v/>
      </c>
      <c r="K1616">
        <f>IFERROR(IF(K1615="ERROR","ERROR",IF(NOT(ISNUMBER(K1615)),"UNKNOWN",IF(K1614=0,"ERROR",K1615/K1614))),"ERROR")</f>
        <v/>
      </c>
    </row>
    <row r="1617">
      <c r="J1617">
        <f>IF(OR(J1614="ERROR",J1615="ERROR",J1616="ERROR"),"ERROR",IF(OR(NOT(ISNUMBER(J1614)),NOT(ISNUMBER(J1615)),NOT(ISNUMBER(J1616))),"UNKNOWN","OK"))</f>
        <v/>
      </c>
      <c r="K1617">
        <f>IF(OR(K1614="ERROR",K1615="ERROR",K1616="ERROR"),"ERROR",IF(OR(NOT(ISNUMBER(K1614)),NOT(ISNUMBER(K1615)),NOT(ISNUMBER(K1616))),"UNKNOWN","OK"))</f>
        <v/>
      </c>
    </row>
    <row r="1618">
      <c r="J1618">
        <f>IFERROR(IF(NOT(ISNUMBER(J1641)),J1641,J1641+$I$1590),"ERROR")</f>
        <v/>
      </c>
      <c r="K1618">
        <f>IFERROR(IF(NOT(ISNUMBER(K1641)),K1641,K1641+$I$1590),"ERROR")</f>
        <v/>
      </c>
    </row>
    <row r="1619">
      <c r="J1619">
        <f>IFERROR(IF(NOT(ISNUMBER(J1640)),"UNKNOWN",IF(OR(J1640&lt;0,J1640&gt;=1),"ERROR",IF(J1643=0,IF(1-J1640-$I$1591&lt;=0,"ERROR",1-J1640-$I$1591),IF(NOT(ISNUMBER(J1637)),"UNKNOWN",IF(1-J1640-$I$1591-J1643*(1+J1637)&lt;=0,"ERROR",1-J1640-$I$1591-J1643*(1+J1637)))))),"ERROR")</f>
        <v/>
      </c>
      <c r="K1619">
        <f>IFERROR(IF(NOT(ISNUMBER(K1640)),"UNKNOWN",IF(OR(K1640&lt;0,K1640&gt;=1),"ERROR",IF(K1643=0,IF(1-K1640-$I$1591&lt;=0,"ERROR",1-K1640-$I$1591),IF(NOT(ISNUMBER(K1637)),"UNKNOWN",IF(1-K1640-$I$1591-K1643*(1+K1637)&lt;=0,"ERROR",1-K1640-$I$1591-K1643*(1+K1637)))))),"ERROR")</f>
        <v/>
      </c>
    </row>
    <row r="1620">
      <c r="J1620">
        <f>IFERROR(IF(NOT(ISNUMBER(J1618)),J1618,IF(NOT(ISNUMBER(J1619)),J1619,J1618/J1619)),"ERROR")</f>
        <v/>
      </c>
      <c r="K1620">
        <f>IFERROR(IF(NOT(ISNUMBER(K1618)),K1618,IF(NOT(ISNUMBER(K1619)),K1619,K1618/K1619)),"ERROR")</f>
        <v/>
      </c>
    </row>
    <row r="1621">
      <c r="J1621">
        <f>IFERROR(IF(NOT(ISNUMBER(J1620)),J1620,IF(NOT(ISNUMBER(J1637)),"UNKNOWN",J1620*(1+J1637))),"ERROR")</f>
        <v/>
      </c>
      <c r="K1621">
        <f>IFERROR(IF(NOT(ISNUMBER(K1620)),K1620,IF(NOT(ISNUMBER(K1637)),"UNKNOWN",K1620*(1+K1637))),"ERROR")</f>
        <v/>
      </c>
    </row>
    <row r="1622">
      <c r="J1622">
        <f>IFERROR(IF(J1636="UNKNOWN","UNKNOWN",IF(J1636=FALSE,J1620,J1621)),"ERROR")</f>
        <v/>
      </c>
      <c r="K1622">
        <f>IFERROR(IF(K1636="UNKNOWN","UNKNOWN",IF(K1636=FALSE,K1620,K1621)),"ERROR")</f>
        <v/>
      </c>
    </row>
    <row r="1623">
      <c r="J1623">
        <f>IFERROR(IF(NOT(ISNUMBER(J1622)),J1622,IF(NOT(ISNUMBER(J1639)),"UNKNOWN",IF(OR(J1639&lt;0,J1639&gt;=1),"ERROR",IF(J1639=0,J1622,J1622/(1-J1639))))),"ERROR")</f>
        <v/>
      </c>
      <c r="K1623">
        <f>IFERROR(IF(NOT(ISNUMBER(K1622)),K1622,IF(NOT(ISNUMBER(K1639)),"UNKNOWN",IF(OR(K1639&lt;0,K1639&gt;=1),"ERROR",IF(K1639=0,K1622,K1622/(1-K1639))))),"ERROR")</f>
        <v/>
      </c>
    </row>
    <row r="1624">
      <c r="J1624">
        <f>IF(OR(J1622="ERROR",J1623="ERROR"),"ERROR",IF(OR(NOT(ISNUMBER(J1622)),NOT(ISNUMBER(J1623))),"UNKNOWN","OK"))</f>
        <v/>
      </c>
      <c r="K1624">
        <f>IF(OR(K1622="ERROR",K1623="ERROR"),"ERROR",IF(OR(NOT(ISNUMBER(K1622)),NOT(ISNUMBER(K1623))),"UNKNOWN","OK"))</f>
        <v/>
      </c>
    </row>
    <row r="1625">
      <c r="J1625">
        <f>IFERROR(IF(NOT(ISNUMBER(J1635)),"UNKNOWN",IF(J1636="UNKNOWN","UNKNOWN",IF(J1636=TRUE,J1635,IF(NOT(ISNUMBER(J1637)),"UNKNOWN",J1635*(1+J1637))))),"ERROR")</f>
        <v/>
      </c>
      <c r="K1625">
        <f>IFERROR(IF(NOT(ISNUMBER(K1635)),"UNKNOWN",IF(K1636="UNKNOWN","UNKNOWN",IF(K1636=TRUE,K1635,IF(NOT(ISNUMBER(K1637)),"UNKNOWN",K1635*(1+K1637))))),"ERROR")</f>
        <v/>
      </c>
    </row>
    <row r="1626">
      <c r="J1626">
        <f>IFERROR(IF(NOT(ISNUMBER(J1638)),"UNKNOWN",IF(J1636="UNKNOWN","UNKNOWN",IF(J1636=FALSE,J1638,IF(NOT(ISNUMBER(J1637)),"UNKNOWN",J1638/(1+J1637))))),"ERROR")</f>
        <v/>
      </c>
      <c r="K1626">
        <f>IFERROR(IF(NOT(ISNUMBER(K1638)),"UNKNOWN",IF(K1636="UNKNOWN","UNKNOWN",IF(K1636=FALSE,K1638,IF(NOT(ISNUMBER(K1637)),"UNKNOWN",K1638/(1+K1637))))),"ERROR")</f>
        <v/>
      </c>
    </row>
    <row r="1627">
      <c r="J1627">
        <f>IFERROR(IF(NOT(ISNUMBER(J1638)),"UNKNOWN",IF(J1636="UNKNOWN","UNKNOWN",IF(J1636=TRUE,J1638,IF(NOT(ISNUMBER(J1637)),"UNKNOWN",J1638*(1+J1637))))),"ERROR")</f>
        <v/>
      </c>
      <c r="K1627">
        <f>IFERROR(IF(NOT(ISNUMBER(K1638)),"UNKNOWN",IF(K1636="UNKNOWN","UNKNOWN",IF(K1636=TRUE,K1638,IF(NOT(ISNUMBER(K1637)),"UNKNOWN",K1638*(1+K1637))))),"ERROR")</f>
        <v/>
      </c>
    </row>
    <row r="1628">
      <c r="J1628">
        <f>IFERROR(IF(J1626="ERROR","ERROR",IF(NOT(ISNUMBER(J1640)),"UNKNOWN",IF(OR(J1640&lt;0,J1640&gt;=1),"ERROR",IF(NOT(ISNUMBER(J1626)),"UNKNOWN",IF(J1643&gt;0,IF(J1627="ERROR","ERROR",IF(NOT(ISNUMBER(J1627)),"UNKNOWN",J1626*(1-J1640-$I$1591)-J1643*J1627-$I$1590)),J1626*(1-J1640-$I$1591)-$I$1590))))),"ERROR")</f>
        <v/>
      </c>
      <c r="K1628">
        <f>IFERROR(IF(K1626="ERROR","ERROR",IF(NOT(ISNUMBER(K1640)),"UNKNOWN",IF(OR(K1640&lt;0,K1640&gt;=1),"ERROR",IF(NOT(ISNUMBER(K1626)),"UNKNOWN",IF(K1643&gt;0,IF(K1627="ERROR","ERROR",IF(NOT(ISNUMBER(K1627)),"UNKNOWN",K1626*(1-K1640-$I$1591)-K1643*K1627-$I$1590)),K1626*(1-K1640-$I$1591)-$I$1590))))),"ERROR")</f>
        <v/>
      </c>
    </row>
    <row r="1629">
      <c r="J1629">
        <f>IFERROR(IF(OR(J1628="ERROR",J1641="ERROR"),"ERROR",IF(OR(NOT(ISNUMBER(J1628)),NOT(ISNUMBER(J1641))),"UNKNOWN",J1628-J1641)),"ERROR")</f>
        <v/>
      </c>
      <c r="K1629">
        <f>IFERROR(IF(OR(K1628="ERROR",K1641="ERROR"),"ERROR",IF(OR(NOT(ISNUMBER(K1628)),NOT(ISNUMBER(K1641))),"UNKNOWN",K1628-K1641)),"ERROR")</f>
        <v/>
      </c>
    </row>
    <row r="1630">
      <c r="J1630">
        <f>IF(OR(J1628="ERROR",J1641="ERROR",J1629="ERROR"),"ERROR",IF(OR(NOT(ISNUMBER(J1628)),NOT(ISNUMBER(J1641)),NOT(ISNUMBER(J1629))),"UNKNOWN","OK"))</f>
        <v/>
      </c>
      <c r="K1630">
        <f>IF(OR(K1628="ERROR",K1641="ERROR",K1629="ERROR"),"ERROR",IF(OR(NOT(ISNUMBER(K1628)),NOT(ISNUMBER(K1641)),NOT(ISNUMBER(K1629))),"UNKNOWN","OK"))</f>
        <v/>
      </c>
    </row>
    <row r="1631">
      <c r="J1631">
        <f>IFERROR(IF(NOT(ISNUMBER(J1642)),J1642,IF(J1642&lt;0,"ERROR",J1642)),"ERROR")</f>
        <v/>
      </c>
      <c r="K1631">
        <f>IFERROR(IF(NOT(ISNUMBER(K1642)),K1642,IF(K1642&lt;0,"ERROR",K1642)),"ERROR")</f>
        <v/>
      </c>
    </row>
    <row r="1632">
      <c r="J1632">
        <f>IFERROR(IF(OR(J1615="ERROR",J1631="ERROR"),"ERROR",IF(OR(NOT(ISNUMBER(J1615)),NOT(ISNUMBER(J1631))),"UNKNOWN",IF(J1615&lt;=0,"NOT_APPLICABLE",J1631/J1615))),"ERROR")</f>
        <v/>
      </c>
      <c r="K1632">
        <f>IFERROR(IF(OR(K1615="ERROR",K1631="ERROR"),"ERROR",IF(OR(NOT(ISNUMBER(K1615)),NOT(ISNUMBER(K1631))),"UNKNOWN",IF(K1615&lt;=0,"NOT_APPLICABLE",K1631/K1615))),"ERROR")</f>
        <v/>
      </c>
    </row>
    <row r="1633">
      <c r="J1633">
        <f>IF(OR(J1615="ERROR",J1631="ERROR",J1632="ERROR"),"ERROR",IF(OR(NOT(ISNUMBER(J1615)),NOT(ISNUMBER(J1631)),AND(NOT(ISNUMBER(J1632)),J1632&lt;&gt;"NOT_APPLICABLE")),"UNKNOWN","OK"))</f>
        <v/>
      </c>
      <c r="K1633">
        <f>IF(OR(K1615="ERROR",K1631="ERROR",K1632="ERROR"),"ERROR",IF(OR(NOT(ISNUMBER(K1615)),NOT(ISNUMBER(K1631)),AND(NOT(ISNUMBER(K1632)),K1632&lt;&gt;"NOT_APPLICABLE")),"UNKNOWN","OK"))</f>
        <v/>
      </c>
    </row>
    <row r="1634">
      <c r="J1634">
        <f>IF(OR(J1617="ERROR",J1624="ERROR",J1630="ERROR",J1633="ERROR"),"ERROR",IF(OR(J1617="UNKNOWN",J1624="UNKNOWN",J1630="UNKNOWN",J1633="UNKNOWN"),"INCOMPLETE","OK"))</f>
        <v/>
      </c>
      <c r="K1634">
        <f>IF(OR(K1617="ERROR",K1624="ERROR",K1630="ERROR",K1633="ERROR"),"ERROR",IF(OR(K1617="UNKNOWN",K1624="UNKNOWN",K1630="UNKNOWN",K1633="UNKNOWN"),"INCOMPLETE","OK"))</f>
        <v/>
      </c>
    </row>
    <row r="1635">
      <c r="J1635">
        <f>IF($J$1596="inherit",$I$1584,IF($J$1596="null","UNKNOWN",$J$1597))</f>
        <v/>
      </c>
      <c r="K1635">
        <f>IF($K$1596="inherit",$I$1584,IF($K$1596="null","UNKNOWN",$K$1597))</f>
        <v/>
      </c>
    </row>
    <row r="1636">
      <c r="J1636">
        <f>IF($J$1598="inherit",$I$1585,IF($J$1598="null","UNKNOWN",$J$1599))</f>
        <v/>
      </c>
      <c r="K1636">
        <f>IF($K$1598="inherit",$I$1585,IF($K$1598="null","UNKNOWN",$K$1599))</f>
        <v/>
      </c>
    </row>
    <row r="1637">
      <c r="J1637">
        <f>IF($J$1600="inherit",$I$1586,IF($J$1600="null","UNKNOWN",$J$1601))</f>
        <v/>
      </c>
      <c r="K1637">
        <f>IF($K$1600="inherit",$I$1586,IF($K$1600="null","UNKNOWN",$K$1601))</f>
        <v/>
      </c>
    </row>
    <row r="1638">
      <c r="J1638">
        <f>IF($J$1602="inherit",$I$1587,IF($J$1602="null","UNKNOWN",$J$1603))</f>
        <v/>
      </c>
      <c r="K1638">
        <f>IF($K$1602="inherit",$I$1587,IF($K$1602="null","UNKNOWN",$K$1603))</f>
        <v/>
      </c>
    </row>
    <row r="1639">
      <c r="J1639">
        <f>IF($J$1604="inherit",$I$1588,IF($J$1604="null","UNKNOWN",$J$1605))</f>
        <v/>
      </c>
      <c r="K1639">
        <f>IF($K$1604="inherit",$I$1588,IF($K$1604="null","UNKNOWN",$K$1605))</f>
        <v/>
      </c>
    </row>
    <row r="1640">
      <c r="J1640">
        <f>IF($J$1606="inherit",$I$1594,IF($J$1606="null","UNKNOWN",$J$1607))</f>
        <v/>
      </c>
      <c r="K1640">
        <f>IF($K$1606="inherit",$I$1594,IF($K$1606="null","UNKNOWN",$K$1607))</f>
        <v/>
      </c>
    </row>
    <row r="1641">
      <c r="J1641">
        <f>IF($J$1608="inherit",$I$1589,IF($J$1608="null","UNKNOWN",$J$1609))</f>
        <v/>
      </c>
      <c r="K1641">
        <f>IF($K$1608="inherit",$I$1589,IF($K$1608="null","UNKNOWN",$K$1609))</f>
        <v/>
      </c>
    </row>
    <row r="1642">
      <c r="J1642">
        <f>IF($J$1610="inherit",$I$1593,IF($J$1610="null","UNKNOWN",$J$1611))</f>
        <v/>
      </c>
      <c r="K1642">
        <f>IF($K$1610="inherit",$I$1593,IF($K$1610="null","UNKNOWN",$K$1611))</f>
        <v/>
      </c>
    </row>
    <row r="1643">
      <c r="J1643">
        <f>IF($J$1612="inherit",$I$1592,IF($J$1612="null","UNKNOWN",$J$1613))</f>
        <v/>
      </c>
      <c r="K1643">
        <f>IF($K$1612="inherit",$I$1592,IF($K$1612="null","UNKNOWN",$K$1613))</f>
        <v/>
      </c>
    </row>
    <row r="1644">
      <c r="I1644">
        <f>IFERROR(MATCH($I$1595,$J$1595:$K$1595,0),0)</f>
        <v/>
      </c>
    </row>
    <row r="1645">
      <c r="J1645">
        <f>IF(I1644=0,"ERROR",IF(OR($J$1614="ERROR",INDEX($J$1614:$K$1614,1,I1644)="ERROR"),"ERROR",IF(OR($J$1614="UNKNOWN",INDEX($J$1614:$K$1614,1,I1644)="UNKNOWN"),"UNKNOWN",IF(OR($J$1614="NOT_APPLICABLE",INDEX($J$1614:$K$1614,1,I1644)="NOT_APPLICABLE"),"NOT_APPLICABLE",$J$1614-INDEX($J$1614:$K$1614,1,I1644)))))</f>
        <v/>
      </c>
      <c r="K1645">
        <f>IF(I1644=0,"ERROR",IF(OR($K$1614="ERROR",INDEX($J$1614:$K$1614,1,I1644)="ERROR"),"ERROR",IF(OR($K$1614="UNKNOWN",INDEX($J$1614:$K$1614,1,I1644)="UNKNOWN"),"UNKNOWN",IF(OR($K$1614="NOT_APPLICABLE",INDEX($J$1614:$K$1614,1,I1644)="NOT_APPLICABLE"),"NOT_APPLICABLE",$K$1614-INDEX($J$1614:$K$1614,1,I1644)))))</f>
        <v/>
      </c>
    </row>
    <row r="1646">
      <c r="J1646">
        <f>IF(I1644=0,"ERROR",IF(OR($J$1615="ERROR",INDEX($J$1615:$K$1615,1,I1644)="ERROR"),"ERROR",IF(OR($J$1615="UNKNOWN",INDEX($J$1615:$K$1615,1,I1644)="UNKNOWN"),"UNKNOWN",IF(OR($J$1615="NOT_APPLICABLE",INDEX($J$1615:$K$1615,1,I1644)="NOT_APPLICABLE"),"NOT_APPLICABLE",$J$1615-INDEX($J$1615:$K$1615,1,I1644)))))</f>
        <v/>
      </c>
      <c r="K1646">
        <f>IF(I1644=0,"ERROR",IF(OR($K$1615="ERROR",INDEX($J$1615:$K$1615,1,I1644)="ERROR"),"ERROR",IF(OR($K$1615="UNKNOWN",INDEX($J$1615:$K$1615,1,I1644)="UNKNOWN"),"UNKNOWN",IF(OR($K$1615="NOT_APPLICABLE",INDEX($J$1615:$K$1615,1,I1644)="NOT_APPLICABLE"),"NOT_APPLICABLE",$K$1615-INDEX($J$1615:$K$1615,1,I1644)))))</f>
        <v/>
      </c>
    </row>
    <row r="1647">
      <c r="J1647">
        <f>IF(I1644=0,"ERROR",IF(OR($J$1616="ERROR",INDEX($J$1616:$K$1616,1,I1644)="ERROR"),"ERROR",IF(OR($J$1616="UNKNOWN",INDEX($J$1616:$K$1616,1,I1644)="UNKNOWN"),"UNKNOWN",IF(OR($J$1616="NOT_APPLICABLE",INDEX($J$1616:$K$1616,1,I1644)="NOT_APPLICABLE"),"NOT_APPLICABLE",$J$1616-INDEX($J$1616:$K$1616,1,I1644)))))</f>
        <v/>
      </c>
      <c r="K1647">
        <f>IF(I1644=0,"ERROR",IF(OR($K$1616="ERROR",INDEX($J$1616:$K$1616,1,I1644)="ERROR"),"ERROR",IF(OR($K$1616="UNKNOWN",INDEX($J$1616:$K$1616,1,I1644)="UNKNOWN"),"UNKNOWN",IF(OR($K$1616="NOT_APPLICABLE",INDEX($J$1616:$K$1616,1,I1644)="NOT_APPLICABLE"),"NOT_APPLICABLE",$K$1616-INDEX($J$1616:$K$1616,1,I1644)))))</f>
        <v/>
      </c>
    </row>
    <row r="1648">
      <c r="J1648">
        <f>IF(I1644=0,"ERROR",IF(OR($J$1632="ERROR",INDEX($J$1632:$K$1632,1,I1644)="ERROR"),"ERROR",IF(OR($J$1632="UNKNOWN",INDEX($J$1632:$K$1632,1,I1644)="UNKNOWN"),"UNKNOWN",IF(OR($J$1632="NOT_APPLICABLE",INDEX($J$1632:$K$1632,1,I1644)="NOT_APPLICABLE"),"NOT_APPLICABLE",$J$1632-INDEX($J$1632:$K$1632,1,I1644)))))</f>
        <v/>
      </c>
      <c r="K1648">
        <f>IF(I1644=0,"ERROR",IF(OR($K$1632="ERROR",INDEX($J$1632:$K$1632,1,I1644)="ERROR"),"ERROR",IF(OR($K$1632="UNKNOWN",INDEX($J$1632:$K$1632,1,I1644)="UNKNOWN"),"UNKNOWN",IF(OR($K$1632="NOT_APPLICABLE",INDEX($J$1632:$K$1632,1,I1644)="NOT_APPLICABLE"),"NOT_APPLICABLE",$K$1632-INDEX($J$1632:$K$1632,1,I1644)))))</f>
        <v/>
      </c>
    </row>
    <row r="1650">
      <c r="B1650" s="8" t="inlineStr">
        <is>
          <t>Scenario A: scenario_status</t>
        </is>
      </c>
      <c r="C1650" s="16">
        <f>J1634</f>
        <v/>
      </c>
      <c r="D1650" s="38" t="inlineStr">
        <is>
          <t>OK</t>
        </is>
      </c>
      <c r="F1650" s="15">
        <f>IF(J1634=D1650,"PASS","FAIL")</f>
        <v/>
      </c>
    </row>
    <row r="1651">
      <c r="B1651" s="8" t="inlineStr">
        <is>
          <t>Scenario A: contribution_margin</t>
        </is>
      </c>
      <c r="C1651" s="25">
        <f>J1615</f>
        <v/>
      </c>
      <c r="D1651" s="42" t="n">
        <v>500</v>
      </c>
      <c r="E1651" s="26">
        <f>IF(ISNUMBER(D1651),IF(ISNUMBER(J1615),ABS(J1615-D1651),"N/A"),"N/A")</f>
        <v/>
      </c>
      <c r="F1651" s="15">
        <f>IFERROR(IF(ISNUMBER(D1651),IF(ISNUMBER(J1615),IF(ABS(J1615-D1651)&lt;=0.01,"PASS","FAIL"),"FAIL"),IF(NOT(ISNUMBER(J1615)),IF(J1615=D1651,"PASS","FAIL"),"FAIL")),"FAIL")</f>
        <v/>
      </c>
    </row>
    <row r="1652">
      <c r="B1652" s="8" t="inlineStr">
        <is>
          <t>Scenario A: break_even_quantity_exact</t>
        </is>
      </c>
      <c r="C1652" s="25">
        <f>J1632</f>
        <v/>
      </c>
      <c r="D1652" s="42" t="n">
        <v>100</v>
      </c>
      <c r="E1652" s="26">
        <f>IF(ISNUMBER(D1652),IF(ISNUMBER(J1632),ABS(J1632-D1652),"N/A"),"N/A")</f>
        <v/>
      </c>
      <c r="F1652" s="15">
        <f>IFERROR(IF(ISNUMBER(D1652),IF(ISNUMBER(J1632),IF(ABS(J1632-D1652)&lt;=0.01,"PASS","FAIL"),"FAIL"),IF(NOT(ISNUMBER(J1632)),IF(J1632=D1652,"PASS","FAIL"),"FAIL")),"FAIL")</f>
        <v/>
      </c>
    </row>
    <row r="1653">
      <c r="B1653" s="8" t="inlineStr">
        <is>
          <t>Scenario A: net_sales_ex_vat_delta</t>
        </is>
      </c>
      <c r="C1653" s="43">
        <f>J1645</f>
        <v/>
      </c>
      <c r="D1653" s="44" t="n">
        <v>0</v>
      </c>
      <c r="F1653" s="15">
        <f>IFERROR(IF(ISNUMBER(D1653),IF(ISNUMBER(J1645),IF(ABS(J1645-D1653)&lt;=0.01,"PASS","FAIL"),"FAIL"),IF(NOT(ISNUMBER(J1645)),IF(J1645=D1653,"PASS","FAIL"),"FAIL")),"FAIL")</f>
        <v/>
      </c>
    </row>
    <row r="1654">
      <c r="B1654" s="8" t="inlineStr">
        <is>
          <t>Scenario A: contribution_margin_delta</t>
        </is>
      </c>
      <c r="C1654" s="43">
        <f>J1646</f>
        <v/>
      </c>
      <c r="D1654" s="44" t="n">
        <v>0</v>
      </c>
      <c r="F1654" s="15">
        <f>IFERROR(IF(ISNUMBER(D1654),IF(ISNUMBER(J1646),IF(ABS(J1646-D1654)&lt;=0.01,"PASS","FAIL"),"FAIL"),IF(NOT(ISNUMBER(J1646)),IF(J1646=D1654,"PASS","FAIL"),"FAIL")),"FAIL")</f>
        <v/>
      </c>
    </row>
    <row r="1655">
      <c r="B1655" s="8" t="inlineStr">
        <is>
          <t>Scenario A: contribution_margin_rate_delta</t>
        </is>
      </c>
      <c r="C1655" s="43">
        <f>J1647</f>
        <v/>
      </c>
      <c r="D1655" s="44" t="n">
        <v>0</v>
      </c>
      <c r="F1655" s="15">
        <f>IFERROR(IF(ISNUMBER(D1655),IF(ISNUMBER(J1647),IF(ABS(J1647-D1655)&lt;=0.01,"PASS","FAIL"),"FAIL"),IF(NOT(ISNUMBER(J1647)),IF(J1647=D1655,"PASS","FAIL"),"FAIL")),"FAIL")</f>
        <v/>
      </c>
    </row>
    <row r="1656">
      <c r="B1656" s="8" t="inlineStr">
        <is>
          <t>Scenario A: break_even_quantity_delta</t>
        </is>
      </c>
      <c r="C1656" s="43">
        <f>J1648</f>
        <v/>
      </c>
      <c r="D1656" s="44" t="n">
        <v>0</v>
      </c>
      <c r="F1656" s="15">
        <f>IFERROR(IF(ISNUMBER(D1656),IF(ISNUMBER(J1648),IF(ABS(J1648-D1656)&lt;=0.01,"PASS","FAIL"),"FAIL"),IF(NOT(ISNUMBER(J1648)),IF(J1648=D1656,"PASS","FAIL"),"FAIL")),"FAIL")</f>
        <v/>
      </c>
    </row>
    <row r="1657">
      <c r="B1657" s="8" t="inlineStr">
        <is>
          <t>Scenario B: scenario_status</t>
        </is>
      </c>
      <c r="C1657" s="16">
        <f>K1634</f>
        <v/>
      </c>
      <c r="D1657" s="38" t="inlineStr">
        <is>
          <t>OK</t>
        </is>
      </c>
      <c r="F1657" s="15">
        <f>IF(K1634=D1657,"PASS","FAIL")</f>
        <v/>
      </c>
    </row>
    <row r="1658">
      <c r="B1658" s="8" t="inlineStr">
        <is>
          <t>Scenario B: contribution_margin</t>
        </is>
      </c>
      <c r="C1658" s="25">
        <f>K1615</f>
        <v/>
      </c>
      <c r="D1658" s="42" t="n">
        <v>700</v>
      </c>
      <c r="E1658" s="26">
        <f>IF(ISNUMBER(D1658),IF(ISNUMBER(K1615),ABS(K1615-D1658),"N/A"),"N/A")</f>
        <v/>
      </c>
      <c r="F1658" s="15">
        <f>IFERROR(IF(ISNUMBER(D1658),IF(ISNUMBER(K1615),IF(ABS(K1615-D1658)&lt;=0.01,"PASS","FAIL"),"FAIL"),IF(NOT(ISNUMBER(K1615)),IF(K1615=D1658,"PASS","FAIL"),"FAIL")),"FAIL")</f>
        <v/>
      </c>
    </row>
    <row r="1659">
      <c r="B1659" s="8" t="inlineStr">
        <is>
          <t>Scenario B: break_even_quantity_exact</t>
        </is>
      </c>
      <c r="C1659" s="25">
        <f>K1632</f>
        <v/>
      </c>
      <c r="D1659" s="42" t="n">
        <v>71.42857142857143</v>
      </c>
      <c r="E1659" s="26">
        <f>IF(ISNUMBER(D1659),IF(ISNUMBER(K1632),ABS(K1632-D1659),"N/A"),"N/A")</f>
        <v/>
      </c>
      <c r="F1659" s="15">
        <f>IFERROR(IF(ISNUMBER(D1659),IF(ISNUMBER(K1632),IF(ABS(K1632-D1659)&lt;=0.01,"PASS","FAIL"),"FAIL"),IF(NOT(ISNUMBER(K1632)),IF(K1632=D1659,"PASS","FAIL"),"FAIL")),"FAIL")</f>
        <v/>
      </c>
    </row>
    <row r="1660">
      <c r="B1660" s="8" t="inlineStr">
        <is>
          <t>Scenario B: net_sales_ex_vat_delta</t>
        </is>
      </c>
      <c r="C1660" s="43">
        <f>K1645</f>
        <v/>
      </c>
      <c r="D1660" s="44" t="n">
        <v>200</v>
      </c>
      <c r="F1660" s="15">
        <f>IFERROR(IF(ISNUMBER(D1660),IF(ISNUMBER(K1645),IF(ABS(K1645-D1660)&lt;=0.01,"PASS","FAIL"),"FAIL"),IF(NOT(ISNUMBER(K1645)),IF(K1645=D1660,"PASS","FAIL"),"FAIL")),"FAIL")</f>
        <v/>
      </c>
    </row>
    <row r="1661">
      <c r="B1661" s="8" t="inlineStr">
        <is>
          <t>Scenario B: contribution_margin_delta</t>
        </is>
      </c>
      <c r="C1661" s="43">
        <f>K1646</f>
        <v/>
      </c>
      <c r="D1661" s="44" t="n">
        <v>200</v>
      </c>
      <c r="F1661" s="15">
        <f>IFERROR(IF(ISNUMBER(D1661),IF(ISNUMBER(K1646),IF(ABS(K1646-D1661)&lt;=0.01,"PASS","FAIL"),"FAIL"),IF(NOT(ISNUMBER(K1646)),IF(K1646=D1661,"PASS","FAIL"),"FAIL")),"FAIL")</f>
        <v/>
      </c>
    </row>
    <row r="1662">
      <c r="B1662" s="8" t="inlineStr">
        <is>
          <t>Scenario B: contribution_margin_rate_delta</t>
        </is>
      </c>
      <c r="C1662" s="43">
        <f>K1647</f>
        <v/>
      </c>
      <c r="D1662" s="44" t="n">
        <v>0.08333333333333337</v>
      </c>
      <c r="F1662" s="15">
        <f>IFERROR(IF(ISNUMBER(D1662),IF(ISNUMBER(K1647),IF(ABS(K1647-D1662)&lt;=0.01,"PASS","FAIL"),"FAIL"),IF(NOT(ISNUMBER(K1647)),IF(K1647=D1662,"PASS","FAIL"),"FAIL")),"FAIL")</f>
        <v/>
      </c>
    </row>
    <row r="1663">
      <c r="B1663" s="8" t="inlineStr">
        <is>
          <t>Scenario B: break_even_quantity_delta</t>
        </is>
      </c>
      <c r="C1663" s="43">
        <f>K1648</f>
        <v/>
      </c>
      <c r="D1663" s="44" t="n">
        <v>-28.57142857142857</v>
      </c>
      <c r="F1663" s="15">
        <f>IFERROR(IF(ISNUMBER(D1663),IF(ISNUMBER(K1648),IF(ABS(K1648-D1663)&lt;=0.01,"PASS","FAIL"),"FAIL"),IF(NOT(ISNUMBER(K1648)),IF(K1648=D1663,"PASS","FAIL"),"FAIL")),"FAIL")</f>
        <v/>
      </c>
    </row>
    <row r="1665" ht="20" customHeight="1">
      <c r="B1665" s="2" t="inlineStr">
        <is>
          <t>TC21. Baseline self-delta, UNKNOWN</t>
        </is>
      </c>
      <c r="C1665" s="7" t="n"/>
      <c r="D1665" s="7" t="n"/>
      <c r="E1665" s="7" t="n"/>
      <c r="F1665" s="7" t="n"/>
    </row>
    <row r="1666">
      <c r="B1666" s="4" t="inlineStr">
        <is>
          <t>Check</t>
        </is>
      </c>
      <c r="C1666" s="4" t="inlineStr">
        <is>
          <t>Excel Result</t>
        </is>
      </c>
      <c r="D1666" s="4" t="inlineStr">
        <is>
          <t>Python Reference</t>
        </is>
      </c>
      <c r="E1666" s="4" t="inlineStr">
        <is>
          <t>Difference</t>
        </is>
      </c>
      <c r="F1666" s="4" t="inlineStr">
        <is>
          <t>PASS / FAIL</t>
        </is>
      </c>
    </row>
    <row r="1667">
      <c r="I1667" t="n">
        <v>1000</v>
      </c>
    </row>
    <row r="1668">
      <c r="I1668" t="b">
        <v>0</v>
      </c>
    </row>
    <row r="1669">
      <c r="I1669" t="n">
        <v>0.1</v>
      </c>
    </row>
    <row r="1670">
      <c r="I1670" t="n">
        <v>1000</v>
      </c>
    </row>
    <row r="1671">
      <c r="I1671" t="n">
        <v>0</v>
      </c>
    </row>
    <row r="1672">
      <c r="I1672" t="n">
        <v>400</v>
      </c>
    </row>
    <row r="1673">
      <c r="I1673" t="n">
        <v>100</v>
      </c>
    </row>
    <row r="1674">
      <c r="I1674" t="n">
        <v>0</v>
      </c>
    </row>
    <row r="1675">
      <c r="I1675" t="n">
        <v>0</v>
      </c>
    </row>
    <row r="1676">
      <c r="I1676" t="n">
        <v>50000</v>
      </c>
    </row>
    <row r="1677">
      <c r="I1677" t="n">
        <v>0.3</v>
      </c>
    </row>
    <row r="1678">
      <c r="I1678" t="inlineStr">
        <is>
          <t>A</t>
        </is>
      </c>
      <c r="J1678" t="inlineStr">
        <is>
          <t>A</t>
        </is>
      </c>
      <c r="K1678" t="inlineStr">
        <is>
          <t>B</t>
        </is>
      </c>
    </row>
    <row r="1679">
      <c r="J1679" t="inlineStr">
        <is>
          <t>inherit</t>
        </is>
      </c>
      <c r="K1679" t="inlineStr">
        <is>
          <t>inherit</t>
        </is>
      </c>
    </row>
    <row r="1680"/>
    <row r="1681">
      <c r="J1681" t="inlineStr">
        <is>
          <t>value</t>
        </is>
      </c>
      <c r="K1681" t="inlineStr">
        <is>
          <t>inherit</t>
        </is>
      </c>
    </row>
    <row r="1682">
      <c r="J1682" t="b">
        <v>1</v>
      </c>
    </row>
    <row r="1683">
      <c r="J1683" t="inlineStr">
        <is>
          <t>null</t>
        </is>
      </c>
      <c r="K1683" t="inlineStr">
        <is>
          <t>inherit</t>
        </is>
      </c>
    </row>
    <row r="1684"/>
    <row r="1685">
      <c r="J1685" t="inlineStr">
        <is>
          <t>inherit</t>
        </is>
      </c>
      <c r="K1685" t="inlineStr">
        <is>
          <t>inherit</t>
        </is>
      </c>
    </row>
    <row r="1686"/>
    <row r="1687">
      <c r="J1687" t="inlineStr">
        <is>
          <t>inherit</t>
        </is>
      </c>
      <c r="K1687" t="inlineStr">
        <is>
          <t>inherit</t>
        </is>
      </c>
    </row>
    <row r="1688"/>
    <row r="1689">
      <c r="J1689" t="inlineStr">
        <is>
          <t>inherit</t>
        </is>
      </c>
      <c r="K1689" t="inlineStr">
        <is>
          <t>inherit</t>
        </is>
      </c>
    </row>
    <row r="1690"/>
    <row r="1691">
      <c r="J1691" t="inlineStr">
        <is>
          <t>inherit</t>
        </is>
      </c>
      <c r="K1691" t="inlineStr">
        <is>
          <t>inherit</t>
        </is>
      </c>
    </row>
    <row r="1692"/>
    <row r="1693">
      <c r="J1693" t="inlineStr">
        <is>
          <t>inherit</t>
        </is>
      </c>
      <c r="K1693" t="inlineStr">
        <is>
          <t>inherit</t>
        </is>
      </c>
    </row>
    <row r="1694"/>
    <row r="1695">
      <c r="J1695" t="inlineStr">
        <is>
          <t>inherit</t>
        </is>
      </c>
      <c r="K1695" t="inlineStr">
        <is>
          <t>inherit</t>
        </is>
      </c>
    </row>
    <row r="1696"/>
    <row r="1697">
      <c r="J1697">
        <f>IFERROR(IF(NOT(ISNUMBER(J1718)),"UNKNOWN",IF(J1719="UNKNOWN","UNKNOWN",IF(J1719=FALSE,J1718,IF(NOT(ISNUMBER(J1720)),"UNKNOWN",J1718/(1+J1720))))),"ERROR")</f>
        <v/>
      </c>
      <c r="K1697">
        <f>IFERROR(IF(NOT(ISNUMBER(K1718)),"UNKNOWN",IF(K1719="UNKNOWN","UNKNOWN",IF(K1719=FALSE,K1718,IF(NOT(ISNUMBER(K1720)),"UNKNOWN",K1718/(1+K1720))))),"ERROR")</f>
        <v/>
      </c>
    </row>
    <row r="1698">
      <c r="J1698">
        <f>IFERROR(IF(J1697="ERROR","ERROR",IF(OR(NOT(ISNUMBER(J1697)),NOT(ISNUMBER(J1724))),"UNKNOWN",IF(J1726&gt;0,IF(J1708="ERROR","ERROR",IF(NOT(ISNUMBER(J1708)),"UNKNOWN",J1697-J1724-$I$1673-$I$1674*J1697-J1726*J1708)),J1697-J1724-$I$1673-$I$1674*J1697))),"ERROR")</f>
        <v/>
      </c>
      <c r="K1698">
        <f>IFERROR(IF(K1697="ERROR","ERROR",IF(OR(NOT(ISNUMBER(K1697)),NOT(ISNUMBER(K1724))),"UNKNOWN",IF(K1726&gt;0,IF(K1708="ERROR","ERROR",IF(NOT(ISNUMBER(K1708)),"UNKNOWN",K1697-K1724-$I$1673-$I$1674*K1697-K1726*K1708)),K1697-K1724-$I$1673-$I$1674*K1697))),"ERROR")</f>
        <v/>
      </c>
    </row>
    <row r="1699">
      <c r="J1699">
        <f>IFERROR(IF(J1698="ERROR","ERROR",IF(NOT(ISNUMBER(J1698)),"UNKNOWN",IF(J1697=0,"ERROR",J1698/J1697))),"ERROR")</f>
        <v/>
      </c>
      <c r="K1699">
        <f>IFERROR(IF(K1698="ERROR","ERROR",IF(NOT(ISNUMBER(K1698)),"UNKNOWN",IF(K1697=0,"ERROR",K1698/K1697))),"ERROR")</f>
        <v/>
      </c>
    </row>
    <row r="1700">
      <c r="J1700">
        <f>IF(OR(J1697="ERROR",J1698="ERROR",J1699="ERROR"),"ERROR",IF(OR(NOT(ISNUMBER(J1697)),NOT(ISNUMBER(J1698)),NOT(ISNUMBER(J1699))),"UNKNOWN","OK"))</f>
        <v/>
      </c>
      <c r="K1700">
        <f>IF(OR(K1697="ERROR",K1698="ERROR",K1699="ERROR"),"ERROR",IF(OR(NOT(ISNUMBER(K1697)),NOT(ISNUMBER(K1698)),NOT(ISNUMBER(K1699))),"UNKNOWN","OK"))</f>
        <v/>
      </c>
    </row>
    <row r="1701">
      <c r="J1701">
        <f>IFERROR(IF(NOT(ISNUMBER(J1724)),J1724,J1724+$I$1673),"ERROR")</f>
        <v/>
      </c>
      <c r="K1701">
        <f>IFERROR(IF(NOT(ISNUMBER(K1724)),K1724,K1724+$I$1673),"ERROR")</f>
        <v/>
      </c>
    </row>
    <row r="1702">
      <c r="J1702">
        <f>IFERROR(IF(NOT(ISNUMBER(J1723)),"UNKNOWN",IF(OR(J1723&lt;0,J1723&gt;=1),"ERROR",IF(J1726=0,IF(1-J1723-$I$1674&lt;=0,"ERROR",1-J1723-$I$1674),IF(NOT(ISNUMBER(J1720)),"UNKNOWN",IF(1-J1723-$I$1674-J1726*(1+J1720)&lt;=0,"ERROR",1-J1723-$I$1674-J1726*(1+J1720)))))),"ERROR")</f>
        <v/>
      </c>
      <c r="K1702">
        <f>IFERROR(IF(NOT(ISNUMBER(K1723)),"UNKNOWN",IF(OR(K1723&lt;0,K1723&gt;=1),"ERROR",IF(K1726=0,IF(1-K1723-$I$1674&lt;=0,"ERROR",1-K1723-$I$1674),IF(NOT(ISNUMBER(K1720)),"UNKNOWN",IF(1-K1723-$I$1674-K1726*(1+K1720)&lt;=0,"ERROR",1-K1723-$I$1674-K1726*(1+K1720)))))),"ERROR")</f>
        <v/>
      </c>
    </row>
    <row r="1703">
      <c r="J1703">
        <f>IFERROR(IF(NOT(ISNUMBER(J1701)),J1701,IF(NOT(ISNUMBER(J1702)),J1702,J1701/J1702)),"ERROR")</f>
        <v/>
      </c>
      <c r="K1703">
        <f>IFERROR(IF(NOT(ISNUMBER(K1701)),K1701,IF(NOT(ISNUMBER(K1702)),K1702,K1701/K1702)),"ERROR")</f>
        <v/>
      </c>
    </row>
    <row r="1704">
      <c r="J1704">
        <f>IFERROR(IF(NOT(ISNUMBER(J1703)),J1703,IF(NOT(ISNUMBER(J1720)),"UNKNOWN",J1703*(1+J1720))),"ERROR")</f>
        <v/>
      </c>
      <c r="K1704">
        <f>IFERROR(IF(NOT(ISNUMBER(K1703)),K1703,IF(NOT(ISNUMBER(K1720)),"UNKNOWN",K1703*(1+K1720))),"ERROR")</f>
        <v/>
      </c>
    </row>
    <row r="1705">
      <c r="J1705">
        <f>IFERROR(IF(J1719="UNKNOWN","UNKNOWN",IF(J1719=FALSE,J1703,J1704)),"ERROR")</f>
        <v/>
      </c>
      <c r="K1705">
        <f>IFERROR(IF(K1719="UNKNOWN","UNKNOWN",IF(K1719=FALSE,K1703,K1704)),"ERROR")</f>
        <v/>
      </c>
    </row>
    <row r="1706">
      <c r="J1706">
        <f>IFERROR(IF(NOT(ISNUMBER(J1705)),J1705,IF(NOT(ISNUMBER(J1722)),"UNKNOWN",IF(OR(J1722&lt;0,J1722&gt;=1),"ERROR",IF(J1722=0,J1705,J1705/(1-J1722))))),"ERROR")</f>
        <v/>
      </c>
      <c r="K1706">
        <f>IFERROR(IF(NOT(ISNUMBER(K1705)),K1705,IF(NOT(ISNUMBER(K1722)),"UNKNOWN",IF(OR(K1722&lt;0,K1722&gt;=1),"ERROR",IF(K1722=0,K1705,K1705/(1-K1722))))),"ERROR")</f>
        <v/>
      </c>
    </row>
    <row r="1707">
      <c r="J1707">
        <f>IF(OR(J1705="ERROR",J1706="ERROR"),"ERROR",IF(OR(NOT(ISNUMBER(J1705)),NOT(ISNUMBER(J1706))),"UNKNOWN","OK"))</f>
        <v/>
      </c>
      <c r="K1707">
        <f>IF(OR(K1705="ERROR",K1706="ERROR"),"ERROR",IF(OR(NOT(ISNUMBER(K1705)),NOT(ISNUMBER(K1706))),"UNKNOWN","OK"))</f>
        <v/>
      </c>
    </row>
    <row r="1708">
      <c r="J1708">
        <f>IFERROR(IF(NOT(ISNUMBER(J1718)),"UNKNOWN",IF(J1719="UNKNOWN","UNKNOWN",IF(J1719=TRUE,J1718,IF(NOT(ISNUMBER(J1720)),"UNKNOWN",J1718*(1+J1720))))),"ERROR")</f>
        <v/>
      </c>
      <c r="K1708">
        <f>IFERROR(IF(NOT(ISNUMBER(K1718)),"UNKNOWN",IF(K1719="UNKNOWN","UNKNOWN",IF(K1719=TRUE,K1718,IF(NOT(ISNUMBER(K1720)),"UNKNOWN",K1718*(1+K1720))))),"ERROR")</f>
        <v/>
      </c>
    </row>
    <row r="1709">
      <c r="J1709">
        <f>IFERROR(IF(NOT(ISNUMBER(J1721)),"UNKNOWN",IF(J1719="UNKNOWN","UNKNOWN",IF(J1719=FALSE,J1721,IF(NOT(ISNUMBER(J1720)),"UNKNOWN",J1721/(1+J1720))))),"ERROR")</f>
        <v/>
      </c>
      <c r="K1709">
        <f>IFERROR(IF(NOT(ISNUMBER(K1721)),"UNKNOWN",IF(K1719="UNKNOWN","UNKNOWN",IF(K1719=FALSE,K1721,IF(NOT(ISNUMBER(K1720)),"UNKNOWN",K1721/(1+K1720))))),"ERROR")</f>
        <v/>
      </c>
    </row>
    <row r="1710">
      <c r="J1710">
        <f>IFERROR(IF(NOT(ISNUMBER(J1721)),"UNKNOWN",IF(J1719="UNKNOWN","UNKNOWN",IF(J1719=TRUE,J1721,IF(NOT(ISNUMBER(J1720)),"UNKNOWN",J1721*(1+J1720))))),"ERROR")</f>
        <v/>
      </c>
      <c r="K1710">
        <f>IFERROR(IF(NOT(ISNUMBER(K1721)),"UNKNOWN",IF(K1719="UNKNOWN","UNKNOWN",IF(K1719=TRUE,K1721,IF(NOT(ISNUMBER(K1720)),"UNKNOWN",K1721*(1+K1720))))),"ERROR")</f>
        <v/>
      </c>
    </row>
    <row r="1711">
      <c r="J1711">
        <f>IFERROR(IF(J1709="ERROR","ERROR",IF(NOT(ISNUMBER(J1723)),"UNKNOWN",IF(OR(J1723&lt;0,J1723&gt;=1),"ERROR",IF(NOT(ISNUMBER(J1709)),"UNKNOWN",IF(J1726&gt;0,IF(J1710="ERROR","ERROR",IF(NOT(ISNUMBER(J1710)),"UNKNOWN",J1709*(1-J1723-$I$1674)-J1726*J1710-$I$1673)),J1709*(1-J1723-$I$1674)-$I$1673))))),"ERROR")</f>
        <v/>
      </c>
      <c r="K1711">
        <f>IFERROR(IF(K1709="ERROR","ERROR",IF(NOT(ISNUMBER(K1723)),"UNKNOWN",IF(OR(K1723&lt;0,K1723&gt;=1),"ERROR",IF(NOT(ISNUMBER(K1709)),"UNKNOWN",IF(K1726&gt;0,IF(K1710="ERROR","ERROR",IF(NOT(ISNUMBER(K1710)),"UNKNOWN",K1709*(1-K1723-$I$1674)-K1726*K1710-$I$1673)),K1709*(1-K1723-$I$1674)-$I$1673))))),"ERROR")</f>
        <v/>
      </c>
    </row>
    <row r="1712">
      <c r="J1712">
        <f>IFERROR(IF(OR(J1711="ERROR",J1724="ERROR"),"ERROR",IF(OR(NOT(ISNUMBER(J1711)),NOT(ISNUMBER(J1724))),"UNKNOWN",J1711-J1724)),"ERROR")</f>
        <v/>
      </c>
      <c r="K1712">
        <f>IFERROR(IF(OR(K1711="ERROR",K1724="ERROR"),"ERROR",IF(OR(NOT(ISNUMBER(K1711)),NOT(ISNUMBER(K1724))),"UNKNOWN",K1711-K1724)),"ERROR")</f>
        <v/>
      </c>
    </row>
    <row r="1713">
      <c r="J1713">
        <f>IF(OR(J1711="ERROR",J1724="ERROR",J1712="ERROR"),"ERROR",IF(OR(NOT(ISNUMBER(J1711)),NOT(ISNUMBER(J1724)),NOT(ISNUMBER(J1712))),"UNKNOWN","OK"))</f>
        <v/>
      </c>
      <c r="K1713">
        <f>IF(OR(K1711="ERROR",K1724="ERROR",K1712="ERROR"),"ERROR",IF(OR(NOT(ISNUMBER(K1711)),NOT(ISNUMBER(K1724)),NOT(ISNUMBER(K1712))),"UNKNOWN","OK"))</f>
        <v/>
      </c>
    </row>
    <row r="1714">
      <c r="J1714">
        <f>IFERROR(IF(NOT(ISNUMBER(J1725)),J1725,IF(J1725&lt;0,"ERROR",J1725)),"ERROR")</f>
        <v/>
      </c>
      <c r="K1714">
        <f>IFERROR(IF(NOT(ISNUMBER(K1725)),K1725,IF(K1725&lt;0,"ERROR",K1725)),"ERROR")</f>
        <v/>
      </c>
    </row>
    <row r="1715">
      <c r="J1715">
        <f>IFERROR(IF(OR(J1698="ERROR",J1714="ERROR"),"ERROR",IF(OR(NOT(ISNUMBER(J1698)),NOT(ISNUMBER(J1714))),"UNKNOWN",IF(J1698&lt;=0,"NOT_APPLICABLE",J1714/J1698))),"ERROR")</f>
        <v/>
      </c>
      <c r="K1715">
        <f>IFERROR(IF(OR(K1698="ERROR",K1714="ERROR"),"ERROR",IF(OR(NOT(ISNUMBER(K1698)),NOT(ISNUMBER(K1714))),"UNKNOWN",IF(K1698&lt;=0,"NOT_APPLICABLE",K1714/K1698))),"ERROR")</f>
        <v/>
      </c>
    </row>
    <row r="1716">
      <c r="J1716">
        <f>IF(OR(J1698="ERROR",J1714="ERROR",J1715="ERROR"),"ERROR",IF(OR(NOT(ISNUMBER(J1698)),NOT(ISNUMBER(J1714)),AND(NOT(ISNUMBER(J1715)),J1715&lt;&gt;"NOT_APPLICABLE")),"UNKNOWN","OK"))</f>
        <v/>
      </c>
      <c r="K1716">
        <f>IF(OR(K1698="ERROR",K1714="ERROR",K1715="ERROR"),"ERROR",IF(OR(NOT(ISNUMBER(K1698)),NOT(ISNUMBER(K1714)),AND(NOT(ISNUMBER(K1715)),K1715&lt;&gt;"NOT_APPLICABLE")),"UNKNOWN","OK"))</f>
        <v/>
      </c>
    </row>
    <row r="1717">
      <c r="J1717">
        <f>IF(OR(J1700="ERROR",J1707="ERROR",J1713="ERROR",J1716="ERROR"),"ERROR",IF(OR(J1700="UNKNOWN",J1707="UNKNOWN",J1713="UNKNOWN",J1716="UNKNOWN"),"INCOMPLETE","OK"))</f>
        <v/>
      </c>
      <c r="K1717">
        <f>IF(OR(K1700="ERROR",K1707="ERROR",K1713="ERROR",K1716="ERROR"),"ERROR",IF(OR(K1700="UNKNOWN",K1707="UNKNOWN",K1713="UNKNOWN",K1716="UNKNOWN"),"INCOMPLETE","OK"))</f>
        <v/>
      </c>
    </row>
    <row r="1718">
      <c r="J1718">
        <f>IF($J$1679="inherit",$I$1667,IF($J$1679="null","UNKNOWN",$J$1680))</f>
        <v/>
      </c>
      <c r="K1718">
        <f>IF($K$1679="inherit",$I$1667,IF($K$1679="null","UNKNOWN",$K$1680))</f>
        <v/>
      </c>
    </row>
    <row r="1719">
      <c r="J1719">
        <f>IF($J$1681="inherit",$I$1668,IF($J$1681="null","UNKNOWN",$J$1682))</f>
        <v/>
      </c>
      <c r="K1719">
        <f>IF($K$1681="inherit",$I$1668,IF($K$1681="null","UNKNOWN",$K$1682))</f>
        <v/>
      </c>
    </row>
    <row r="1720">
      <c r="J1720">
        <f>IF($J$1683="inherit",$I$1669,IF($J$1683="null","UNKNOWN",$J$1684))</f>
        <v/>
      </c>
      <c r="K1720">
        <f>IF($K$1683="inherit",$I$1669,IF($K$1683="null","UNKNOWN",$K$1684))</f>
        <v/>
      </c>
    </row>
    <row r="1721">
      <c r="J1721">
        <f>IF($J$1685="inherit",$I$1670,IF($J$1685="null","UNKNOWN",$J$1686))</f>
        <v/>
      </c>
      <c r="K1721">
        <f>IF($K$1685="inherit",$I$1670,IF($K$1685="null","UNKNOWN",$K$1686))</f>
        <v/>
      </c>
    </row>
    <row r="1722">
      <c r="J1722">
        <f>IF($J$1687="inherit",$I$1671,IF($J$1687="null","UNKNOWN",$J$1688))</f>
        <v/>
      </c>
      <c r="K1722">
        <f>IF($K$1687="inherit",$I$1671,IF($K$1687="null","UNKNOWN",$K$1688))</f>
        <v/>
      </c>
    </row>
    <row r="1723">
      <c r="J1723">
        <f>IF($J$1689="inherit",$I$1677,IF($J$1689="null","UNKNOWN",$J$1690))</f>
        <v/>
      </c>
      <c r="K1723">
        <f>IF($K$1689="inherit",$I$1677,IF($K$1689="null","UNKNOWN",$K$1690))</f>
        <v/>
      </c>
    </row>
    <row r="1724">
      <c r="J1724">
        <f>IF($J$1691="inherit",$I$1672,IF($J$1691="null","UNKNOWN",$J$1692))</f>
        <v/>
      </c>
      <c r="K1724">
        <f>IF($K$1691="inherit",$I$1672,IF($K$1691="null","UNKNOWN",$K$1692))</f>
        <v/>
      </c>
    </row>
    <row r="1725">
      <c r="J1725">
        <f>IF($J$1693="inherit",$I$1676,IF($J$1693="null","UNKNOWN",$J$1694))</f>
        <v/>
      </c>
      <c r="K1725">
        <f>IF($K$1693="inherit",$I$1676,IF($K$1693="null","UNKNOWN",$K$1694))</f>
        <v/>
      </c>
    </row>
    <row r="1726">
      <c r="J1726">
        <f>IF($J$1695="inherit",$I$1675,IF($J$1695="null","UNKNOWN",$J$1696))</f>
        <v/>
      </c>
      <c r="K1726">
        <f>IF($K$1695="inherit",$I$1675,IF($K$1695="null","UNKNOWN",$K$1696))</f>
        <v/>
      </c>
    </row>
    <row r="1727">
      <c r="I1727">
        <f>IFERROR(MATCH($I$1678,$J$1678:$K$1678,0),0)</f>
        <v/>
      </c>
    </row>
    <row r="1728">
      <c r="J1728">
        <f>IF(I1727=0,"ERROR",IF(OR($J$1697="ERROR",INDEX($J$1697:$K$1697,1,I1727)="ERROR"),"ERROR",IF(OR($J$1697="UNKNOWN",INDEX($J$1697:$K$1697,1,I1727)="UNKNOWN"),"UNKNOWN",IF(OR($J$1697="NOT_APPLICABLE",INDEX($J$1697:$K$1697,1,I1727)="NOT_APPLICABLE"),"NOT_APPLICABLE",$J$1697-INDEX($J$1697:$K$1697,1,I1727)))))</f>
        <v/>
      </c>
      <c r="K1728">
        <f>IF(I1727=0,"ERROR",IF(OR($K$1697="ERROR",INDEX($J$1697:$K$1697,1,I1727)="ERROR"),"ERROR",IF(OR($K$1697="UNKNOWN",INDEX($J$1697:$K$1697,1,I1727)="UNKNOWN"),"UNKNOWN",IF(OR($K$1697="NOT_APPLICABLE",INDEX($J$1697:$K$1697,1,I1727)="NOT_APPLICABLE"),"NOT_APPLICABLE",$K$1697-INDEX($J$1697:$K$1697,1,I1727)))))</f>
        <v/>
      </c>
    </row>
    <row r="1729">
      <c r="J1729">
        <f>IF(I1727=0,"ERROR",IF(OR($J$1698="ERROR",INDEX($J$1698:$K$1698,1,I1727)="ERROR"),"ERROR",IF(OR($J$1698="UNKNOWN",INDEX($J$1698:$K$1698,1,I1727)="UNKNOWN"),"UNKNOWN",IF(OR($J$1698="NOT_APPLICABLE",INDEX($J$1698:$K$1698,1,I1727)="NOT_APPLICABLE"),"NOT_APPLICABLE",$J$1698-INDEX($J$1698:$K$1698,1,I1727)))))</f>
        <v/>
      </c>
      <c r="K1729">
        <f>IF(I1727=0,"ERROR",IF(OR($K$1698="ERROR",INDEX($J$1698:$K$1698,1,I1727)="ERROR"),"ERROR",IF(OR($K$1698="UNKNOWN",INDEX($J$1698:$K$1698,1,I1727)="UNKNOWN"),"UNKNOWN",IF(OR($K$1698="NOT_APPLICABLE",INDEX($J$1698:$K$1698,1,I1727)="NOT_APPLICABLE"),"NOT_APPLICABLE",$K$1698-INDEX($J$1698:$K$1698,1,I1727)))))</f>
        <v/>
      </c>
    </row>
    <row r="1730">
      <c r="J1730">
        <f>IF(I1727=0,"ERROR",IF(OR($J$1699="ERROR",INDEX($J$1699:$K$1699,1,I1727)="ERROR"),"ERROR",IF(OR($J$1699="UNKNOWN",INDEX($J$1699:$K$1699,1,I1727)="UNKNOWN"),"UNKNOWN",IF(OR($J$1699="NOT_APPLICABLE",INDEX($J$1699:$K$1699,1,I1727)="NOT_APPLICABLE"),"NOT_APPLICABLE",$J$1699-INDEX($J$1699:$K$1699,1,I1727)))))</f>
        <v/>
      </c>
      <c r="K1730">
        <f>IF(I1727=0,"ERROR",IF(OR($K$1699="ERROR",INDEX($J$1699:$K$1699,1,I1727)="ERROR"),"ERROR",IF(OR($K$1699="UNKNOWN",INDEX($J$1699:$K$1699,1,I1727)="UNKNOWN"),"UNKNOWN",IF(OR($K$1699="NOT_APPLICABLE",INDEX($J$1699:$K$1699,1,I1727)="NOT_APPLICABLE"),"NOT_APPLICABLE",$K$1699-INDEX($J$1699:$K$1699,1,I1727)))))</f>
        <v/>
      </c>
    </row>
    <row r="1731">
      <c r="J1731">
        <f>IF(I1727=0,"ERROR",IF(OR($J$1715="ERROR",INDEX($J$1715:$K$1715,1,I1727)="ERROR"),"ERROR",IF(OR($J$1715="UNKNOWN",INDEX($J$1715:$K$1715,1,I1727)="UNKNOWN"),"UNKNOWN",IF(OR($J$1715="NOT_APPLICABLE",INDEX($J$1715:$K$1715,1,I1727)="NOT_APPLICABLE"),"NOT_APPLICABLE",$J$1715-INDEX($J$1715:$K$1715,1,I1727)))))</f>
        <v/>
      </c>
      <c r="K1731">
        <f>IF(I1727=0,"ERROR",IF(OR($K$1715="ERROR",INDEX($J$1715:$K$1715,1,I1727)="ERROR"),"ERROR",IF(OR($K$1715="UNKNOWN",INDEX($J$1715:$K$1715,1,I1727)="UNKNOWN"),"UNKNOWN",IF(OR($K$1715="NOT_APPLICABLE",INDEX($J$1715:$K$1715,1,I1727)="NOT_APPLICABLE"),"NOT_APPLICABLE",$K$1715-INDEX($J$1715:$K$1715,1,I1727)))))</f>
        <v/>
      </c>
    </row>
    <row r="1733">
      <c r="B1733" s="8" t="inlineStr">
        <is>
          <t>Scenario A: scenario_status</t>
        </is>
      </c>
      <c r="C1733" s="16">
        <f>J1717</f>
        <v/>
      </c>
      <c r="D1733" s="38" t="inlineStr">
        <is>
          <t>INCOMPLETE</t>
        </is>
      </c>
      <c r="F1733" s="15">
        <f>IF(J1717=D1733,"PASS","FAIL")</f>
        <v/>
      </c>
    </row>
    <row r="1734">
      <c r="B1734" s="8" t="inlineStr">
        <is>
          <t>Scenario A: contribution_margin</t>
        </is>
      </c>
      <c r="C1734" s="25">
        <f>J1698</f>
        <v/>
      </c>
      <c r="D1734" s="38" t="inlineStr">
        <is>
          <t>UNKNOWN</t>
        </is>
      </c>
      <c r="E1734" s="26">
        <f>IF(ISNUMBER(D1734),IF(ISNUMBER(J1698),ABS(J1698-D1734),"N/A"),"N/A")</f>
        <v/>
      </c>
      <c r="F1734" s="15">
        <f>IFERROR(IF(ISNUMBER(D1734),IF(ISNUMBER(J1698),IF(ABS(J1698-D1734)&lt;=0.01,"PASS","FAIL"),"FAIL"),IF(NOT(ISNUMBER(J1698)),IF(J1698=D1734,"PASS","FAIL"),"FAIL")),"FAIL")</f>
        <v/>
      </c>
    </row>
    <row r="1735">
      <c r="B1735" s="8" t="inlineStr">
        <is>
          <t>Scenario A: break_even_quantity_exact</t>
        </is>
      </c>
      <c r="C1735" s="25">
        <f>J1715</f>
        <v/>
      </c>
      <c r="D1735" s="38" t="inlineStr">
        <is>
          <t>UNKNOWN</t>
        </is>
      </c>
      <c r="E1735" s="26">
        <f>IF(ISNUMBER(D1735),IF(ISNUMBER(J1715),ABS(J1715-D1735),"N/A"),"N/A")</f>
        <v/>
      </c>
      <c r="F1735" s="15">
        <f>IFERROR(IF(ISNUMBER(D1735),IF(ISNUMBER(J1715),IF(ABS(J1715-D1735)&lt;=0.01,"PASS","FAIL"),"FAIL"),IF(NOT(ISNUMBER(J1715)),IF(J1715=D1735,"PASS","FAIL"),"FAIL")),"FAIL")</f>
        <v/>
      </c>
    </row>
    <row r="1736">
      <c r="B1736" s="8" t="inlineStr">
        <is>
          <t>Scenario A: net_sales_ex_vat_delta</t>
        </is>
      </c>
      <c r="C1736" s="43">
        <f>J1728</f>
        <v/>
      </c>
      <c r="D1736" s="38" t="inlineStr">
        <is>
          <t>UNKNOWN</t>
        </is>
      </c>
      <c r="F1736" s="15">
        <f>IFERROR(IF(ISNUMBER(D1736),IF(ISNUMBER(J1728),IF(ABS(J1728-D1736)&lt;=0.01,"PASS","FAIL"),"FAIL"),IF(NOT(ISNUMBER(J1728)),IF(J1728=D1736,"PASS","FAIL"),"FAIL")),"FAIL")</f>
        <v/>
      </c>
    </row>
    <row r="1737">
      <c r="B1737" s="8" t="inlineStr">
        <is>
          <t>Scenario A: contribution_margin_delta</t>
        </is>
      </c>
      <c r="C1737" s="43">
        <f>J1729</f>
        <v/>
      </c>
      <c r="D1737" s="38" t="inlineStr">
        <is>
          <t>UNKNOWN</t>
        </is>
      </c>
      <c r="F1737" s="15">
        <f>IFERROR(IF(ISNUMBER(D1737),IF(ISNUMBER(J1729),IF(ABS(J1729-D1737)&lt;=0.01,"PASS","FAIL"),"FAIL"),IF(NOT(ISNUMBER(J1729)),IF(J1729=D1737,"PASS","FAIL"),"FAIL")),"FAIL")</f>
        <v/>
      </c>
    </row>
    <row r="1738">
      <c r="B1738" s="8" t="inlineStr">
        <is>
          <t>Scenario A: contribution_margin_rate_delta</t>
        </is>
      </c>
      <c r="C1738" s="43">
        <f>J1730</f>
        <v/>
      </c>
      <c r="D1738" s="38" t="inlineStr">
        <is>
          <t>UNKNOWN</t>
        </is>
      </c>
      <c r="F1738" s="15">
        <f>IFERROR(IF(ISNUMBER(D1738),IF(ISNUMBER(J1730),IF(ABS(J1730-D1738)&lt;=0.01,"PASS","FAIL"),"FAIL"),IF(NOT(ISNUMBER(J1730)),IF(J1730=D1738,"PASS","FAIL"),"FAIL")),"FAIL")</f>
        <v/>
      </c>
    </row>
    <row r="1739">
      <c r="B1739" s="8" t="inlineStr">
        <is>
          <t>Scenario A: break_even_quantity_delta</t>
        </is>
      </c>
      <c r="C1739" s="43">
        <f>J1731</f>
        <v/>
      </c>
      <c r="D1739" s="38" t="inlineStr">
        <is>
          <t>UNKNOWN</t>
        </is>
      </c>
      <c r="F1739" s="15">
        <f>IFERROR(IF(ISNUMBER(D1739),IF(ISNUMBER(J1731),IF(ABS(J1731-D1739)&lt;=0.01,"PASS","FAIL"),"FAIL"),IF(NOT(ISNUMBER(J1731)),IF(J1731=D1739,"PASS","FAIL"),"FAIL")),"FAIL")</f>
        <v/>
      </c>
    </row>
    <row r="1740">
      <c r="B1740" s="8" t="inlineStr">
        <is>
          <t>Scenario B: scenario_status</t>
        </is>
      </c>
      <c r="C1740" s="16">
        <f>K1717</f>
        <v/>
      </c>
      <c r="D1740" s="38" t="inlineStr">
        <is>
          <t>OK</t>
        </is>
      </c>
      <c r="F1740" s="15">
        <f>IF(K1717=D1740,"PASS","FAIL")</f>
        <v/>
      </c>
    </row>
    <row r="1741">
      <c r="B1741" s="8" t="inlineStr">
        <is>
          <t>Scenario B: contribution_margin</t>
        </is>
      </c>
      <c r="C1741" s="25">
        <f>K1698</f>
        <v/>
      </c>
      <c r="D1741" s="42" t="n">
        <v>500</v>
      </c>
      <c r="E1741" s="26">
        <f>IF(ISNUMBER(D1741),IF(ISNUMBER(K1698),ABS(K1698-D1741),"N/A"),"N/A")</f>
        <v/>
      </c>
      <c r="F1741" s="15">
        <f>IFERROR(IF(ISNUMBER(D1741),IF(ISNUMBER(K1698),IF(ABS(K1698-D1741)&lt;=0.01,"PASS","FAIL"),"FAIL"),IF(NOT(ISNUMBER(K1698)),IF(K1698=D1741,"PASS","FAIL"),"FAIL")),"FAIL")</f>
        <v/>
      </c>
    </row>
    <row r="1742">
      <c r="B1742" s="8" t="inlineStr">
        <is>
          <t>Scenario B: break_even_quantity_exact</t>
        </is>
      </c>
      <c r="C1742" s="25">
        <f>K1715</f>
        <v/>
      </c>
      <c r="D1742" s="42" t="n">
        <v>100</v>
      </c>
      <c r="E1742" s="26">
        <f>IF(ISNUMBER(D1742),IF(ISNUMBER(K1715),ABS(K1715-D1742),"N/A"),"N/A")</f>
        <v/>
      </c>
      <c r="F1742" s="15">
        <f>IFERROR(IF(ISNUMBER(D1742),IF(ISNUMBER(K1715),IF(ABS(K1715-D1742)&lt;=0.01,"PASS","FAIL"),"FAIL"),IF(NOT(ISNUMBER(K1715)),IF(K1715=D1742,"PASS","FAIL"),"FAIL")),"FAIL")</f>
        <v/>
      </c>
    </row>
    <row r="1743">
      <c r="B1743" s="8" t="inlineStr">
        <is>
          <t>Scenario B: net_sales_ex_vat_delta</t>
        </is>
      </c>
      <c r="C1743" s="43">
        <f>K1728</f>
        <v/>
      </c>
      <c r="D1743" s="38" t="inlineStr">
        <is>
          <t>UNKNOWN</t>
        </is>
      </c>
      <c r="F1743" s="15">
        <f>IFERROR(IF(ISNUMBER(D1743),IF(ISNUMBER(K1728),IF(ABS(K1728-D1743)&lt;=0.01,"PASS","FAIL"),"FAIL"),IF(NOT(ISNUMBER(K1728)),IF(K1728=D1743,"PASS","FAIL"),"FAIL")),"FAIL")</f>
        <v/>
      </c>
    </row>
    <row r="1744">
      <c r="B1744" s="8" t="inlineStr">
        <is>
          <t>Scenario B: contribution_margin_delta</t>
        </is>
      </c>
      <c r="C1744" s="43">
        <f>K1729</f>
        <v/>
      </c>
      <c r="D1744" s="38" t="inlineStr">
        <is>
          <t>UNKNOWN</t>
        </is>
      </c>
      <c r="F1744" s="15">
        <f>IFERROR(IF(ISNUMBER(D1744),IF(ISNUMBER(K1729),IF(ABS(K1729-D1744)&lt;=0.01,"PASS","FAIL"),"FAIL"),IF(NOT(ISNUMBER(K1729)),IF(K1729=D1744,"PASS","FAIL"),"FAIL")),"FAIL")</f>
        <v/>
      </c>
    </row>
    <row r="1745">
      <c r="B1745" s="8" t="inlineStr">
        <is>
          <t>Scenario B: contribution_margin_rate_delta</t>
        </is>
      </c>
      <c r="C1745" s="43">
        <f>K1730</f>
        <v/>
      </c>
      <c r="D1745" s="38" t="inlineStr">
        <is>
          <t>UNKNOWN</t>
        </is>
      </c>
      <c r="F1745" s="15">
        <f>IFERROR(IF(ISNUMBER(D1745),IF(ISNUMBER(K1730),IF(ABS(K1730-D1745)&lt;=0.01,"PASS","FAIL"),"FAIL"),IF(NOT(ISNUMBER(K1730)),IF(K1730=D1745,"PASS","FAIL"),"FAIL")),"FAIL")</f>
        <v/>
      </c>
    </row>
    <row r="1746">
      <c r="B1746" s="8" t="inlineStr">
        <is>
          <t>Scenario B: break_even_quantity_delta</t>
        </is>
      </c>
      <c r="C1746" s="43">
        <f>K1731</f>
        <v/>
      </c>
      <c r="D1746" s="38" t="inlineStr">
        <is>
          <t>UNKNOWN</t>
        </is>
      </c>
      <c r="F1746" s="15">
        <f>IFERROR(IF(ISNUMBER(D1746),IF(ISNUMBER(K1731),IF(ABS(K1731-D1746)&lt;=0.01,"PASS","FAIL"),"FAIL"),IF(NOT(ISNUMBER(K1731)),IF(K1731=D1746,"PASS","FAIL"),"FAIL")),"FAIL")</f>
        <v/>
      </c>
    </row>
    <row r="1748" ht="20" customHeight="1">
      <c r="B1748" s="2" t="inlineStr">
        <is>
          <t>TC22. Baseline self-delta, NOT_APPLICABLE</t>
        </is>
      </c>
      <c r="C1748" s="7" t="n"/>
      <c r="D1748" s="7" t="n"/>
      <c r="E1748" s="7" t="n"/>
      <c r="F1748" s="7" t="n"/>
    </row>
    <row r="1749">
      <c r="B1749" s="4" t="inlineStr">
        <is>
          <t>Check</t>
        </is>
      </c>
      <c r="C1749" s="4" t="inlineStr">
        <is>
          <t>Excel Result</t>
        </is>
      </c>
      <c r="D1749" s="4" t="inlineStr">
        <is>
          <t>Python Reference</t>
        </is>
      </c>
      <c r="E1749" s="4" t="inlineStr">
        <is>
          <t>Difference</t>
        </is>
      </c>
      <c r="F1749" s="4" t="inlineStr">
        <is>
          <t>PASS / FAIL</t>
        </is>
      </c>
    </row>
    <row r="1750">
      <c r="I1750" t="n">
        <v>1000</v>
      </c>
    </row>
    <row r="1751">
      <c r="I1751" t="b">
        <v>0</v>
      </c>
    </row>
    <row r="1752">
      <c r="I1752" t="n">
        <v>0.1</v>
      </c>
    </row>
    <row r="1753">
      <c r="I1753" t="n">
        <v>1000</v>
      </c>
    </row>
    <row r="1754">
      <c r="I1754" t="n">
        <v>0</v>
      </c>
    </row>
    <row r="1755">
      <c r="I1755" t="n">
        <v>400</v>
      </c>
    </row>
    <row r="1756">
      <c r="I1756" t="n">
        <v>100</v>
      </c>
    </row>
    <row r="1757">
      <c r="I1757" t="n">
        <v>0</v>
      </c>
    </row>
    <row r="1758">
      <c r="I1758" t="n">
        <v>0</v>
      </c>
    </row>
    <row r="1759">
      <c r="I1759" t="n">
        <v>50000</v>
      </c>
    </row>
    <row r="1760">
      <c r="I1760" t="n">
        <v>0.3</v>
      </c>
    </row>
    <row r="1761">
      <c r="I1761" t="inlineStr">
        <is>
          <t>A</t>
        </is>
      </c>
      <c r="J1761" t="inlineStr">
        <is>
          <t>A</t>
        </is>
      </c>
      <c r="K1761" t="inlineStr">
        <is>
          <t>B</t>
        </is>
      </c>
    </row>
    <row r="1762">
      <c r="J1762" t="inlineStr">
        <is>
          <t>value</t>
        </is>
      </c>
      <c r="K1762" t="inlineStr">
        <is>
          <t>inherit</t>
        </is>
      </c>
    </row>
    <row r="1763">
      <c r="J1763" t="n">
        <v>500</v>
      </c>
    </row>
    <row r="1764">
      <c r="J1764" t="inlineStr">
        <is>
          <t>inherit</t>
        </is>
      </c>
      <c r="K1764" t="inlineStr">
        <is>
          <t>inherit</t>
        </is>
      </c>
    </row>
    <row r="1765"/>
    <row r="1766">
      <c r="J1766" t="inlineStr">
        <is>
          <t>inherit</t>
        </is>
      </c>
      <c r="K1766" t="inlineStr">
        <is>
          <t>inherit</t>
        </is>
      </c>
    </row>
    <row r="1767"/>
    <row r="1768">
      <c r="J1768" t="inlineStr">
        <is>
          <t>inherit</t>
        </is>
      </c>
      <c r="K1768" t="inlineStr">
        <is>
          <t>inherit</t>
        </is>
      </c>
    </row>
    <row r="1769"/>
    <row r="1770">
      <c r="J1770" t="inlineStr">
        <is>
          <t>inherit</t>
        </is>
      </c>
      <c r="K1770" t="inlineStr">
        <is>
          <t>inherit</t>
        </is>
      </c>
    </row>
    <row r="1771"/>
    <row r="1772">
      <c r="J1772" t="inlineStr">
        <is>
          <t>inherit</t>
        </is>
      </c>
      <c r="K1772" t="inlineStr">
        <is>
          <t>inherit</t>
        </is>
      </c>
    </row>
    <row r="1773"/>
    <row r="1774">
      <c r="J1774" t="inlineStr">
        <is>
          <t>inherit</t>
        </is>
      </c>
      <c r="K1774" t="inlineStr">
        <is>
          <t>inherit</t>
        </is>
      </c>
    </row>
    <row r="1775"/>
    <row r="1776">
      <c r="J1776" t="inlineStr">
        <is>
          <t>inherit</t>
        </is>
      </c>
      <c r="K1776" t="inlineStr">
        <is>
          <t>inherit</t>
        </is>
      </c>
    </row>
    <row r="1777"/>
    <row r="1778">
      <c r="J1778" t="inlineStr">
        <is>
          <t>inherit</t>
        </is>
      </c>
      <c r="K1778" t="inlineStr">
        <is>
          <t>inherit</t>
        </is>
      </c>
    </row>
    <row r="1779"/>
    <row r="1780">
      <c r="J1780">
        <f>IFERROR(IF(NOT(ISNUMBER(J1801)),"UNKNOWN",IF(J1802="UNKNOWN","UNKNOWN",IF(J1802=FALSE,J1801,IF(NOT(ISNUMBER(J1803)),"UNKNOWN",J1801/(1+J1803))))),"ERROR")</f>
        <v/>
      </c>
      <c r="K1780">
        <f>IFERROR(IF(NOT(ISNUMBER(K1801)),"UNKNOWN",IF(K1802="UNKNOWN","UNKNOWN",IF(K1802=FALSE,K1801,IF(NOT(ISNUMBER(K1803)),"UNKNOWN",K1801/(1+K1803))))),"ERROR")</f>
        <v/>
      </c>
    </row>
    <row r="1781">
      <c r="J1781">
        <f>IFERROR(IF(J1780="ERROR","ERROR",IF(OR(NOT(ISNUMBER(J1780)),NOT(ISNUMBER(J1807))),"UNKNOWN",IF(J1809&gt;0,IF(J1791="ERROR","ERROR",IF(NOT(ISNUMBER(J1791)),"UNKNOWN",J1780-J1807-$I$1756-$I$1757*J1780-J1809*J1791)),J1780-J1807-$I$1756-$I$1757*J1780))),"ERROR")</f>
        <v/>
      </c>
      <c r="K1781">
        <f>IFERROR(IF(K1780="ERROR","ERROR",IF(OR(NOT(ISNUMBER(K1780)),NOT(ISNUMBER(K1807))),"UNKNOWN",IF(K1809&gt;0,IF(K1791="ERROR","ERROR",IF(NOT(ISNUMBER(K1791)),"UNKNOWN",K1780-K1807-$I$1756-$I$1757*K1780-K1809*K1791)),K1780-K1807-$I$1756-$I$1757*K1780))),"ERROR")</f>
        <v/>
      </c>
    </row>
    <row r="1782">
      <c r="J1782">
        <f>IFERROR(IF(J1781="ERROR","ERROR",IF(NOT(ISNUMBER(J1781)),"UNKNOWN",IF(J1780=0,"ERROR",J1781/J1780))),"ERROR")</f>
        <v/>
      </c>
      <c r="K1782">
        <f>IFERROR(IF(K1781="ERROR","ERROR",IF(NOT(ISNUMBER(K1781)),"UNKNOWN",IF(K1780=0,"ERROR",K1781/K1780))),"ERROR")</f>
        <v/>
      </c>
    </row>
    <row r="1783">
      <c r="J1783">
        <f>IF(OR(J1780="ERROR",J1781="ERROR",J1782="ERROR"),"ERROR",IF(OR(NOT(ISNUMBER(J1780)),NOT(ISNUMBER(J1781)),NOT(ISNUMBER(J1782))),"UNKNOWN","OK"))</f>
        <v/>
      </c>
      <c r="K1783">
        <f>IF(OR(K1780="ERROR",K1781="ERROR",K1782="ERROR"),"ERROR",IF(OR(NOT(ISNUMBER(K1780)),NOT(ISNUMBER(K1781)),NOT(ISNUMBER(K1782))),"UNKNOWN","OK"))</f>
        <v/>
      </c>
    </row>
    <row r="1784">
      <c r="J1784">
        <f>IFERROR(IF(NOT(ISNUMBER(J1807)),J1807,J1807+$I$1756),"ERROR")</f>
        <v/>
      </c>
      <c r="K1784">
        <f>IFERROR(IF(NOT(ISNUMBER(K1807)),K1807,K1807+$I$1756),"ERROR")</f>
        <v/>
      </c>
    </row>
    <row r="1785">
      <c r="J1785">
        <f>IFERROR(IF(NOT(ISNUMBER(J1806)),"UNKNOWN",IF(OR(J1806&lt;0,J1806&gt;=1),"ERROR",IF(J1809=0,IF(1-J1806-$I$1757&lt;=0,"ERROR",1-J1806-$I$1757),IF(NOT(ISNUMBER(J1803)),"UNKNOWN",IF(1-J1806-$I$1757-J1809*(1+J1803)&lt;=0,"ERROR",1-J1806-$I$1757-J1809*(1+J1803)))))),"ERROR")</f>
        <v/>
      </c>
      <c r="K1785">
        <f>IFERROR(IF(NOT(ISNUMBER(K1806)),"UNKNOWN",IF(OR(K1806&lt;0,K1806&gt;=1),"ERROR",IF(K1809=0,IF(1-K1806-$I$1757&lt;=0,"ERROR",1-K1806-$I$1757),IF(NOT(ISNUMBER(K1803)),"UNKNOWN",IF(1-K1806-$I$1757-K1809*(1+K1803)&lt;=0,"ERROR",1-K1806-$I$1757-K1809*(1+K1803)))))),"ERROR")</f>
        <v/>
      </c>
    </row>
    <row r="1786">
      <c r="J1786">
        <f>IFERROR(IF(NOT(ISNUMBER(J1784)),J1784,IF(NOT(ISNUMBER(J1785)),J1785,J1784/J1785)),"ERROR")</f>
        <v/>
      </c>
      <c r="K1786">
        <f>IFERROR(IF(NOT(ISNUMBER(K1784)),K1784,IF(NOT(ISNUMBER(K1785)),K1785,K1784/K1785)),"ERROR")</f>
        <v/>
      </c>
    </row>
    <row r="1787">
      <c r="J1787">
        <f>IFERROR(IF(NOT(ISNUMBER(J1786)),J1786,IF(NOT(ISNUMBER(J1803)),"UNKNOWN",J1786*(1+J1803))),"ERROR")</f>
        <v/>
      </c>
      <c r="K1787">
        <f>IFERROR(IF(NOT(ISNUMBER(K1786)),K1786,IF(NOT(ISNUMBER(K1803)),"UNKNOWN",K1786*(1+K1803))),"ERROR")</f>
        <v/>
      </c>
    </row>
    <row r="1788">
      <c r="J1788">
        <f>IFERROR(IF(J1802="UNKNOWN","UNKNOWN",IF(J1802=FALSE,J1786,J1787)),"ERROR")</f>
        <v/>
      </c>
      <c r="K1788">
        <f>IFERROR(IF(K1802="UNKNOWN","UNKNOWN",IF(K1802=FALSE,K1786,K1787)),"ERROR")</f>
        <v/>
      </c>
    </row>
    <row r="1789">
      <c r="J1789">
        <f>IFERROR(IF(NOT(ISNUMBER(J1788)),J1788,IF(NOT(ISNUMBER(J1805)),"UNKNOWN",IF(OR(J1805&lt;0,J1805&gt;=1),"ERROR",IF(J1805=0,J1788,J1788/(1-J1805))))),"ERROR")</f>
        <v/>
      </c>
      <c r="K1789">
        <f>IFERROR(IF(NOT(ISNUMBER(K1788)),K1788,IF(NOT(ISNUMBER(K1805)),"UNKNOWN",IF(OR(K1805&lt;0,K1805&gt;=1),"ERROR",IF(K1805=0,K1788,K1788/(1-K1805))))),"ERROR")</f>
        <v/>
      </c>
    </row>
    <row r="1790">
      <c r="J1790">
        <f>IF(OR(J1788="ERROR",J1789="ERROR"),"ERROR",IF(OR(NOT(ISNUMBER(J1788)),NOT(ISNUMBER(J1789))),"UNKNOWN","OK"))</f>
        <v/>
      </c>
      <c r="K1790">
        <f>IF(OR(K1788="ERROR",K1789="ERROR"),"ERROR",IF(OR(NOT(ISNUMBER(K1788)),NOT(ISNUMBER(K1789))),"UNKNOWN","OK"))</f>
        <v/>
      </c>
    </row>
    <row r="1791">
      <c r="J1791">
        <f>IFERROR(IF(NOT(ISNUMBER(J1801)),"UNKNOWN",IF(J1802="UNKNOWN","UNKNOWN",IF(J1802=TRUE,J1801,IF(NOT(ISNUMBER(J1803)),"UNKNOWN",J1801*(1+J1803))))),"ERROR")</f>
        <v/>
      </c>
      <c r="K1791">
        <f>IFERROR(IF(NOT(ISNUMBER(K1801)),"UNKNOWN",IF(K1802="UNKNOWN","UNKNOWN",IF(K1802=TRUE,K1801,IF(NOT(ISNUMBER(K1803)),"UNKNOWN",K1801*(1+K1803))))),"ERROR")</f>
        <v/>
      </c>
    </row>
    <row r="1792">
      <c r="J1792">
        <f>IFERROR(IF(NOT(ISNUMBER(J1804)),"UNKNOWN",IF(J1802="UNKNOWN","UNKNOWN",IF(J1802=FALSE,J1804,IF(NOT(ISNUMBER(J1803)),"UNKNOWN",J1804/(1+J1803))))),"ERROR")</f>
        <v/>
      </c>
      <c r="K1792">
        <f>IFERROR(IF(NOT(ISNUMBER(K1804)),"UNKNOWN",IF(K1802="UNKNOWN","UNKNOWN",IF(K1802=FALSE,K1804,IF(NOT(ISNUMBER(K1803)),"UNKNOWN",K1804/(1+K1803))))),"ERROR")</f>
        <v/>
      </c>
    </row>
    <row r="1793">
      <c r="J1793">
        <f>IFERROR(IF(NOT(ISNUMBER(J1804)),"UNKNOWN",IF(J1802="UNKNOWN","UNKNOWN",IF(J1802=TRUE,J1804,IF(NOT(ISNUMBER(J1803)),"UNKNOWN",J1804*(1+J1803))))),"ERROR")</f>
        <v/>
      </c>
      <c r="K1793">
        <f>IFERROR(IF(NOT(ISNUMBER(K1804)),"UNKNOWN",IF(K1802="UNKNOWN","UNKNOWN",IF(K1802=TRUE,K1804,IF(NOT(ISNUMBER(K1803)),"UNKNOWN",K1804*(1+K1803))))),"ERROR")</f>
        <v/>
      </c>
    </row>
    <row r="1794">
      <c r="J1794">
        <f>IFERROR(IF(J1792="ERROR","ERROR",IF(NOT(ISNUMBER(J1806)),"UNKNOWN",IF(OR(J1806&lt;0,J1806&gt;=1),"ERROR",IF(NOT(ISNUMBER(J1792)),"UNKNOWN",IF(J1809&gt;0,IF(J1793="ERROR","ERROR",IF(NOT(ISNUMBER(J1793)),"UNKNOWN",J1792*(1-J1806-$I$1757)-J1809*J1793-$I$1756)),J1792*(1-J1806-$I$1757)-$I$1756))))),"ERROR")</f>
        <v/>
      </c>
      <c r="K1794">
        <f>IFERROR(IF(K1792="ERROR","ERROR",IF(NOT(ISNUMBER(K1806)),"UNKNOWN",IF(OR(K1806&lt;0,K1806&gt;=1),"ERROR",IF(NOT(ISNUMBER(K1792)),"UNKNOWN",IF(K1809&gt;0,IF(K1793="ERROR","ERROR",IF(NOT(ISNUMBER(K1793)),"UNKNOWN",K1792*(1-K1806-$I$1757)-K1809*K1793-$I$1756)),K1792*(1-K1806-$I$1757)-$I$1756))))),"ERROR")</f>
        <v/>
      </c>
    </row>
    <row r="1795">
      <c r="J1795">
        <f>IFERROR(IF(OR(J1794="ERROR",J1807="ERROR"),"ERROR",IF(OR(NOT(ISNUMBER(J1794)),NOT(ISNUMBER(J1807))),"UNKNOWN",J1794-J1807)),"ERROR")</f>
        <v/>
      </c>
      <c r="K1795">
        <f>IFERROR(IF(OR(K1794="ERROR",K1807="ERROR"),"ERROR",IF(OR(NOT(ISNUMBER(K1794)),NOT(ISNUMBER(K1807))),"UNKNOWN",K1794-K1807)),"ERROR")</f>
        <v/>
      </c>
    </row>
    <row r="1796">
      <c r="J1796">
        <f>IF(OR(J1794="ERROR",J1807="ERROR",J1795="ERROR"),"ERROR",IF(OR(NOT(ISNUMBER(J1794)),NOT(ISNUMBER(J1807)),NOT(ISNUMBER(J1795))),"UNKNOWN","OK"))</f>
        <v/>
      </c>
      <c r="K1796">
        <f>IF(OR(K1794="ERROR",K1807="ERROR",K1795="ERROR"),"ERROR",IF(OR(NOT(ISNUMBER(K1794)),NOT(ISNUMBER(K1807)),NOT(ISNUMBER(K1795))),"UNKNOWN","OK"))</f>
        <v/>
      </c>
    </row>
    <row r="1797">
      <c r="J1797">
        <f>IFERROR(IF(NOT(ISNUMBER(J1808)),J1808,IF(J1808&lt;0,"ERROR",J1808)),"ERROR")</f>
        <v/>
      </c>
      <c r="K1797">
        <f>IFERROR(IF(NOT(ISNUMBER(K1808)),K1808,IF(K1808&lt;0,"ERROR",K1808)),"ERROR")</f>
        <v/>
      </c>
    </row>
    <row r="1798">
      <c r="J1798">
        <f>IFERROR(IF(OR(J1781="ERROR",J1797="ERROR"),"ERROR",IF(OR(NOT(ISNUMBER(J1781)),NOT(ISNUMBER(J1797))),"UNKNOWN",IF(J1781&lt;=0,"NOT_APPLICABLE",J1797/J1781))),"ERROR")</f>
        <v/>
      </c>
      <c r="K1798">
        <f>IFERROR(IF(OR(K1781="ERROR",K1797="ERROR"),"ERROR",IF(OR(NOT(ISNUMBER(K1781)),NOT(ISNUMBER(K1797))),"UNKNOWN",IF(K1781&lt;=0,"NOT_APPLICABLE",K1797/K1781))),"ERROR")</f>
        <v/>
      </c>
    </row>
    <row r="1799">
      <c r="J1799">
        <f>IF(OR(J1781="ERROR",J1797="ERROR",J1798="ERROR"),"ERROR",IF(OR(NOT(ISNUMBER(J1781)),NOT(ISNUMBER(J1797)),AND(NOT(ISNUMBER(J1798)),J1798&lt;&gt;"NOT_APPLICABLE")),"UNKNOWN","OK"))</f>
        <v/>
      </c>
      <c r="K1799">
        <f>IF(OR(K1781="ERROR",K1797="ERROR",K1798="ERROR"),"ERROR",IF(OR(NOT(ISNUMBER(K1781)),NOT(ISNUMBER(K1797)),AND(NOT(ISNUMBER(K1798)),K1798&lt;&gt;"NOT_APPLICABLE")),"UNKNOWN","OK"))</f>
        <v/>
      </c>
    </row>
    <row r="1800">
      <c r="J1800">
        <f>IF(OR(J1783="ERROR",J1790="ERROR",J1796="ERROR",J1799="ERROR"),"ERROR",IF(OR(J1783="UNKNOWN",J1790="UNKNOWN",J1796="UNKNOWN",J1799="UNKNOWN"),"INCOMPLETE","OK"))</f>
        <v/>
      </c>
      <c r="K1800">
        <f>IF(OR(K1783="ERROR",K1790="ERROR",K1796="ERROR",K1799="ERROR"),"ERROR",IF(OR(K1783="UNKNOWN",K1790="UNKNOWN",K1796="UNKNOWN",K1799="UNKNOWN"),"INCOMPLETE","OK"))</f>
        <v/>
      </c>
    </row>
    <row r="1801">
      <c r="J1801">
        <f>IF($J$1762="inherit",$I$1750,IF($J$1762="null","UNKNOWN",$J$1763))</f>
        <v/>
      </c>
      <c r="K1801">
        <f>IF($K$1762="inherit",$I$1750,IF($K$1762="null","UNKNOWN",$K$1763))</f>
        <v/>
      </c>
    </row>
    <row r="1802">
      <c r="J1802">
        <f>IF($J$1764="inherit",$I$1751,IF($J$1764="null","UNKNOWN",$J$1765))</f>
        <v/>
      </c>
      <c r="K1802">
        <f>IF($K$1764="inherit",$I$1751,IF($K$1764="null","UNKNOWN",$K$1765))</f>
        <v/>
      </c>
    </row>
    <row r="1803">
      <c r="J1803">
        <f>IF($J$1766="inherit",$I$1752,IF($J$1766="null","UNKNOWN",$J$1767))</f>
        <v/>
      </c>
      <c r="K1803">
        <f>IF($K$1766="inherit",$I$1752,IF($K$1766="null","UNKNOWN",$K$1767))</f>
        <v/>
      </c>
    </row>
    <row r="1804">
      <c r="J1804">
        <f>IF($J$1768="inherit",$I$1753,IF($J$1768="null","UNKNOWN",$J$1769))</f>
        <v/>
      </c>
      <c r="K1804">
        <f>IF($K$1768="inherit",$I$1753,IF($K$1768="null","UNKNOWN",$K$1769))</f>
        <v/>
      </c>
    </row>
    <row r="1805">
      <c r="J1805">
        <f>IF($J$1770="inherit",$I$1754,IF($J$1770="null","UNKNOWN",$J$1771))</f>
        <v/>
      </c>
      <c r="K1805">
        <f>IF($K$1770="inherit",$I$1754,IF($K$1770="null","UNKNOWN",$K$1771))</f>
        <v/>
      </c>
    </row>
    <row r="1806">
      <c r="J1806">
        <f>IF($J$1772="inherit",$I$1760,IF($J$1772="null","UNKNOWN",$J$1773))</f>
        <v/>
      </c>
      <c r="K1806">
        <f>IF($K$1772="inherit",$I$1760,IF($K$1772="null","UNKNOWN",$K$1773))</f>
        <v/>
      </c>
    </row>
    <row r="1807">
      <c r="J1807">
        <f>IF($J$1774="inherit",$I$1755,IF($J$1774="null","UNKNOWN",$J$1775))</f>
        <v/>
      </c>
      <c r="K1807">
        <f>IF($K$1774="inherit",$I$1755,IF($K$1774="null","UNKNOWN",$K$1775))</f>
        <v/>
      </c>
    </row>
    <row r="1808">
      <c r="J1808">
        <f>IF($J$1776="inherit",$I$1759,IF($J$1776="null","UNKNOWN",$J$1777))</f>
        <v/>
      </c>
      <c r="K1808">
        <f>IF($K$1776="inherit",$I$1759,IF($K$1776="null","UNKNOWN",$K$1777))</f>
        <v/>
      </c>
    </row>
    <row r="1809">
      <c r="J1809">
        <f>IF($J$1778="inherit",$I$1758,IF($J$1778="null","UNKNOWN",$J$1779))</f>
        <v/>
      </c>
      <c r="K1809">
        <f>IF($K$1778="inherit",$I$1758,IF($K$1778="null","UNKNOWN",$K$1779))</f>
        <v/>
      </c>
    </row>
    <row r="1810">
      <c r="I1810">
        <f>IFERROR(MATCH($I$1761,$J$1761:$K$1761,0),0)</f>
        <v/>
      </c>
    </row>
    <row r="1811">
      <c r="J1811">
        <f>IF(I1810=0,"ERROR",IF(OR($J$1780="ERROR",INDEX($J$1780:$K$1780,1,I1810)="ERROR"),"ERROR",IF(OR($J$1780="UNKNOWN",INDEX($J$1780:$K$1780,1,I1810)="UNKNOWN"),"UNKNOWN",IF(OR($J$1780="NOT_APPLICABLE",INDEX($J$1780:$K$1780,1,I1810)="NOT_APPLICABLE"),"NOT_APPLICABLE",$J$1780-INDEX($J$1780:$K$1780,1,I1810)))))</f>
        <v/>
      </c>
      <c r="K1811">
        <f>IF(I1810=0,"ERROR",IF(OR($K$1780="ERROR",INDEX($J$1780:$K$1780,1,I1810)="ERROR"),"ERROR",IF(OR($K$1780="UNKNOWN",INDEX($J$1780:$K$1780,1,I1810)="UNKNOWN"),"UNKNOWN",IF(OR($K$1780="NOT_APPLICABLE",INDEX($J$1780:$K$1780,1,I1810)="NOT_APPLICABLE"),"NOT_APPLICABLE",$K$1780-INDEX($J$1780:$K$1780,1,I1810)))))</f>
        <v/>
      </c>
    </row>
    <row r="1812">
      <c r="J1812">
        <f>IF(I1810=0,"ERROR",IF(OR($J$1781="ERROR",INDEX($J$1781:$K$1781,1,I1810)="ERROR"),"ERROR",IF(OR($J$1781="UNKNOWN",INDEX($J$1781:$K$1781,1,I1810)="UNKNOWN"),"UNKNOWN",IF(OR($J$1781="NOT_APPLICABLE",INDEX($J$1781:$K$1781,1,I1810)="NOT_APPLICABLE"),"NOT_APPLICABLE",$J$1781-INDEX($J$1781:$K$1781,1,I1810)))))</f>
        <v/>
      </c>
      <c r="K1812">
        <f>IF(I1810=0,"ERROR",IF(OR($K$1781="ERROR",INDEX($J$1781:$K$1781,1,I1810)="ERROR"),"ERROR",IF(OR($K$1781="UNKNOWN",INDEX($J$1781:$K$1781,1,I1810)="UNKNOWN"),"UNKNOWN",IF(OR($K$1781="NOT_APPLICABLE",INDEX($J$1781:$K$1781,1,I1810)="NOT_APPLICABLE"),"NOT_APPLICABLE",$K$1781-INDEX($J$1781:$K$1781,1,I1810)))))</f>
        <v/>
      </c>
    </row>
    <row r="1813">
      <c r="J1813">
        <f>IF(I1810=0,"ERROR",IF(OR($J$1782="ERROR",INDEX($J$1782:$K$1782,1,I1810)="ERROR"),"ERROR",IF(OR($J$1782="UNKNOWN",INDEX($J$1782:$K$1782,1,I1810)="UNKNOWN"),"UNKNOWN",IF(OR($J$1782="NOT_APPLICABLE",INDEX($J$1782:$K$1782,1,I1810)="NOT_APPLICABLE"),"NOT_APPLICABLE",$J$1782-INDEX($J$1782:$K$1782,1,I1810)))))</f>
        <v/>
      </c>
      <c r="K1813">
        <f>IF(I1810=0,"ERROR",IF(OR($K$1782="ERROR",INDEX($J$1782:$K$1782,1,I1810)="ERROR"),"ERROR",IF(OR($K$1782="UNKNOWN",INDEX($J$1782:$K$1782,1,I1810)="UNKNOWN"),"UNKNOWN",IF(OR($K$1782="NOT_APPLICABLE",INDEX($J$1782:$K$1782,1,I1810)="NOT_APPLICABLE"),"NOT_APPLICABLE",$K$1782-INDEX($J$1782:$K$1782,1,I1810)))))</f>
        <v/>
      </c>
    </row>
    <row r="1814">
      <c r="J1814">
        <f>IF(I1810=0,"ERROR",IF(OR($J$1798="ERROR",INDEX($J$1798:$K$1798,1,I1810)="ERROR"),"ERROR",IF(OR($J$1798="UNKNOWN",INDEX($J$1798:$K$1798,1,I1810)="UNKNOWN"),"UNKNOWN",IF(OR($J$1798="NOT_APPLICABLE",INDEX($J$1798:$K$1798,1,I1810)="NOT_APPLICABLE"),"NOT_APPLICABLE",$J$1798-INDEX($J$1798:$K$1798,1,I1810)))))</f>
        <v/>
      </c>
      <c r="K1814">
        <f>IF(I1810=0,"ERROR",IF(OR($K$1798="ERROR",INDEX($J$1798:$K$1798,1,I1810)="ERROR"),"ERROR",IF(OR($K$1798="UNKNOWN",INDEX($J$1798:$K$1798,1,I1810)="UNKNOWN"),"UNKNOWN",IF(OR($K$1798="NOT_APPLICABLE",INDEX($J$1798:$K$1798,1,I1810)="NOT_APPLICABLE"),"NOT_APPLICABLE",$K$1798-INDEX($J$1798:$K$1798,1,I1810)))))</f>
        <v/>
      </c>
    </row>
    <row r="1816">
      <c r="B1816" s="8" t="inlineStr">
        <is>
          <t>Scenario A: scenario_status</t>
        </is>
      </c>
      <c r="C1816" s="16">
        <f>J1800</f>
        <v/>
      </c>
      <c r="D1816" s="38" t="inlineStr">
        <is>
          <t>OK</t>
        </is>
      </c>
      <c r="F1816" s="15">
        <f>IF(J1800=D1816,"PASS","FAIL")</f>
        <v/>
      </c>
    </row>
    <row r="1817">
      <c r="B1817" s="8" t="inlineStr">
        <is>
          <t>Scenario A: contribution_margin</t>
        </is>
      </c>
      <c r="C1817" s="25">
        <f>J1781</f>
        <v/>
      </c>
      <c r="D1817" s="42" t="n">
        <v>0</v>
      </c>
      <c r="E1817" s="26">
        <f>IF(ISNUMBER(D1817),IF(ISNUMBER(J1781),ABS(J1781-D1817),"N/A"),"N/A")</f>
        <v/>
      </c>
      <c r="F1817" s="15">
        <f>IFERROR(IF(ISNUMBER(D1817),IF(ISNUMBER(J1781),IF(ABS(J1781-D1817)&lt;=0.01,"PASS","FAIL"),"FAIL"),IF(NOT(ISNUMBER(J1781)),IF(J1781=D1817,"PASS","FAIL"),"FAIL")),"FAIL")</f>
        <v/>
      </c>
    </row>
    <row r="1818">
      <c r="B1818" s="8" t="inlineStr">
        <is>
          <t>Scenario A: break_even_quantity_exact</t>
        </is>
      </c>
      <c r="C1818" s="25">
        <f>J1798</f>
        <v/>
      </c>
      <c r="D1818" s="38" t="inlineStr">
        <is>
          <t>NOT_APPLICABLE</t>
        </is>
      </c>
      <c r="E1818" s="26">
        <f>IF(ISNUMBER(D1818),IF(ISNUMBER(J1798),ABS(J1798-D1818),"N/A"),"N/A")</f>
        <v/>
      </c>
      <c r="F1818" s="15">
        <f>IFERROR(IF(ISNUMBER(D1818),IF(ISNUMBER(J1798),IF(ABS(J1798-D1818)&lt;=0.01,"PASS","FAIL"),"FAIL"),IF(NOT(ISNUMBER(J1798)),IF(J1798=D1818,"PASS","FAIL"),"FAIL")),"FAIL")</f>
        <v/>
      </c>
    </row>
    <row r="1819">
      <c r="B1819" s="8" t="inlineStr">
        <is>
          <t>Scenario A: net_sales_ex_vat_delta</t>
        </is>
      </c>
      <c r="C1819" s="43">
        <f>J1811</f>
        <v/>
      </c>
      <c r="D1819" s="44" t="n">
        <v>0</v>
      </c>
      <c r="F1819" s="15">
        <f>IFERROR(IF(ISNUMBER(D1819),IF(ISNUMBER(J1811),IF(ABS(J1811-D1819)&lt;=0.01,"PASS","FAIL"),"FAIL"),IF(NOT(ISNUMBER(J1811)),IF(J1811=D1819,"PASS","FAIL"),"FAIL")),"FAIL")</f>
        <v/>
      </c>
    </row>
    <row r="1820">
      <c r="B1820" s="8" t="inlineStr">
        <is>
          <t>Scenario A: contribution_margin_delta</t>
        </is>
      </c>
      <c r="C1820" s="43">
        <f>J1812</f>
        <v/>
      </c>
      <c r="D1820" s="44" t="n">
        <v>0</v>
      </c>
      <c r="F1820" s="15">
        <f>IFERROR(IF(ISNUMBER(D1820),IF(ISNUMBER(J1812),IF(ABS(J1812-D1820)&lt;=0.01,"PASS","FAIL"),"FAIL"),IF(NOT(ISNUMBER(J1812)),IF(J1812=D1820,"PASS","FAIL"),"FAIL")),"FAIL")</f>
        <v/>
      </c>
    </row>
    <row r="1821">
      <c r="B1821" s="8" t="inlineStr">
        <is>
          <t>Scenario A: contribution_margin_rate_delta</t>
        </is>
      </c>
      <c r="C1821" s="43">
        <f>J1813</f>
        <v/>
      </c>
      <c r="D1821" s="44" t="n">
        <v>0</v>
      </c>
      <c r="F1821" s="15">
        <f>IFERROR(IF(ISNUMBER(D1821),IF(ISNUMBER(J1813),IF(ABS(J1813-D1821)&lt;=0.01,"PASS","FAIL"),"FAIL"),IF(NOT(ISNUMBER(J1813)),IF(J1813=D1821,"PASS","FAIL"),"FAIL")),"FAIL")</f>
        <v/>
      </c>
    </row>
    <row r="1822">
      <c r="B1822" s="8" t="inlineStr">
        <is>
          <t>Scenario A: break_even_quantity_delta</t>
        </is>
      </c>
      <c r="C1822" s="43">
        <f>J1814</f>
        <v/>
      </c>
      <c r="D1822" s="38" t="inlineStr">
        <is>
          <t>NOT_APPLICABLE</t>
        </is>
      </c>
      <c r="F1822" s="15">
        <f>IFERROR(IF(ISNUMBER(D1822),IF(ISNUMBER(J1814),IF(ABS(J1814-D1822)&lt;=0.01,"PASS","FAIL"),"FAIL"),IF(NOT(ISNUMBER(J1814)),IF(J1814=D1822,"PASS","FAIL"),"FAIL")),"FAIL")</f>
        <v/>
      </c>
    </row>
    <row r="1823">
      <c r="B1823" s="8" t="inlineStr">
        <is>
          <t>Scenario B: scenario_status</t>
        </is>
      </c>
      <c r="C1823" s="16">
        <f>K1800</f>
        <v/>
      </c>
      <c r="D1823" s="38" t="inlineStr">
        <is>
          <t>OK</t>
        </is>
      </c>
      <c r="F1823" s="15">
        <f>IF(K1800=D1823,"PASS","FAIL")</f>
        <v/>
      </c>
    </row>
    <row r="1824">
      <c r="B1824" s="8" t="inlineStr">
        <is>
          <t>Scenario B: contribution_margin</t>
        </is>
      </c>
      <c r="C1824" s="25">
        <f>K1781</f>
        <v/>
      </c>
      <c r="D1824" s="42" t="n">
        <v>500</v>
      </c>
      <c r="E1824" s="26">
        <f>IF(ISNUMBER(D1824),IF(ISNUMBER(K1781),ABS(K1781-D1824),"N/A"),"N/A")</f>
        <v/>
      </c>
      <c r="F1824" s="15">
        <f>IFERROR(IF(ISNUMBER(D1824),IF(ISNUMBER(K1781),IF(ABS(K1781-D1824)&lt;=0.01,"PASS","FAIL"),"FAIL"),IF(NOT(ISNUMBER(K1781)),IF(K1781=D1824,"PASS","FAIL"),"FAIL")),"FAIL")</f>
        <v/>
      </c>
    </row>
    <row r="1825">
      <c r="B1825" s="8" t="inlineStr">
        <is>
          <t>Scenario B: break_even_quantity_exact</t>
        </is>
      </c>
      <c r="C1825" s="25">
        <f>K1798</f>
        <v/>
      </c>
      <c r="D1825" s="42" t="n">
        <v>100</v>
      </c>
      <c r="E1825" s="26">
        <f>IF(ISNUMBER(D1825),IF(ISNUMBER(K1798),ABS(K1798-D1825),"N/A"),"N/A")</f>
        <v/>
      </c>
      <c r="F1825" s="15">
        <f>IFERROR(IF(ISNUMBER(D1825),IF(ISNUMBER(K1798),IF(ABS(K1798-D1825)&lt;=0.01,"PASS","FAIL"),"FAIL"),IF(NOT(ISNUMBER(K1798)),IF(K1798=D1825,"PASS","FAIL"),"FAIL")),"FAIL")</f>
        <v/>
      </c>
    </row>
    <row r="1826">
      <c r="B1826" s="8" t="inlineStr">
        <is>
          <t>Scenario B: net_sales_ex_vat_delta</t>
        </is>
      </c>
      <c r="C1826" s="43">
        <f>K1811</f>
        <v/>
      </c>
      <c r="D1826" s="44" t="n">
        <v>500</v>
      </c>
      <c r="F1826" s="15">
        <f>IFERROR(IF(ISNUMBER(D1826),IF(ISNUMBER(K1811),IF(ABS(K1811-D1826)&lt;=0.01,"PASS","FAIL"),"FAIL"),IF(NOT(ISNUMBER(K1811)),IF(K1811=D1826,"PASS","FAIL"),"FAIL")),"FAIL")</f>
        <v/>
      </c>
    </row>
    <row r="1827">
      <c r="B1827" s="8" t="inlineStr">
        <is>
          <t>Scenario B: contribution_margin_delta</t>
        </is>
      </c>
      <c r="C1827" s="43">
        <f>K1812</f>
        <v/>
      </c>
      <c r="D1827" s="44" t="n">
        <v>500</v>
      </c>
      <c r="F1827" s="15">
        <f>IFERROR(IF(ISNUMBER(D1827),IF(ISNUMBER(K1812),IF(ABS(K1812-D1827)&lt;=0.01,"PASS","FAIL"),"FAIL"),IF(NOT(ISNUMBER(K1812)),IF(K1812=D1827,"PASS","FAIL"),"FAIL")),"FAIL")</f>
        <v/>
      </c>
    </row>
    <row r="1828">
      <c r="B1828" s="8" t="inlineStr">
        <is>
          <t>Scenario B: contribution_margin_rate_delta</t>
        </is>
      </c>
      <c r="C1828" s="43">
        <f>K1813</f>
        <v/>
      </c>
      <c r="D1828" s="44" t="n">
        <v>0.5</v>
      </c>
      <c r="F1828" s="15">
        <f>IFERROR(IF(ISNUMBER(D1828),IF(ISNUMBER(K1813),IF(ABS(K1813-D1828)&lt;=0.01,"PASS","FAIL"),"FAIL"),IF(NOT(ISNUMBER(K1813)),IF(K1813=D1828,"PASS","FAIL"),"FAIL")),"FAIL")</f>
        <v/>
      </c>
    </row>
    <row r="1829">
      <c r="B1829" s="8" t="inlineStr">
        <is>
          <t>Scenario B: break_even_quantity_delta</t>
        </is>
      </c>
      <c r="C1829" s="43">
        <f>K1814</f>
        <v/>
      </c>
      <c r="D1829" s="38" t="inlineStr">
        <is>
          <t>NOT_APPLICABLE</t>
        </is>
      </c>
      <c r="F1829" s="15">
        <f>IFERROR(IF(ISNUMBER(D1829),IF(ISNUMBER(K1814),IF(ABS(K1814-D1829)&lt;=0.01,"PASS","FAIL"),"FAIL"),IF(NOT(ISNUMBER(K1814)),IF(K1814=D1829,"PASS","FAIL"),"FAIL")),"FAIL")</f>
        <v/>
      </c>
    </row>
    <row r="1831" ht="20" customHeight="1">
      <c r="B1831" s="2" t="inlineStr">
        <is>
          <t>TC24. Duplicate scenario_id (request-level ERROR)</t>
        </is>
      </c>
      <c r="C1831" s="7" t="n"/>
      <c r="D1831" s="7" t="n"/>
      <c r="E1831" s="7" t="n"/>
      <c r="F1831" s="7" t="n"/>
    </row>
    <row r="1832">
      <c r="B1832" s="4" t="inlineStr">
        <is>
          <t>Check</t>
        </is>
      </c>
      <c r="C1832" s="4" t="inlineStr">
        <is>
          <t>Excel Result</t>
        </is>
      </c>
      <c r="D1832" s="4" t="inlineStr">
        <is>
          <t>Python Reference</t>
        </is>
      </c>
      <c r="E1832" s="4" t="inlineStr">
        <is>
          <t>Difference</t>
        </is>
      </c>
      <c r="F1832" s="4" t="inlineStr">
        <is>
          <t>PASS / FAIL</t>
        </is>
      </c>
    </row>
    <row r="1833">
      <c r="I1833" t="n">
        <v>1000</v>
      </c>
    </row>
    <row r="1834">
      <c r="I1834" t="b">
        <v>0</v>
      </c>
    </row>
    <row r="1835">
      <c r="I1835" t="n">
        <v>0.1</v>
      </c>
    </row>
    <row r="1836">
      <c r="I1836" t="n">
        <v>1000</v>
      </c>
    </row>
    <row r="1837">
      <c r="I1837" t="n">
        <v>0</v>
      </c>
    </row>
    <row r="1838">
      <c r="I1838" t="n">
        <v>400</v>
      </c>
    </row>
    <row r="1839">
      <c r="I1839" t="n">
        <v>100</v>
      </c>
    </row>
    <row r="1840">
      <c r="I1840" t="n">
        <v>0</v>
      </c>
    </row>
    <row r="1841">
      <c r="I1841" t="n">
        <v>0</v>
      </c>
    </row>
    <row r="1842">
      <c r="I1842" t="n">
        <v>50000</v>
      </c>
    </row>
    <row r="1843">
      <c r="I1843" t="n">
        <v>0.3</v>
      </c>
    </row>
    <row r="1844">
      <c r="I1844" t="inlineStr">
        <is>
          <t>A</t>
        </is>
      </c>
      <c r="J1844" t="inlineStr">
        <is>
          <t>A</t>
        </is>
      </c>
      <c r="K1844" t="inlineStr">
        <is>
          <t>A</t>
        </is>
      </c>
    </row>
    <row r="1845">
      <c r="J1845" t="inlineStr">
        <is>
          <t>inherit</t>
        </is>
      </c>
      <c r="K1845" t="inlineStr">
        <is>
          <t>value</t>
        </is>
      </c>
    </row>
    <row r="1846">
      <c r="K1846" t="n">
        <v>1200</v>
      </c>
    </row>
    <row r="1847">
      <c r="J1847" t="inlineStr">
        <is>
          <t>inherit</t>
        </is>
      </c>
      <c r="K1847" t="inlineStr">
        <is>
          <t>inherit</t>
        </is>
      </c>
    </row>
    <row r="1848"/>
    <row r="1849">
      <c r="J1849" t="inlineStr">
        <is>
          <t>inherit</t>
        </is>
      </c>
      <c r="K1849" t="inlineStr">
        <is>
          <t>inherit</t>
        </is>
      </c>
    </row>
    <row r="1850"/>
    <row r="1851">
      <c r="J1851" t="inlineStr">
        <is>
          <t>inherit</t>
        </is>
      </c>
      <c r="K1851" t="inlineStr">
        <is>
          <t>inherit</t>
        </is>
      </c>
    </row>
    <row r="1852"/>
    <row r="1853">
      <c r="J1853" t="inlineStr">
        <is>
          <t>inherit</t>
        </is>
      </c>
      <c r="K1853" t="inlineStr">
        <is>
          <t>inherit</t>
        </is>
      </c>
    </row>
    <row r="1854"/>
    <row r="1855">
      <c r="J1855" t="inlineStr">
        <is>
          <t>inherit</t>
        </is>
      </c>
      <c r="K1855" t="inlineStr">
        <is>
          <t>inherit</t>
        </is>
      </c>
    </row>
    <row r="1856"/>
    <row r="1857">
      <c r="J1857" t="inlineStr">
        <is>
          <t>inherit</t>
        </is>
      </c>
      <c r="K1857" t="inlineStr">
        <is>
          <t>inherit</t>
        </is>
      </c>
    </row>
    <row r="1858"/>
    <row r="1859">
      <c r="J1859" t="inlineStr">
        <is>
          <t>inherit</t>
        </is>
      </c>
      <c r="K1859" t="inlineStr">
        <is>
          <t>inherit</t>
        </is>
      </c>
    </row>
    <row r="1860"/>
    <row r="1861">
      <c r="J1861" t="inlineStr">
        <is>
          <t>inherit</t>
        </is>
      </c>
      <c r="K1861" t="inlineStr">
        <is>
          <t>inherit</t>
        </is>
      </c>
    </row>
    <row r="1862"/>
    <row r="1863">
      <c r="J1863">
        <f>IFERROR(IF(NOT(ISNUMBER(J1884)),"UNKNOWN",IF(J1885="UNKNOWN","UNKNOWN",IF(J1885=FALSE,J1884,IF(NOT(ISNUMBER(J1886)),"UNKNOWN",J1884/(1+J1886))))),"ERROR")</f>
        <v/>
      </c>
      <c r="K1863">
        <f>IFERROR(IF(NOT(ISNUMBER(K1884)),"UNKNOWN",IF(K1885="UNKNOWN","UNKNOWN",IF(K1885=FALSE,K1884,IF(NOT(ISNUMBER(K1886)),"UNKNOWN",K1884/(1+K1886))))),"ERROR")</f>
        <v/>
      </c>
    </row>
    <row r="1864">
      <c r="J1864">
        <f>IFERROR(IF(J1863="ERROR","ERROR",IF(OR(NOT(ISNUMBER(J1863)),NOT(ISNUMBER(J1890))),"UNKNOWN",IF(J1892&gt;0,IF(J1874="ERROR","ERROR",IF(NOT(ISNUMBER(J1874)),"UNKNOWN",J1863-J1890-$I$1839-$I$1840*J1863-J1892*J1874)),J1863-J1890-$I$1839-$I$1840*J1863))),"ERROR")</f>
        <v/>
      </c>
      <c r="K1864">
        <f>IFERROR(IF(K1863="ERROR","ERROR",IF(OR(NOT(ISNUMBER(K1863)),NOT(ISNUMBER(K1890))),"UNKNOWN",IF(K1892&gt;0,IF(K1874="ERROR","ERROR",IF(NOT(ISNUMBER(K1874)),"UNKNOWN",K1863-K1890-$I$1839-$I$1840*K1863-K1892*K1874)),K1863-K1890-$I$1839-$I$1840*K1863))),"ERROR")</f>
        <v/>
      </c>
    </row>
    <row r="1865">
      <c r="J1865">
        <f>IFERROR(IF(J1864="ERROR","ERROR",IF(NOT(ISNUMBER(J1864)),"UNKNOWN",IF(J1863=0,"ERROR",J1864/J1863))),"ERROR")</f>
        <v/>
      </c>
      <c r="K1865">
        <f>IFERROR(IF(K1864="ERROR","ERROR",IF(NOT(ISNUMBER(K1864)),"UNKNOWN",IF(K1863=0,"ERROR",K1864/K1863))),"ERROR")</f>
        <v/>
      </c>
    </row>
    <row r="1866">
      <c r="J1866">
        <f>IF(OR(J1863="ERROR",J1864="ERROR",J1865="ERROR"),"ERROR",IF(OR(NOT(ISNUMBER(J1863)),NOT(ISNUMBER(J1864)),NOT(ISNUMBER(J1865))),"UNKNOWN","OK"))</f>
        <v/>
      </c>
      <c r="K1866">
        <f>IF(OR(K1863="ERROR",K1864="ERROR",K1865="ERROR"),"ERROR",IF(OR(NOT(ISNUMBER(K1863)),NOT(ISNUMBER(K1864)),NOT(ISNUMBER(K1865))),"UNKNOWN","OK"))</f>
        <v/>
      </c>
    </row>
    <row r="1867">
      <c r="J1867">
        <f>IFERROR(IF(NOT(ISNUMBER(J1890)),J1890,J1890+$I$1839),"ERROR")</f>
        <v/>
      </c>
      <c r="K1867">
        <f>IFERROR(IF(NOT(ISNUMBER(K1890)),K1890,K1890+$I$1839),"ERROR")</f>
        <v/>
      </c>
    </row>
    <row r="1868">
      <c r="J1868">
        <f>IFERROR(IF(NOT(ISNUMBER(J1889)),"UNKNOWN",IF(OR(J1889&lt;0,J1889&gt;=1),"ERROR",IF(J1892=0,IF(1-J1889-$I$1840&lt;=0,"ERROR",1-J1889-$I$1840),IF(NOT(ISNUMBER(J1886)),"UNKNOWN",IF(1-J1889-$I$1840-J1892*(1+J1886)&lt;=0,"ERROR",1-J1889-$I$1840-J1892*(1+J1886)))))),"ERROR")</f>
        <v/>
      </c>
      <c r="K1868">
        <f>IFERROR(IF(NOT(ISNUMBER(K1889)),"UNKNOWN",IF(OR(K1889&lt;0,K1889&gt;=1),"ERROR",IF(K1892=0,IF(1-K1889-$I$1840&lt;=0,"ERROR",1-K1889-$I$1840),IF(NOT(ISNUMBER(K1886)),"UNKNOWN",IF(1-K1889-$I$1840-K1892*(1+K1886)&lt;=0,"ERROR",1-K1889-$I$1840-K1892*(1+K1886)))))),"ERROR")</f>
        <v/>
      </c>
    </row>
    <row r="1869">
      <c r="J1869">
        <f>IFERROR(IF(NOT(ISNUMBER(J1867)),J1867,IF(NOT(ISNUMBER(J1868)),J1868,J1867/J1868)),"ERROR")</f>
        <v/>
      </c>
      <c r="K1869">
        <f>IFERROR(IF(NOT(ISNUMBER(K1867)),K1867,IF(NOT(ISNUMBER(K1868)),K1868,K1867/K1868)),"ERROR")</f>
        <v/>
      </c>
    </row>
    <row r="1870">
      <c r="J1870">
        <f>IFERROR(IF(NOT(ISNUMBER(J1869)),J1869,IF(NOT(ISNUMBER(J1886)),"UNKNOWN",J1869*(1+J1886))),"ERROR")</f>
        <v/>
      </c>
      <c r="K1870">
        <f>IFERROR(IF(NOT(ISNUMBER(K1869)),K1869,IF(NOT(ISNUMBER(K1886)),"UNKNOWN",K1869*(1+K1886))),"ERROR")</f>
        <v/>
      </c>
    </row>
    <row r="1871">
      <c r="J1871">
        <f>IFERROR(IF(J1885="UNKNOWN","UNKNOWN",IF(J1885=FALSE,J1869,J1870)),"ERROR")</f>
        <v/>
      </c>
      <c r="K1871">
        <f>IFERROR(IF(K1885="UNKNOWN","UNKNOWN",IF(K1885=FALSE,K1869,K1870)),"ERROR")</f>
        <v/>
      </c>
    </row>
    <row r="1872">
      <c r="J1872">
        <f>IFERROR(IF(NOT(ISNUMBER(J1871)),J1871,IF(NOT(ISNUMBER(J1888)),"UNKNOWN",IF(OR(J1888&lt;0,J1888&gt;=1),"ERROR",IF(J1888=0,J1871,J1871/(1-J1888))))),"ERROR")</f>
        <v/>
      </c>
      <c r="K1872">
        <f>IFERROR(IF(NOT(ISNUMBER(K1871)),K1871,IF(NOT(ISNUMBER(K1888)),"UNKNOWN",IF(OR(K1888&lt;0,K1888&gt;=1),"ERROR",IF(K1888=0,K1871,K1871/(1-K1888))))),"ERROR")</f>
        <v/>
      </c>
    </row>
    <row r="1873">
      <c r="J1873">
        <f>IF(OR(J1871="ERROR",J1872="ERROR"),"ERROR",IF(OR(NOT(ISNUMBER(J1871)),NOT(ISNUMBER(J1872))),"UNKNOWN","OK"))</f>
        <v/>
      </c>
      <c r="K1873">
        <f>IF(OR(K1871="ERROR",K1872="ERROR"),"ERROR",IF(OR(NOT(ISNUMBER(K1871)),NOT(ISNUMBER(K1872))),"UNKNOWN","OK"))</f>
        <v/>
      </c>
    </row>
    <row r="1874">
      <c r="J1874">
        <f>IFERROR(IF(NOT(ISNUMBER(J1884)),"UNKNOWN",IF(J1885="UNKNOWN","UNKNOWN",IF(J1885=TRUE,J1884,IF(NOT(ISNUMBER(J1886)),"UNKNOWN",J1884*(1+J1886))))),"ERROR")</f>
        <v/>
      </c>
      <c r="K1874">
        <f>IFERROR(IF(NOT(ISNUMBER(K1884)),"UNKNOWN",IF(K1885="UNKNOWN","UNKNOWN",IF(K1885=TRUE,K1884,IF(NOT(ISNUMBER(K1886)),"UNKNOWN",K1884*(1+K1886))))),"ERROR")</f>
        <v/>
      </c>
    </row>
    <row r="1875">
      <c r="J1875">
        <f>IFERROR(IF(NOT(ISNUMBER(J1887)),"UNKNOWN",IF(J1885="UNKNOWN","UNKNOWN",IF(J1885=FALSE,J1887,IF(NOT(ISNUMBER(J1886)),"UNKNOWN",J1887/(1+J1886))))),"ERROR")</f>
        <v/>
      </c>
      <c r="K1875">
        <f>IFERROR(IF(NOT(ISNUMBER(K1887)),"UNKNOWN",IF(K1885="UNKNOWN","UNKNOWN",IF(K1885=FALSE,K1887,IF(NOT(ISNUMBER(K1886)),"UNKNOWN",K1887/(1+K1886))))),"ERROR")</f>
        <v/>
      </c>
    </row>
    <row r="1876">
      <c r="J1876">
        <f>IFERROR(IF(NOT(ISNUMBER(J1887)),"UNKNOWN",IF(J1885="UNKNOWN","UNKNOWN",IF(J1885=TRUE,J1887,IF(NOT(ISNUMBER(J1886)),"UNKNOWN",J1887*(1+J1886))))),"ERROR")</f>
        <v/>
      </c>
      <c r="K1876">
        <f>IFERROR(IF(NOT(ISNUMBER(K1887)),"UNKNOWN",IF(K1885="UNKNOWN","UNKNOWN",IF(K1885=TRUE,K1887,IF(NOT(ISNUMBER(K1886)),"UNKNOWN",K1887*(1+K1886))))),"ERROR")</f>
        <v/>
      </c>
    </row>
    <row r="1877">
      <c r="J1877">
        <f>IFERROR(IF(J1875="ERROR","ERROR",IF(NOT(ISNUMBER(J1889)),"UNKNOWN",IF(OR(J1889&lt;0,J1889&gt;=1),"ERROR",IF(NOT(ISNUMBER(J1875)),"UNKNOWN",IF(J1892&gt;0,IF(J1876="ERROR","ERROR",IF(NOT(ISNUMBER(J1876)),"UNKNOWN",J1875*(1-J1889-$I$1840)-J1892*J1876-$I$1839)),J1875*(1-J1889-$I$1840)-$I$1839))))),"ERROR")</f>
        <v/>
      </c>
      <c r="K1877">
        <f>IFERROR(IF(K1875="ERROR","ERROR",IF(NOT(ISNUMBER(K1889)),"UNKNOWN",IF(OR(K1889&lt;0,K1889&gt;=1),"ERROR",IF(NOT(ISNUMBER(K1875)),"UNKNOWN",IF(K1892&gt;0,IF(K1876="ERROR","ERROR",IF(NOT(ISNUMBER(K1876)),"UNKNOWN",K1875*(1-K1889-$I$1840)-K1892*K1876-$I$1839)),K1875*(1-K1889-$I$1840)-$I$1839))))),"ERROR")</f>
        <v/>
      </c>
    </row>
    <row r="1878">
      <c r="J1878">
        <f>IFERROR(IF(OR(J1877="ERROR",J1890="ERROR"),"ERROR",IF(OR(NOT(ISNUMBER(J1877)),NOT(ISNUMBER(J1890))),"UNKNOWN",J1877-J1890)),"ERROR")</f>
        <v/>
      </c>
      <c r="K1878">
        <f>IFERROR(IF(OR(K1877="ERROR",K1890="ERROR"),"ERROR",IF(OR(NOT(ISNUMBER(K1877)),NOT(ISNUMBER(K1890))),"UNKNOWN",K1877-K1890)),"ERROR")</f>
        <v/>
      </c>
    </row>
    <row r="1879">
      <c r="J1879">
        <f>IF(OR(J1877="ERROR",J1890="ERROR",J1878="ERROR"),"ERROR",IF(OR(NOT(ISNUMBER(J1877)),NOT(ISNUMBER(J1890)),NOT(ISNUMBER(J1878))),"UNKNOWN","OK"))</f>
        <v/>
      </c>
      <c r="K1879">
        <f>IF(OR(K1877="ERROR",K1890="ERROR",K1878="ERROR"),"ERROR",IF(OR(NOT(ISNUMBER(K1877)),NOT(ISNUMBER(K1890)),NOT(ISNUMBER(K1878))),"UNKNOWN","OK"))</f>
        <v/>
      </c>
    </row>
    <row r="1880">
      <c r="J1880">
        <f>IFERROR(IF(NOT(ISNUMBER(J1891)),J1891,IF(J1891&lt;0,"ERROR",J1891)),"ERROR")</f>
        <v/>
      </c>
      <c r="K1880">
        <f>IFERROR(IF(NOT(ISNUMBER(K1891)),K1891,IF(K1891&lt;0,"ERROR",K1891)),"ERROR")</f>
        <v/>
      </c>
    </row>
    <row r="1881">
      <c r="J1881">
        <f>IFERROR(IF(OR(J1864="ERROR",J1880="ERROR"),"ERROR",IF(OR(NOT(ISNUMBER(J1864)),NOT(ISNUMBER(J1880))),"UNKNOWN",IF(J1864&lt;=0,"NOT_APPLICABLE",J1880/J1864))),"ERROR")</f>
        <v/>
      </c>
      <c r="K1881">
        <f>IFERROR(IF(OR(K1864="ERROR",K1880="ERROR"),"ERROR",IF(OR(NOT(ISNUMBER(K1864)),NOT(ISNUMBER(K1880))),"UNKNOWN",IF(K1864&lt;=0,"NOT_APPLICABLE",K1880/K1864))),"ERROR")</f>
        <v/>
      </c>
    </row>
    <row r="1882">
      <c r="J1882">
        <f>IF(OR(J1864="ERROR",J1880="ERROR",J1881="ERROR"),"ERROR",IF(OR(NOT(ISNUMBER(J1864)),NOT(ISNUMBER(J1880)),AND(NOT(ISNUMBER(J1881)),J1881&lt;&gt;"NOT_APPLICABLE")),"UNKNOWN","OK"))</f>
        <v/>
      </c>
      <c r="K1882">
        <f>IF(OR(K1864="ERROR",K1880="ERROR",K1881="ERROR"),"ERROR",IF(OR(NOT(ISNUMBER(K1864)),NOT(ISNUMBER(K1880)),AND(NOT(ISNUMBER(K1881)),K1881&lt;&gt;"NOT_APPLICABLE")),"UNKNOWN","OK"))</f>
        <v/>
      </c>
    </row>
    <row r="1883">
      <c r="J1883">
        <f>IF(OR(J1866="ERROR",J1873="ERROR",J1879="ERROR",J1882="ERROR"),"ERROR",IF(OR(J1866="UNKNOWN",J1873="UNKNOWN",J1879="UNKNOWN",J1882="UNKNOWN"),"INCOMPLETE","OK"))</f>
        <v/>
      </c>
      <c r="K1883">
        <f>IF(OR(K1866="ERROR",K1873="ERROR",K1879="ERROR",K1882="ERROR"),"ERROR",IF(OR(K1866="UNKNOWN",K1873="UNKNOWN",K1879="UNKNOWN",K1882="UNKNOWN"),"INCOMPLETE","OK"))</f>
        <v/>
      </c>
    </row>
    <row r="1884">
      <c r="J1884">
        <f>IF($K$1845="inherit",$I$1833,IF($K$1845="null","UNKNOWN",$K$1846))</f>
        <v/>
      </c>
      <c r="K1884">
        <f>IF($K$1845="inherit",$I$1833,IF($K$1845="null","UNKNOWN",$K$1846))</f>
        <v/>
      </c>
    </row>
    <row r="1885">
      <c r="J1885">
        <f>IF($K$1847="inherit",$I$1834,IF($K$1847="null","UNKNOWN",$K$1848))</f>
        <v/>
      </c>
      <c r="K1885">
        <f>IF($K$1847="inherit",$I$1834,IF($K$1847="null","UNKNOWN",$K$1848))</f>
        <v/>
      </c>
    </row>
    <row r="1886">
      <c r="J1886">
        <f>IF($K$1849="inherit",$I$1835,IF($K$1849="null","UNKNOWN",$K$1850))</f>
        <v/>
      </c>
      <c r="K1886">
        <f>IF($K$1849="inherit",$I$1835,IF($K$1849="null","UNKNOWN",$K$1850))</f>
        <v/>
      </c>
    </row>
    <row r="1887">
      <c r="J1887">
        <f>IF($K$1851="inherit",$I$1836,IF($K$1851="null","UNKNOWN",$K$1852))</f>
        <v/>
      </c>
      <c r="K1887">
        <f>IF($K$1851="inherit",$I$1836,IF($K$1851="null","UNKNOWN",$K$1852))</f>
        <v/>
      </c>
    </row>
    <row r="1888">
      <c r="J1888">
        <f>IF($K$1853="inherit",$I$1837,IF($K$1853="null","UNKNOWN",$K$1854))</f>
        <v/>
      </c>
      <c r="K1888">
        <f>IF($K$1853="inherit",$I$1837,IF($K$1853="null","UNKNOWN",$K$1854))</f>
        <v/>
      </c>
    </row>
    <row r="1889">
      <c r="J1889">
        <f>IF($K$1855="inherit",$I$1843,IF($K$1855="null","UNKNOWN",$K$1856))</f>
        <v/>
      </c>
      <c r="K1889">
        <f>IF($K$1855="inherit",$I$1843,IF($K$1855="null","UNKNOWN",$K$1856))</f>
        <v/>
      </c>
    </row>
    <row r="1890">
      <c r="J1890">
        <f>IF($K$1857="inherit",$I$1838,IF($K$1857="null","UNKNOWN",$K$1858))</f>
        <v/>
      </c>
      <c r="K1890">
        <f>IF($K$1857="inherit",$I$1838,IF($K$1857="null","UNKNOWN",$K$1858))</f>
        <v/>
      </c>
    </row>
    <row r="1891">
      <c r="J1891">
        <f>IF($K$1859="inherit",$I$1842,IF($K$1859="null","UNKNOWN",$K$1860))</f>
        <v/>
      </c>
      <c r="K1891">
        <f>IF($K$1859="inherit",$I$1842,IF($K$1859="null","UNKNOWN",$K$1860))</f>
        <v/>
      </c>
    </row>
    <row r="1892">
      <c r="J1892">
        <f>IF($K$1861="inherit",$I$1841,IF($K$1861="null","UNKNOWN",$K$1862))</f>
        <v/>
      </c>
      <c r="K1892">
        <f>IF($K$1861="inherit",$I$1841,IF($K$1861="null","UNKNOWN",$K$1862))</f>
        <v/>
      </c>
    </row>
    <row r="1893">
      <c r="I1893">
        <f>IFERROR(MATCH($I$1844,$J$1844:$K$1844,0),0)</f>
        <v/>
      </c>
    </row>
    <row r="1894">
      <c r="J1894">
        <f>IF(I1893=0,"ERROR",IF(OR($J$1863="ERROR",INDEX($J$1863:$K$1863,1,I1893)="ERROR"),"ERROR",IF(OR($J$1863="UNKNOWN",INDEX($J$1863:$K$1863,1,I1893)="UNKNOWN"),"UNKNOWN",IF(OR($J$1863="NOT_APPLICABLE",INDEX($J$1863:$K$1863,1,I1893)="NOT_APPLICABLE"),"NOT_APPLICABLE",$J$1863-INDEX($J$1863:$K$1863,1,I1893)))))</f>
        <v/>
      </c>
      <c r="K1894">
        <f>IF(I1893=0,"ERROR",IF(OR($K$1863="ERROR",INDEX($J$1863:$K$1863,1,I1893)="ERROR"),"ERROR",IF(OR($K$1863="UNKNOWN",INDEX($J$1863:$K$1863,1,I1893)="UNKNOWN"),"UNKNOWN",IF(OR($K$1863="NOT_APPLICABLE",INDEX($J$1863:$K$1863,1,I1893)="NOT_APPLICABLE"),"NOT_APPLICABLE",$K$1863-INDEX($J$1863:$K$1863,1,I1893)))))</f>
        <v/>
      </c>
    </row>
    <row r="1895">
      <c r="J1895">
        <f>IF(I1893=0,"ERROR",IF(OR($J$1864="ERROR",INDEX($J$1864:$K$1864,1,I1893)="ERROR"),"ERROR",IF(OR($J$1864="UNKNOWN",INDEX($J$1864:$K$1864,1,I1893)="UNKNOWN"),"UNKNOWN",IF(OR($J$1864="NOT_APPLICABLE",INDEX($J$1864:$K$1864,1,I1893)="NOT_APPLICABLE"),"NOT_APPLICABLE",$J$1864-INDEX($J$1864:$K$1864,1,I1893)))))</f>
        <v/>
      </c>
      <c r="K1895">
        <f>IF(I1893=0,"ERROR",IF(OR($K$1864="ERROR",INDEX($J$1864:$K$1864,1,I1893)="ERROR"),"ERROR",IF(OR($K$1864="UNKNOWN",INDEX($J$1864:$K$1864,1,I1893)="UNKNOWN"),"UNKNOWN",IF(OR($K$1864="NOT_APPLICABLE",INDEX($J$1864:$K$1864,1,I1893)="NOT_APPLICABLE"),"NOT_APPLICABLE",$K$1864-INDEX($J$1864:$K$1864,1,I1893)))))</f>
        <v/>
      </c>
    </row>
    <row r="1896">
      <c r="J1896">
        <f>IF(I1893=0,"ERROR",IF(OR($J$1865="ERROR",INDEX($J$1865:$K$1865,1,I1893)="ERROR"),"ERROR",IF(OR($J$1865="UNKNOWN",INDEX($J$1865:$K$1865,1,I1893)="UNKNOWN"),"UNKNOWN",IF(OR($J$1865="NOT_APPLICABLE",INDEX($J$1865:$K$1865,1,I1893)="NOT_APPLICABLE"),"NOT_APPLICABLE",$J$1865-INDEX($J$1865:$K$1865,1,I1893)))))</f>
        <v/>
      </c>
      <c r="K1896">
        <f>IF(I1893=0,"ERROR",IF(OR($K$1865="ERROR",INDEX($J$1865:$K$1865,1,I1893)="ERROR"),"ERROR",IF(OR($K$1865="UNKNOWN",INDEX($J$1865:$K$1865,1,I1893)="UNKNOWN"),"UNKNOWN",IF(OR($K$1865="NOT_APPLICABLE",INDEX($J$1865:$K$1865,1,I1893)="NOT_APPLICABLE"),"NOT_APPLICABLE",$K$1865-INDEX($J$1865:$K$1865,1,I1893)))))</f>
        <v/>
      </c>
    </row>
    <row r="1897">
      <c r="J1897">
        <f>IF(I1893=0,"ERROR",IF(OR($J$1881="ERROR",INDEX($J$1881:$K$1881,1,I1893)="ERROR"),"ERROR",IF(OR($J$1881="UNKNOWN",INDEX($J$1881:$K$1881,1,I1893)="UNKNOWN"),"UNKNOWN",IF(OR($J$1881="NOT_APPLICABLE",INDEX($J$1881:$K$1881,1,I1893)="NOT_APPLICABLE"),"NOT_APPLICABLE",$J$1881-INDEX($J$1881:$K$1881,1,I1893)))))</f>
        <v/>
      </c>
      <c r="K1897">
        <f>IF(I1893=0,"ERROR",IF(OR($K$1881="ERROR",INDEX($J$1881:$K$1881,1,I1893)="ERROR"),"ERROR",IF(OR($K$1881="UNKNOWN",INDEX($J$1881:$K$1881,1,I1893)="UNKNOWN"),"UNKNOWN",IF(OR($K$1881="NOT_APPLICABLE",INDEX($J$1881:$K$1881,1,I1893)="NOT_APPLICABLE"),"NOT_APPLICABLE",$K$1881-INDEX($J$1881:$K$1881,1,I1893)))))</f>
        <v/>
      </c>
    </row>
    <row r="1899">
      <c r="B1899" s="8" t="inlineStr">
        <is>
          <t>Request-Level Status: Excel (independent recompute)</t>
        </is>
      </c>
      <c r="C1899" s="16">
        <f>IF(I1899=TRUE,"ERROR: DUPLICATE_SCENARIO_ID",IF(I1893=0,"ERROR: BASELINE_SCENARIO_ID_NOT_FOUND","OK"))</f>
        <v/>
      </c>
      <c r="D1899" s="38" t="inlineStr">
        <is>
          <t>ERROR</t>
        </is>
      </c>
      <c r="F1899" s="15">
        <f>IF(AND(LEFT(C1899,5)="ERROR",D1899="ERROR"),"PASS",IF(AND(C1899="OK",D1899="OK"),"PASS","FAIL"))</f>
        <v/>
      </c>
      <c r="I1899">
        <f>SUMPRODUCT((COUNTIF($J$1844:$K$1844,$J$1844:$K$1844)&gt;1)*($J$1844:$K$1844&lt;&gt;""))&gt;0</f>
        <v/>
      </c>
    </row>
    <row r="1900">
      <c r="B1900" s="8" t="inlineStr">
        <is>
          <t>(request-level case: mode engines not evaluated for this comparison — only the preflight diagnostic itself is being parity-tested)</t>
        </is>
      </c>
    </row>
    <row r="1902" ht="20" customHeight="1">
      <c r="B1902" s="2" t="inlineStr">
        <is>
          <t>TC25. Baseline not found (request-level ERROR)</t>
        </is>
      </c>
      <c r="C1902" s="7" t="n"/>
      <c r="D1902" s="7" t="n"/>
      <c r="E1902" s="7" t="n"/>
      <c r="F1902" s="7" t="n"/>
    </row>
    <row r="1903">
      <c r="B1903" s="4" t="inlineStr">
        <is>
          <t>Check</t>
        </is>
      </c>
      <c r="C1903" s="4" t="inlineStr">
        <is>
          <t>Excel Result</t>
        </is>
      </c>
      <c r="D1903" s="4" t="inlineStr">
        <is>
          <t>Python Reference</t>
        </is>
      </c>
      <c r="E1903" s="4" t="inlineStr">
        <is>
          <t>Difference</t>
        </is>
      </c>
      <c r="F1903" s="4" t="inlineStr">
        <is>
          <t>PASS / FAIL</t>
        </is>
      </c>
    </row>
    <row r="1904">
      <c r="I1904" t="n">
        <v>1000</v>
      </c>
    </row>
    <row r="1905">
      <c r="I1905" t="b">
        <v>0</v>
      </c>
    </row>
    <row r="1906">
      <c r="I1906" t="n">
        <v>0.1</v>
      </c>
    </row>
    <row r="1907">
      <c r="I1907" t="n">
        <v>1000</v>
      </c>
    </row>
    <row r="1908">
      <c r="I1908" t="n">
        <v>0</v>
      </c>
    </row>
    <row r="1909">
      <c r="I1909" t="n">
        <v>400</v>
      </c>
    </row>
    <row r="1910">
      <c r="I1910" t="n">
        <v>100</v>
      </c>
    </row>
    <row r="1911">
      <c r="I1911" t="n">
        <v>0</v>
      </c>
    </row>
    <row r="1912">
      <c r="I1912" t="n">
        <v>0</v>
      </c>
    </row>
    <row r="1913">
      <c r="I1913" t="n">
        <v>50000</v>
      </c>
    </row>
    <row r="1914">
      <c r="I1914" t="n">
        <v>0.3</v>
      </c>
    </row>
    <row r="1915">
      <c r="I1915" t="inlineStr">
        <is>
          <t>Z</t>
        </is>
      </c>
      <c r="J1915" t="inlineStr">
        <is>
          <t>A</t>
        </is>
      </c>
      <c r="K1915" t="inlineStr">
        <is>
          <t>B</t>
        </is>
      </c>
    </row>
    <row r="1916">
      <c r="J1916" t="inlineStr">
        <is>
          <t>inherit</t>
        </is>
      </c>
      <c r="K1916" t="inlineStr">
        <is>
          <t>value</t>
        </is>
      </c>
    </row>
    <row r="1917">
      <c r="K1917" t="n">
        <v>1200</v>
      </c>
    </row>
    <row r="1918">
      <c r="J1918" t="inlineStr">
        <is>
          <t>inherit</t>
        </is>
      </c>
      <c r="K1918" t="inlineStr">
        <is>
          <t>inherit</t>
        </is>
      </c>
    </row>
    <row r="1919"/>
    <row r="1920">
      <c r="J1920" t="inlineStr">
        <is>
          <t>inherit</t>
        </is>
      </c>
      <c r="K1920" t="inlineStr">
        <is>
          <t>inherit</t>
        </is>
      </c>
    </row>
    <row r="1921"/>
    <row r="1922">
      <c r="J1922" t="inlineStr">
        <is>
          <t>inherit</t>
        </is>
      </c>
      <c r="K1922" t="inlineStr">
        <is>
          <t>inherit</t>
        </is>
      </c>
    </row>
    <row r="1923"/>
    <row r="1924">
      <c r="J1924" t="inlineStr">
        <is>
          <t>inherit</t>
        </is>
      </c>
      <c r="K1924" t="inlineStr">
        <is>
          <t>inherit</t>
        </is>
      </c>
    </row>
    <row r="1925"/>
    <row r="1926">
      <c r="J1926" t="inlineStr">
        <is>
          <t>inherit</t>
        </is>
      </c>
      <c r="K1926" t="inlineStr">
        <is>
          <t>inherit</t>
        </is>
      </c>
    </row>
    <row r="1927"/>
    <row r="1928">
      <c r="J1928" t="inlineStr">
        <is>
          <t>inherit</t>
        </is>
      </c>
      <c r="K1928" t="inlineStr">
        <is>
          <t>inherit</t>
        </is>
      </c>
    </row>
    <row r="1929"/>
    <row r="1930">
      <c r="J1930" t="inlineStr">
        <is>
          <t>inherit</t>
        </is>
      </c>
      <c r="K1930" t="inlineStr">
        <is>
          <t>inherit</t>
        </is>
      </c>
    </row>
    <row r="1931"/>
    <row r="1932">
      <c r="J1932" t="inlineStr">
        <is>
          <t>inherit</t>
        </is>
      </c>
      <c r="K1932" t="inlineStr">
        <is>
          <t>inherit</t>
        </is>
      </c>
    </row>
    <row r="1933"/>
    <row r="1934">
      <c r="J1934">
        <f>IFERROR(IF(NOT(ISNUMBER(J1955)),"UNKNOWN",IF(J1956="UNKNOWN","UNKNOWN",IF(J1956=FALSE,J1955,IF(NOT(ISNUMBER(J1957)),"UNKNOWN",J1955/(1+J1957))))),"ERROR")</f>
        <v/>
      </c>
      <c r="K1934">
        <f>IFERROR(IF(NOT(ISNUMBER(K1955)),"UNKNOWN",IF(K1956="UNKNOWN","UNKNOWN",IF(K1956=FALSE,K1955,IF(NOT(ISNUMBER(K1957)),"UNKNOWN",K1955/(1+K1957))))),"ERROR")</f>
        <v/>
      </c>
    </row>
    <row r="1935">
      <c r="J1935">
        <f>IFERROR(IF(J1934="ERROR","ERROR",IF(OR(NOT(ISNUMBER(J1934)),NOT(ISNUMBER(J1961))),"UNKNOWN",IF(J1963&gt;0,IF(J1945="ERROR","ERROR",IF(NOT(ISNUMBER(J1945)),"UNKNOWN",J1934-J1961-$I$1910-$I$1911*J1934-J1963*J1945)),J1934-J1961-$I$1910-$I$1911*J1934))),"ERROR")</f>
        <v/>
      </c>
      <c r="K1935">
        <f>IFERROR(IF(K1934="ERROR","ERROR",IF(OR(NOT(ISNUMBER(K1934)),NOT(ISNUMBER(K1961))),"UNKNOWN",IF(K1963&gt;0,IF(K1945="ERROR","ERROR",IF(NOT(ISNUMBER(K1945)),"UNKNOWN",K1934-K1961-$I$1910-$I$1911*K1934-K1963*K1945)),K1934-K1961-$I$1910-$I$1911*K1934))),"ERROR")</f>
        <v/>
      </c>
    </row>
    <row r="1936">
      <c r="J1936">
        <f>IFERROR(IF(J1935="ERROR","ERROR",IF(NOT(ISNUMBER(J1935)),"UNKNOWN",IF(J1934=0,"ERROR",J1935/J1934))),"ERROR")</f>
        <v/>
      </c>
      <c r="K1936">
        <f>IFERROR(IF(K1935="ERROR","ERROR",IF(NOT(ISNUMBER(K1935)),"UNKNOWN",IF(K1934=0,"ERROR",K1935/K1934))),"ERROR")</f>
        <v/>
      </c>
    </row>
    <row r="1937">
      <c r="J1937">
        <f>IF(OR(J1934="ERROR",J1935="ERROR",J1936="ERROR"),"ERROR",IF(OR(NOT(ISNUMBER(J1934)),NOT(ISNUMBER(J1935)),NOT(ISNUMBER(J1936))),"UNKNOWN","OK"))</f>
        <v/>
      </c>
      <c r="K1937">
        <f>IF(OR(K1934="ERROR",K1935="ERROR",K1936="ERROR"),"ERROR",IF(OR(NOT(ISNUMBER(K1934)),NOT(ISNUMBER(K1935)),NOT(ISNUMBER(K1936))),"UNKNOWN","OK"))</f>
        <v/>
      </c>
    </row>
    <row r="1938">
      <c r="J1938">
        <f>IFERROR(IF(NOT(ISNUMBER(J1961)),J1961,J1961+$I$1910),"ERROR")</f>
        <v/>
      </c>
      <c r="K1938">
        <f>IFERROR(IF(NOT(ISNUMBER(K1961)),K1961,K1961+$I$1910),"ERROR")</f>
        <v/>
      </c>
    </row>
    <row r="1939">
      <c r="J1939">
        <f>IFERROR(IF(NOT(ISNUMBER(J1960)),"UNKNOWN",IF(OR(J1960&lt;0,J1960&gt;=1),"ERROR",IF(J1963=0,IF(1-J1960-$I$1911&lt;=0,"ERROR",1-J1960-$I$1911),IF(NOT(ISNUMBER(J1957)),"UNKNOWN",IF(1-J1960-$I$1911-J1963*(1+J1957)&lt;=0,"ERROR",1-J1960-$I$1911-J1963*(1+J1957)))))),"ERROR")</f>
        <v/>
      </c>
      <c r="K1939">
        <f>IFERROR(IF(NOT(ISNUMBER(K1960)),"UNKNOWN",IF(OR(K1960&lt;0,K1960&gt;=1),"ERROR",IF(K1963=0,IF(1-K1960-$I$1911&lt;=0,"ERROR",1-K1960-$I$1911),IF(NOT(ISNUMBER(K1957)),"UNKNOWN",IF(1-K1960-$I$1911-K1963*(1+K1957)&lt;=0,"ERROR",1-K1960-$I$1911-K1963*(1+K1957)))))),"ERROR")</f>
        <v/>
      </c>
    </row>
    <row r="1940">
      <c r="J1940">
        <f>IFERROR(IF(NOT(ISNUMBER(J1938)),J1938,IF(NOT(ISNUMBER(J1939)),J1939,J1938/J1939)),"ERROR")</f>
        <v/>
      </c>
      <c r="K1940">
        <f>IFERROR(IF(NOT(ISNUMBER(K1938)),K1938,IF(NOT(ISNUMBER(K1939)),K1939,K1938/K1939)),"ERROR")</f>
        <v/>
      </c>
    </row>
    <row r="1941">
      <c r="J1941">
        <f>IFERROR(IF(NOT(ISNUMBER(J1940)),J1940,IF(NOT(ISNUMBER(J1957)),"UNKNOWN",J1940*(1+J1957))),"ERROR")</f>
        <v/>
      </c>
      <c r="K1941">
        <f>IFERROR(IF(NOT(ISNUMBER(K1940)),K1940,IF(NOT(ISNUMBER(K1957)),"UNKNOWN",K1940*(1+K1957))),"ERROR")</f>
        <v/>
      </c>
    </row>
    <row r="1942">
      <c r="J1942">
        <f>IFERROR(IF(J1956="UNKNOWN","UNKNOWN",IF(J1956=FALSE,J1940,J1941)),"ERROR")</f>
        <v/>
      </c>
      <c r="K1942">
        <f>IFERROR(IF(K1956="UNKNOWN","UNKNOWN",IF(K1956=FALSE,K1940,K1941)),"ERROR")</f>
        <v/>
      </c>
    </row>
    <row r="1943">
      <c r="J1943">
        <f>IFERROR(IF(NOT(ISNUMBER(J1942)),J1942,IF(NOT(ISNUMBER(J1959)),"UNKNOWN",IF(OR(J1959&lt;0,J1959&gt;=1),"ERROR",IF(J1959=0,J1942,J1942/(1-J1959))))),"ERROR")</f>
        <v/>
      </c>
      <c r="K1943">
        <f>IFERROR(IF(NOT(ISNUMBER(K1942)),K1942,IF(NOT(ISNUMBER(K1959)),"UNKNOWN",IF(OR(K1959&lt;0,K1959&gt;=1),"ERROR",IF(K1959=0,K1942,K1942/(1-K1959))))),"ERROR")</f>
        <v/>
      </c>
    </row>
    <row r="1944">
      <c r="J1944">
        <f>IF(OR(J1942="ERROR",J1943="ERROR"),"ERROR",IF(OR(NOT(ISNUMBER(J1942)),NOT(ISNUMBER(J1943))),"UNKNOWN","OK"))</f>
        <v/>
      </c>
      <c r="K1944">
        <f>IF(OR(K1942="ERROR",K1943="ERROR"),"ERROR",IF(OR(NOT(ISNUMBER(K1942)),NOT(ISNUMBER(K1943))),"UNKNOWN","OK"))</f>
        <v/>
      </c>
    </row>
    <row r="1945">
      <c r="J1945">
        <f>IFERROR(IF(NOT(ISNUMBER(J1955)),"UNKNOWN",IF(J1956="UNKNOWN","UNKNOWN",IF(J1956=TRUE,J1955,IF(NOT(ISNUMBER(J1957)),"UNKNOWN",J1955*(1+J1957))))),"ERROR")</f>
        <v/>
      </c>
      <c r="K1945">
        <f>IFERROR(IF(NOT(ISNUMBER(K1955)),"UNKNOWN",IF(K1956="UNKNOWN","UNKNOWN",IF(K1956=TRUE,K1955,IF(NOT(ISNUMBER(K1957)),"UNKNOWN",K1955*(1+K1957))))),"ERROR")</f>
        <v/>
      </c>
    </row>
    <row r="1946">
      <c r="J1946">
        <f>IFERROR(IF(NOT(ISNUMBER(J1958)),"UNKNOWN",IF(J1956="UNKNOWN","UNKNOWN",IF(J1956=FALSE,J1958,IF(NOT(ISNUMBER(J1957)),"UNKNOWN",J1958/(1+J1957))))),"ERROR")</f>
        <v/>
      </c>
      <c r="K1946">
        <f>IFERROR(IF(NOT(ISNUMBER(K1958)),"UNKNOWN",IF(K1956="UNKNOWN","UNKNOWN",IF(K1956=FALSE,K1958,IF(NOT(ISNUMBER(K1957)),"UNKNOWN",K1958/(1+K1957))))),"ERROR")</f>
        <v/>
      </c>
    </row>
    <row r="1947">
      <c r="J1947">
        <f>IFERROR(IF(NOT(ISNUMBER(J1958)),"UNKNOWN",IF(J1956="UNKNOWN","UNKNOWN",IF(J1956=TRUE,J1958,IF(NOT(ISNUMBER(J1957)),"UNKNOWN",J1958*(1+J1957))))),"ERROR")</f>
        <v/>
      </c>
      <c r="K1947">
        <f>IFERROR(IF(NOT(ISNUMBER(K1958)),"UNKNOWN",IF(K1956="UNKNOWN","UNKNOWN",IF(K1956=TRUE,K1958,IF(NOT(ISNUMBER(K1957)),"UNKNOWN",K1958*(1+K1957))))),"ERROR")</f>
        <v/>
      </c>
    </row>
    <row r="1948">
      <c r="J1948">
        <f>IFERROR(IF(J1946="ERROR","ERROR",IF(NOT(ISNUMBER(J1960)),"UNKNOWN",IF(OR(J1960&lt;0,J1960&gt;=1),"ERROR",IF(NOT(ISNUMBER(J1946)),"UNKNOWN",IF(J1963&gt;0,IF(J1947="ERROR","ERROR",IF(NOT(ISNUMBER(J1947)),"UNKNOWN",J1946*(1-J1960-$I$1911)-J1963*J1947-$I$1910)),J1946*(1-J1960-$I$1911)-$I$1910))))),"ERROR")</f>
        <v/>
      </c>
      <c r="K1948">
        <f>IFERROR(IF(K1946="ERROR","ERROR",IF(NOT(ISNUMBER(K1960)),"UNKNOWN",IF(OR(K1960&lt;0,K1960&gt;=1),"ERROR",IF(NOT(ISNUMBER(K1946)),"UNKNOWN",IF(K1963&gt;0,IF(K1947="ERROR","ERROR",IF(NOT(ISNUMBER(K1947)),"UNKNOWN",K1946*(1-K1960-$I$1911)-K1963*K1947-$I$1910)),K1946*(1-K1960-$I$1911)-$I$1910))))),"ERROR")</f>
        <v/>
      </c>
    </row>
    <row r="1949">
      <c r="J1949">
        <f>IFERROR(IF(OR(J1948="ERROR",J1961="ERROR"),"ERROR",IF(OR(NOT(ISNUMBER(J1948)),NOT(ISNUMBER(J1961))),"UNKNOWN",J1948-J1961)),"ERROR")</f>
        <v/>
      </c>
      <c r="K1949">
        <f>IFERROR(IF(OR(K1948="ERROR",K1961="ERROR"),"ERROR",IF(OR(NOT(ISNUMBER(K1948)),NOT(ISNUMBER(K1961))),"UNKNOWN",K1948-K1961)),"ERROR")</f>
        <v/>
      </c>
    </row>
    <row r="1950">
      <c r="J1950">
        <f>IF(OR(J1948="ERROR",J1961="ERROR",J1949="ERROR"),"ERROR",IF(OR(NOT(ISNUMBER(J1948)),NOT(ISNUMBER(J1961)),NOT(ISNUMBER(J1949))),"UNKNOWN","OK"))</f>
        <v/>
      </c>
      <c r="K1950">
        <f>IF(OR(K1948="ERROR",K1961="ERROR",K1949="ERROR"),"ERROR",IF(OR(NOT(ISNUMBER(K1948)),NOT(ISNUMBER(K1961)),NOT(ISNUMBER(K1949))),"UNKNOWN","OK"))</f>
        <v/>
      </c>
    </row>
    <row r="1951">
      <c r="J1951">
        <f>IFERROR(IF(NOT(ISNUMBER(J1962)),J1962,IF(J1962&lt;0,"ERROR",J1962)),"ERROR")</f>
        <v/>
      </c>
      <c r="K1951">
        <f>IFERROR(IF(NOT(ISNUMBER(K1962)),K1962,IF(K1962&lt;0,"ERROR",K1962)),"ERROR")</f>
        <v/>
      </c>
    </row>
    <row r="1952">
      <c r="J1952">
        <f>IFERROR(IF(OR(J1935="ERROR",J1951="ERROR"),"ERROR",IF(OR(NOT(ISNUMBER(J1935)),NOT(ISNUMBER(J1951))),"UNKNOWN",IF(J1935&lt;=0,"NOT_APPLICABLE",J1951/J1935))),"ERROR")</f>
        <v/>
      </c>
      <c r="K1952">
        <f>IFERROR(IF(OR(K1935="ERROR",K1951="ERROR"),"ERROR",IF(OR(NOT(ISNUMBER(K1935)),NOT(ISNUMBER(K1951))),"UNKNOWN",IF(K1935&lt;=0,"NOT_APPLICABLE",K1951/K1935))),"ERROR")</f>
        <v/>
      </c>
    </row>
    <row r="1953">
      <c r="J1953">
        <f>IF(OR(J1935="ERROR",J1951="ERROR",J1952="ERROR"),"ERROR",IF(OR(NOT(ISNUMBER(J1935)),NOT(ISNUMBER(J1951)),AND(NOT(ISNUMBER(J1952)),J1952&lt;&gt;"NOT_APPLICABLE")),"UNKNOWN","OK"))</f>
        <v/>
      </c>
      <c r="K1953">
        <f>IF(OR(K1935="ERROR",K1951="ERROR",K1952="ERROR"),"ERROR",IF(OR(NOT(ISNUMBER(K1935)),NOT(ISNUMBER(K1951)),AND(NOT(ISNUMBER(K1952)),K1952&lt;&gt;"NOT_APPLICABLE")),"UNKNOWN","OK"))</f>
        <v/>
      </c>
    </row>
    <row r="1954">
      <c r="J1954">
        <f>IF(OR(J1937="ERROR",J1944="ERROR",J1950="ERROR",J1953="ERROR"),"ERROR",IF(OR(J1937="UNKNOWN",J1944="UNKNOWN",J1950="UNKNOWN",J1953="UNKNOWN"),"INCOMPLETE","OK"))</f>
        <v/>
      </c>
      <c r="K1954">
        <f>IF(OR(K1937="ERROR",K1944="ERROR",K1950="ERROR",K1953="ERROR"),"ERROR",IF(OR(K1937="UNKNOWN",K1944="UNKNOWN",K1950="UNKNOWN",K1953="UNKNOWN"),"INCOMPLETE","OK"))</f>
        <v/>
      </c>
    </row>
    <row r="1955">
      <c r="J1955">
        <f>IF($J$1916="inherit",$I$1904,IF($J$1916="null","UNKNOWN",$J$1917))</f>
        <v/>
      </c>
      <c r="K1955">
        <f>IF($K$1916="inherit",$I$1904,IF($K$1916="null","UNKNOWN",$K$1917))</f>
        <v/>
      </c>
    </row>
    <row r="1956">
      <c r="J1956">
        <f>IF($J$1918="inherit",$I$1905,IF($J$1918="null","UNKNOWN",$J$1919))</f>
        <v/>
      </c>
      <c r="K1956">
        <f>IF($K$1918="inherit",$I$1905,IF($K$1918="null","UNKNOWN",$K$1919))</f>
        <v/>
      </c>
    </row>
    <row r="1957">
      <c r="J1957">
        <f>IF($J$1920="inherit",$I$1906,IF($J$1920="null","UNKNOWN",$J$1921))</f>
        <v/>
      </c>
      <c r="K1957">
        <f>IF($K$1920="inherit",$I$1906,IF($K$1920="null","UNKNOWN",$K$1921))</f>
        <v/>
      </c>
    </row>
    <row r="1958">
      <c r="J1958">
        <f>IF($J$1922="inherit",$I$1907,IF($J$1922="null","UNKNOWN",$J$1923))</f>
        <v/>
      </c>
      <c r="K1958">
        <f>IF($K$1922="inherit",$I$1907,IF($K$1922="null","UNKNOWN",$K$1923))</f>
        <v/>
      </c>
    </row>
    <row r="1959">
      <c r="J1959">
        <f>IF($J$1924="inherit",$I$1908,IF($J$1924="null","UNKNOWN",$J$1925))</f>
        <v/>
      </c>
      <c r="K1959">
        <f>IF($K$1924="inherit",$I$1908,IF($K$1924="null","UNKNOWN",$K$1925))</f>
        <v/>
      </c>
    </row>
    <row r="1960">
      <c r="J1960">
        <f>IF($J$1926="inherit",$I$1914,IF($J$1926="null","UNKNOWN",$J$1927))</f>
        <v/>
      </c>
      <c r="K1960">
        <f>IF($K$1926="inherit",$I$1914,IF($K$1926="null","UNKNOWN",$K$1927))</f>
        <v/>
      </c>
    </row>
    <row r="1961">
      <c r="J1961">
        <f>IF($J$1928="inherit",$I$1909,IF($J$1928="null","UNKNOWN",$J$1929))</f>
        <v/>
      </c>
      <c r="K1961">
        <f>IF($K$1928="inherit",$I$1909,IF($K$1928="null","UNKNOWN",$K$1929))</f>
        <v/>
      </c>
    </row>
    <row r="1962">
      <c r="J1962">
        <f>IF($J$1930="inherit",$I$1913,IF($J$1930="null","UNKNOWN",$J$1931))</f>
        <v/>
      </c>
      <c r="K1962">
        <f>IF($K$1930="inherit",$I$1913,IF($K$1930="null","UNKNOWN",$K$1931))</f>
        <v/>
      </c>
    </row>
    <row r="1963">
      <c r="J1963">
        <f>IF($J$1932="inherit",$I$1912,IF($J$1932="null","UNKNOWN",$J$1933))</f>
        <v/>
      </c>
      <c r="K1963">
        <f>IF($K$1932="inherit",$I$1912,IF($K$1932="null","UNKNOWN",$K$1933))</f>
        <v/>
      </c>
    </row>
    <row r="1964">
      <c r="I1964">
        <f>IFERROR(MATCH($I$1915,$J$1915:$K$1915,0),0)</f>
        <v/>
      </c>
    </row>
    <row r="1965">
      <c r="J1965">
        <f>IF(I1964=0,"ERROR",IF(OR($J$1934="ERROR",INDEX($J$1934:$K$1934,1,I1964)="ERROR"),"ERROR",IF(OR($J$1934="UNKNOWN",INDEX($J$1934:$K$1934,1,I1964)="UNKNOWN"),"UNKNOWN",IF(OR($J$1934="NOT_APPLICABLE",INDEX($J$1934:$K$1934,1,I1964)="NOT_APPLICABLE"),"NOT_APPLICABLE",$J$1934-INDEX($J$1934:$K$1934,1,I1964)))))</f>
        <v/>
      </c>
      <c r="K1965">
        <f>IF(I1964=0,"ERROR",IF(OR($K$1934="ERROR",INDEX($J$1934:$K$1934,1,I1964)="ERROR"),"ERROR",IF(OR($K$1934="UNKNOWN",INDEX($J$1934:$K$1934,1,I1964)="UNKNOWN"),"UNKNOWN",IF(OR($K$1934="NOT_APPLICABLE",INDEX($J$1934:$K$1934,1,I1964)="NOT_APPLICABLE"),"NOT_APPLICABLE",$K$1934-INDEX($J$1934:$K$1934,1,I1964)))))</f>
        <v/>
      </c>
    </row>
    <row r="1966">
      <c r="J1966">
        <f>IF(I1964=0,"ERROR",IF(OR($J$1935="ERROR",INDEX($J$1935:$K$1935,1,I1964)="ERROR"),"ERROR",IF(OR($J$1935="UNKNOWN",INDEX($J$1935:$K$1935,1,I1964)="UNKNOWN"),"UNKNOWN",IF(OR($J$1935="NOT_APPLICABLE",INDEX($J$1935:$K$1935,1,I1964)="NOT_APPLICABLE"),"NOT_APPLICABLE",$J$1935-INDEX($J$1935:$K$1935,1,I1964)))))</f>
        <v/>
      </c>
      <c r="K1966">
        <f>IF(I1964=0,"ERROR",IF(OR($K$1935="ERROR",INDEX($J$1935:$K$1935,1,I1964)="ERROR"),"ERROR",IF(OR($K$1935="UNKNOWN",INDEX($J$1935:$K$1935,1,I1964)="UNKNOWN"),"UNKNOWN",IF(OR($K$1935="NOT_APPLICABLE",INDEX($J$1935:$K$1935,1,I1964)="NOT_APPLICABLE"),"NOT_APPLICABLE",$K$1935-INDEX($J$1935:$K$1935,1,I1964)))))</f>
        <v/>
      </c>
    </row>
    <row r="1967">
      <c r="J1967">
        <f>IF(I1964=0,"ERROR",IF(OR($J$1936="ERROR",INDEX($J$1936:$K$1936,1,I1964)="ERROR"),"ERROR",IF(OR($J$1936="UNKNOWN",INDEX($J$1936:$K$1936,1,I1964)="UNKNOWN"),"UNKNOWN",IF(OR($J$1936="NOT_APPLICABLE",INDEX($J$1936:$K$1936,1,I1964)="NOT_APPLICABLE"),"NOT_APPLICABLE",$J$1936-INDEX($J$1936:$K$1936,1,I1964)))))</f>
        <v/>
      </c>
      <c r="K1967">
        <f>IF(I1964=0,"ERROR",IF(OR($K$1936="ERROR",INDEX($J$1936:$K$1936,1,I1964)="ERROR"),"ERROR",IF(OR($K$1936="UNKNOWN",INDEX($J$1936:$K$1936,1,I1964)="UNKNOWN"),"UNKNOWN",IF(OR($K$1936="NOT_APPLICABLE",INDEX($J$1936:$K$1936,1,I1964)="NOT_APPLICABLE"),"NOT_APPLICABLE",$K$1936-INDEX($J$1936:$K$1936,1,I1964)))))</f>
        <v/>
      </c>
    </row>
    <row r="1968">
      <c r="J1968">
        <f>IF(I1964=0,"ERROR",IF(OR($J$1952="ERROR",INDEX($J$1952:$K$1952,1,I1964)="ERROR"),"ERROR",IF(OR($J$1952="UNKNOWN",INDEX($J$1952:$K$1952,1,I1964)="UNKNOWN"),"UNKNOWN",IF(OR($J$1952="NOT_APPLICABLE",INDEX($J$1952:$K$1952,1,I1964)="NOT_APPLICABLE"),"NOT_APPLICABLE",$J$1952-INDEX($J$1952:$K$1952,1,I1964)))))</f>
        <v/>
      </c>
      <c r="K1968">
        <f>IF(I1964=0,"ERROR",IF(OR($K$1952="ERROR",INDEX($J$1952:$K$1952,1,I1964)="ERROR"),"ERROR",IF(OR($K$1952="UNKNOWN",INDEX($J$1952:$K$1952,1,I1964)="UNKNOWN"),"UNKNOWN",IF(OR($K$1952="NOT_APPLICABLE",INDEX($J$1952:$K$1952,1,I1964)="NOT_APPLICABLE"),"NOT_APPLICABLE",$K$1952-INDEX($J$1952:$K$1952,1,I1964)))))</f>
        <v/>
      </c>
    </row>
    <row r="1970">
      <c r="B1970" s="8" t="inlineStr">
        <is>
          <t>Request-Level Status: Excel (independent recompute)</t>
        </is>
      </c>
      <c r="C1970" s="16">
        <f>IF(I1970=TRUE,"ERROR: DUPLICATE_SCENARIO_ID",IF(I1964=0,"ERROR: BASELINE_SCENARIO_ID_NOT_FOUND","OK"))</f>
        <v/>
      </c>
      <c r="D1970" s="38" t="inlineStr">
        <is>
          <t>ERROR</t>
        </is>
      </c>
      <c r="F1970" s="15">
        <f>IF(AND(LEFT(C1970,5)="ERROR",D1970="ERROR"),"PASS",IF(AND(C1970="OK",D1970="OK"),"PASS","FAIL"))</f>
        <v/>
      </c>
      <c r="I1970">
        <f>SUMPRODUCT((COUNTIF($J$1915:$K$1915,$J$1915:$K$1915)&gt;1)*($J$1915:$K$1915&lt;&gt;""))&gt;0</f>
        <v/>
      </c>
    </row>
    <row r="1971">
      <c r="B1971" s="8" t="inlineStr">
        <is>
          <t>(request-level case: mode engines not evaluated for this comparison — only the preflight diagnostic itself is being parity-tested)</t>
        </is>
      </c>
    </row>
    <row r="1973" ht="20" customHeight="1">
      <c r="B1973" s="2" t="inlineStr">
        <is>
          <t>TC37. Invalid baseline (STEP-3) -- CASE.md TC37</t>
        </is>
      </c>
      <c r="C1973" s="7" t="n"/>
      <c r="D1973" s="7" t="n"/>
      <c r="E1973" s="7" t="n"/>
      <c r="F1973" s="7" t="n"/>
    </row>
    <row r="1974">
      <c r="B1974" s="4" t="inlineStr">
        <is>
          <t>Check</t>
        </is>
      </c>
      <c r="C1974" s="4" t="inlineStr">
        <is>
          <t>Excel Result</t>
        </is>
      </c>
      <c r="D1974" s="4" t="inlineStr">
        <is>
          <t>Python Reference</t>
        </is>
      </c>
      <c r="E1974" s="4" t="inlineStr">
        <is>
          <t>Difference</t>
        </is>
      </c>
      <c r="F1974" s="4" t="inlineStr">
        <is>
          <t>PASS / FAIL</t>
        </is>
      </c>
    </row>
    <row r="1975">
      <c r="I1975" t="n">
        <v>1000</v>
      </c>
    </row>
    <row r="1976">
      <c r="I1976" t="b">
        <v>0</v>
      </c>
    </row>
    <row r="1977">
      <c r="I1977" t="n">
        <v>0.1</v>
      </c>
    </row>
    <row r="1978">
      <c r="I1978" t="n">
        <v>1000</v>
      </c>
    </row>
    <row r="1979">
      <c r="I1979" t="n">
        <v>0</v>
      </c>
    </row>
    <row r="1980">
      <c r="I1980" t="n">
        <v>400</v>
      </c>
    </row>
    <row r="1981">
      <c r="I1981" t="n">
        <v>100</v>
      </c>
    </row>
    <row r="1982">
      <c r="I1982" t="n">
        <v>0</v>
      </c>
    </row>
    <row r="1983">
      <c r="I1983" t="n">
        <v>0</v>
      </c>
    </row>
    <row r="1984">
      <c r="I1984" t="n">
        <v>50000</v>
      </c>
    </row>
    <row r="1985">
      <c r="I1985" t="n">
        <v>0.3</v>
      </c>
    </row>
    <row r="1986">
      <c r="I1986" t="inlineStr">
        <is>
          <t>W</t>
        </is>
      </c>
      <c r="J1986" t="inlineStr">
        <is>
          <t>W</t>
        </is>
      </c>
      <c r="K1986" t="inlineStr">
        <is>
          <t>B</t>
        </is>
      </c>
      <c r="L1986" t="inlineStr">
        <is>
          <t>D</t>
        </is>
      </c>
    </row>
    <row r="1987">
      <c r="J1987" t="inlineStr">
        <is>
          <t>inherit</t>
        </is>
      </c>
      <c r="K1987" t="inlineStr">
        <is>
          <t>value</t>
        </is>
      </c>
      <c r="L1987" t="inlineStr">
        <is>
          <t>inherit</t>
        </is>
      </c>
    </row>
    <row r="1988">
      <c r="K1988" t="n">
        <v>1200</v>
      </c>
    </row>
    <row r="1989">
      <c r="J1989" t="inlineStr">
        <is>
          <t>inherit</t>
        </is>
      </c>
      <c r="K1989" t="inlineStr">
        <is>
          <t>inherit</t>
        </is>
      </c>
      <c r="L1989" t="inlineStr">
        <is>
          <t>inherit</t>
        </is>
      </c>
    </row>
    <row r="1990"/>
    <row r="1991">
      <c r="J1991" t="inlineStr">
        <is>
          <t>inherit</t>
        </is>
      </c>
      <c r="K1991" t="inlineStr">
        <is>
          <t>inherit</t>
        </is>
      </c>
      <c r="L1991" t="inlineStr">
        <is>
          <t>inherit</t>
        </is>
      </c>
    </row>
    <row r="1992"/>
    <row r="1993">
      <c r="J1993" t="inlineStr">
        <is>
          <t>inherit</t>
        </is>
      </c>
      <c r="K1993" t="inlineStr">
        <is>
          <t>inherit</t>
        </is>
      </c>
      <c r="L1993" t="inlineStr">
        <is>
          <t>inherit</t>
        </is>
      </c>
    </row>
    <row r="1994"/>
    <row r="1995">
      <c r="J1995" t="inlineStr">
        <is>
          <t>inherit</t>
        </is>
      </c>
      <c r="K1995" t="inlineStr">
        <is>
          <t>inherit</t>
        </is>
      </c>
      <c r="L1995" t="inlineStr">
        <is>
          <t>inherit</t>
        </is>
      </c>
    </row>
    <row r="1996"/>
    <row r="1997">
      <c r="J1997" t="inlineStr">
        <is>
          <t>inherit</t>
        </is>
      </c>
      <c r="K1997" t="inlineStr">
        <is>
          <t>inherit</t>
        </is>
      </c>
      <c r="L1997" t="inlineStr">
        <is>
          <t>inherit</t>
        </is>
      </c>
    </row>
    <row r="1998"/>
    <row r="1999">
      <c r="J1999" t="inlineStr">
        <is>
          <t>inherit</t>
        </is>
      </c>
      <c r="K1999" t="inlineStr">
        <is>
          <t>inherit</t>
        </is>
      </c>
      <c r="L1999" t="inlineStr">
        <is>
          <t>value</t>
        </is>
      </c>
    </row>
    <row r="2000">
      <c r="L2000" t="n">
        <v>300</v>
      </c>
    </row>
    <row r="2001">
      <c r="J2001" t="inlineStr">
        <is>
          <t>inherit</t>
        </is>
      </c>
      <c r="K2001" t="inlineStr">
        <is>
          <t>inherit</t>
        </is>
      </c>
      <c r="L2001" t="inlineStr">
        <is>
          <t>inherit</t>
        </is>
      </c>
    </row>
    <row r="2002"/>
    <row r="2003">
      <c r="J2003" t="inlineStr">
        <is>
          <t>value</t>
        </is>
      </c>
      <c r="K2003" t="inlineStr">
        <is>
          <t>inherit</t>
        </is>
      </c>
      <c r="L2003" t="inlineStr">
        <is>
          <t>inherit</t>
        </is>
      </c>
    </row>
    <row r="2004">
      <c r="J2004" t="n">
        <v>1.5</v>
      </c>
    </row>
    <row r="2005">
      <c r="H2005" s="10" t="inlineStr">
        <is>
          <t>validity (parity test-only, NOT a schema field)</t>
        </is>
      </c>
      <c r="J2005" t="inlineStr">
        <is>
          <t>invalid</t>
        </is>
      </c>
    </row>
    <row r="2006">
      <c r="J2006">
        <f>IF(J2005="invalid","ERROR",IFERROR(IF(NOT(ISNUMBER(J2027)),"UNKNOWN",IF(J2028="UNKNOWN","UNKNOWN",IF(J2028=FALSE,J2027,IF(NOT(ISNUMBER(J2029)),"UNKNOWN",J2027/(1+J2029))))),"ERROR"))</f>
        <v/>
      </c>
      <c r="K2006">
        <f>IFERROR(IF(NOT(ISNUMBER(K2027)),"UNKNOWN",IF(K2028="UNKNOWN","UNKNOWN",IF(K2028=FALSE,K2027,IF(NOT(ISNUMBER(K2029)),"UNKNOWN",K2027/(1+K2029))))),"ERROR")</f>
        <v/>
      </c>
      <c r="L2006">
        <f>IFERROR(IF(NOT(ISNUMBER(L2027)),"UNKNOWN",IF(L2028="UNKNOWN","UNKNOWN",IF(L2028=FALSE,L2027,IF(NOT(ISNUMBER(L2029)),"UNKNOWN",L2027/(1+L2029))))),"ERROR")</f>
        <v/>
      </c>
    </row>
    <row r="2007">
      <c r="J2007">
        <f>IF(J2005="invalid","ERROR",IFERROR(IF(J2006="ERROR","ERROR",IF(OR(NOT(ISNUMBER(J2006)),NOT(ISNUMBER(J2033))),"UNKNOWN",IF(J2035&gt;0,IF(J2017="ERROR","ERROR",IF(NOT(ISNUMBER(J2017)),"UNKNOWN",J2006-J2033-$I$1981-$I$1982*J2006-J2035*J2017)),J2006-J2033-$I$1981-$I$1982*J2006))),"ERROR"))</f>
        <v/>
      </c>
      <c r="K2007">
        <f>IFERROR(IF(K2006="ERROR","ERROR",IF(OR(NOT(ISNUMBER(K2006)),NOT(ISNUMBER(K2033))),"UNKNOWN",IF(K2035&gt;0,IF(K2017="ERROR","ERROR",IF(NOT(ISNUMBER(K2017)),"UNKNOWN",K2006-K2033-$I$1981-$I$1982*K2006-K2035*K2017)),K2006-K2033-$I$1981-$I$1982*K2006))),"ERROR")</f>
        <v/>
      </c>
      <c r="L2007">
        <f>IFERROR(IF(L2006="ERROR","ERROR",IF(OR(NOT(ISNUMBER(L2006)),NOT(ISNUMBER(L2033))),"UNKNOWN",IF(L2035&gt;0,IF(L2017="ERROR","ERROR",IF(NOT(ISNUMBER(L2017)),"UNKNOWN",L2006-L2033-$I$1981-$I$1982*L2006-L2035*L2017)),L2006-L2033-$I$1981-$I$1982*L2006))),"ERROR")</f>
        <v/>
      </c>
    </row>
    <row r="2008">
      <c r="J2008">
        <f>IF(J2005="invalid","ERROR",IFERROR(IF(J2007="ERROR","ERROR",IF(NOT(ISNUMBER(J2007)),"UNKNOWN",IF(J2006=0,"ERROR",J2007/J2006))),"ERROR"))</f>
        <v/>
      </c>
      <c r="K2008">
        <f>IFERROR(IF(K2007="ERROR","ERROR",IF(NOT(ISNUMBER(K2007)),"UNKNOWN",IF(K2006=0,"ERROR",K2007/K2006))),"ERROR")</f>
        <v/>
      </c>
      <c r="L2008">
        <f>IFERROR(IF(L2007="ERROR","ERROR",IF(NOT(ISNUMBER(L2007)),"UNKNOWN",IF(L2006=0,"ERROR",L2007/L2006))),"ERROR")</f>
        <v/>
      </c>
    </row>
    <row r="2009">
      <c r="J2009">
        <f>IF(J2005="invalid","ERROR",IF(OR(J2006="ERROR",J2007="ERROR",J2008="ERROR"),"ERROR",IF(OR(NOT(ISNUMBER(J2006)),NOT(ISNUMBER(J2007)),NOT(ISNUMBER(J2008))),"UNKNOWN","OK")))</f>
        <v/>
      </c>
      <c r="K2009">
        <f>IF(OR(K2006="ERROR",K2007="ERROR",K2008="ERROR"),"ERROR",IF(OR(NOT(ISNUMBER(K2006)),NOT(ISNUMBER(K2007)),NOT(ISNUMBER(K2008))),"UNKNOWN","OK"))</f>
        <v/>
      </c>
      <c r="L2009">
        <f>IF(OR(L2006="ERROR",L2007="ERROR",L2008="ERROR"),"ERROR",IF(OR(NOT(ISNUMBER(L2006)),NOT(ISNUMBER(L2007)),NOT(ISNUMBER(L2008))),"UNKNOWN","OK"))</f>
        <v/>
      </c>
    </row>
    <row r="2010">
      <c r="J2010">
        <f>IFERROR(IF(NOT(ISNUMBER(J2033)),J2033,J2033+$I$1981),"ERROR")</f>
        <v/>
      </c>
      <c r="K2010">
        <f>IFERROR(IF(NOT(ISNUMBER(K2033)),K2033,K2033+$I$1981),"ERROR")</f>
        <v/>
      </c>
      <c r="L2010">
        <f>IFERROR(IF(NOT(ISNUMBER(L2033)),L2033,L2033+$I$1981),"ERROR")</f>
        <v/>
      </c>
    </row>
    <row r="2011">
      <c r="J2011">
        <f>IFERROR(IF(NOT(ISNUMBER(J2032)),"UNKNOWN",IF(OR(J2032&lt;0,J2032&gt;=1),"ERROR",IF(J2035=0,IF(1-J2032-$I$1982&lt;=0,"ERROR",1-J2032-$I$1982),IF(NOT(ISNUMBER(J2029)),"UNKNOWN",IF(1-J2032-$I$1982-J2035*(1+J2029)&lt;=0,"ERROR",1-J2032-$I$1982-J2035*(1+J2029)))))),"ERROR")</f>
        <v/>
      </c>
      <c r="K2011">
        <f>IFERROR(IF(NOT(ISNUMBER(K2032)),"UNKNOWN",IF(OR(K2032&lt;0,K2032&gt;=1),"ERROR",IF(K2035=0,IF(1-K2032-$I$1982&lt;=0,"ERROR",1-K2032-$I$1982),IF(NOT(ISNUMBER(K2029)),"UNKNOWN",IF(1-K2032-$I$1982-K2035*(1+K2029)&lt;=0,"ERROR",1-K2032-$I$1982-K2035*(1+K2029)))))),"ERROR")</f>
        <v/>
      </c>
      <c r="L2011">
        <f>IFERROR(IF(NOT(ISNUMBER(L2032)),"UNKNOWN",IF(OR(L2032&lt;0,L2032&gt;=1),"ERROR",IF(L2035=0,IF(1-L2032-$I$1982&lt;=0,"ERROR",1-L2032-$I$1982),IF(NOT(ISNUMBER(L2029)),"UNKNOWN",IF(1-L2032-$I$1982-L2035*(1+L2029)&lt;=0,"ERROR",1-L2032-$I$1982-L2035*(1+L2029)))))),"ERROR")</f>
        <v/>
      </c>
    </row>
    <row r="2012">
      <c r="J2012">
        <f>IFERROR(IF(NOT(ISNUMBER(J2010)),J2010,IF(NOT(ISNUMBER(J2011)),J2011,J2010/J2011)),"ERROR")</f>
        <v/>
      </c>
      <c r="K2012">
        <f>IFERROR(IF(NOT(ISNUMBER(K2010)),K2010,IF(NOT(ISNUMBER(K2011)),K2011,K2010/K2011)),"ERROR")</f>
        <v/>
      </c>
      <c r="L2012">
        <f>IFERROR(IF(NOT(ISNUMBER(L2010)),L2010,IF(NOT(ISNUMBER(L2011)),L2011,L2010/L2011)),"ERROR")</f>
        <v/>
      </c>
    </row>
    <row r="2013">
      <c r="J2013">
        <f>IFERROR(IF(NOT(ISNUMBER(J2012)),J2012,IF(NOT(ISNUMBER(J2029)),"UNKNOWN",J2012*(1+J2029))),"ERROR")</f>
        <v/>
      </c>
      <c r="K2013">
        <f>IFERROR(IF(NOT(ISNUMBER(K2012)),K2012,IF(NOT(ISNUMBER(K2029)),"UNKNOWN",K2012*(1+K2029))),"ERROR")</f>
        <v/>
      </c>
      <c r="L2013">
        <f>IFERROR(IF(NOT(ISNUMBER(L2012)),L2012,IF(NOT(ISNUMBER(L2029)),"UNKNOWN",L2012*(1+L2029))),"ERROR")</f>
        <v/>
      </c>
    </row>
    <row r="2014">
      <c r="J2014">
        <f>IF(J2005="invalid","ERROR",IFERROR(IF(J2028="UNKNOWN","UNKNOWN",IF(J2028=FALSE,J2012,J2013)),"ERROR"))</f>
        <v/>
      </c>
      <c r="K2014">
        <f>IFERROR(IF(K2028="UNKNOWN","UNKNOWN",IF(K2028=FALSE,K2012,K2013)),"ERROR")</f>
        <v/>
      </c>
      <c r="L2014">
        <f>IFERROR(IF(L2028="UNKNOWN","UNKNOWN",IF(L2028=FALSE,L2012,L2013)),"ERROR")</f>
        <v/>
      </c>
    </row>
    <row r="2015">
      <c r="J2015">
        <f>IF(J2005="invalid","ERROR",IFERROR(IF(NOT(ISNUMBER(J2014)),J2014,IF(NOT(ISNUMBER(J2031)),"UNKNOWN",IF(OR(J2031&lt;0,J2031&gt;=1),"ERROR",IF(J2031=0,J2014,J2014/(1-J2031))))),"ERROR"))</f>
        <v/>
      </c>
      <c r="K2015">
        <f>IFERROR(IF(NOT(ISNUMBER(K2014)),K2014,IF(NOT(ISNUMBER(K2031)),"UNKNOWN",IF(OR(K2031&lt;0,K2031&gt;=1),"ERROR",IF(K2031=0,K2014,K2014/(1-K2031))))),"ERROR")</f>
        <v/>
      </c>
      <c r="L2015">
        <f>IFERROR(IF(NOT(ISNUMBER(L2014)),L2014,IF(NOT(ISNUMBER(L2031)),"UNKNOWN",IF(OR(L2031&lt;0,L2031&gt;=1),"ERROR",IF(L2031=0,L2014,L2014/(1-L2031))))),"ERROR")</f>
        <v/>
      </c>
    </row>
    <row r="2016">
      <c r="J2016">
        <f>IF(J2005="invalid","ERROR",IF(OR(J2014="ERROR",J2015="ERROR"),"ERROR",IF(OR(NOT(ISNUMBER(J2014)),NOT(ISNUMBER(J2015))),"UNKNOWN","OK")))</f>
        <v/>
      </c>
      <c r="K2016">
        <f>IF(OR(K2014="ERROR",K2015="ERROR"),"ERROR",IF(OR(NOT(ISNUMBER(K2014)),NOT(ISNUMBER(K2015))),"UNKNOWN","OK"))</f>
        <v/>
      </c>
      <c r="L2016">
        <f>IF(OR(L2014="ERROR",L2015="ERROR"),"ERROR",IF(OR(NOT(ISNUMBER(L2014)),NOT(ISNUMBER(L2015))),"UNKNOWN","OK"))</f>
        <v/>
      </c>
    </row>
    <row r="2017">
      <c r="J2017">
        <f>IFERROR(IF(NOT(ISNUMBER(J2027)),"UNKNOWN",IF(J2028="UNKNOWN","UNKNOWN",IF(J2028=TRUE,J2027,IF(NOT(ISNUMBER(J2029)),"UNKNOWN",J2027*(1+J2029))))),"ERROR")</f>
        <v/>
      </c>
      <c r="K2017">
        <f>IFERROR(IF(NOT(ISNUMBER(K2027)),"UNKNOWN",IF(K2028="UNKNOWN","UNKNOWN",IF(K2028=TRUE,K2027,IF(NOT(ISNUMBER(K2029)),"UNKNOWN",K2027*(1+K2029))))),"ERROR")</f>
        <v/>
      </c>
      <c r="L2017">
        <f>IFERROR(IF(NOT(ISNUMBER(L2027)),"UNKNOWN",IF(L2028="UNKNOWN","UNKNOWN",IF(L2028=TRUE,L2027,IF(NOT(ISNUMBER(L2029)),"UNKNOWN",L2027*(1+L2029))))),"ERROR")</f>
        <v/>
      </c>
    </row>
    <row r="2018">
      <c r="J2018">
        <f>IFERROR(IF(NOT(ISNUMBER(J2030)),"UNKNOWN",IF(J2028="UNKNOWN","UNKNOWN",IF(J2028=FALSE,J2030,IF(NOT(ISNUMBER(J2029)),"UNKNOWN",J2030/(1+J2029))))),"ERROR")</f>
        <v/>
      </c>
      <c r="K2018">
        <f>IFERROR(IF(NOT(ISNUMBER(K2030)),"UNKNOWN",IF(K2028="UNKNOWN","UNKNOWN",IF(K2028=FALSE,K2030,IF(NOT(ISNUMBER(K2029)),"UNKNOWN",K2030/(1+K2029))))),"ERROR")</f>
        <v/>
      </c>
      <c r="L2018">
        <f>IFERROR(IF(NOT(ISNUMBER(L2030)),"UNKNOWN",IF(L2028="UNKNOWN","UNKNOWN",IF(L2028=FALSE,L2030,IF(NOT(ISNUMBER(L2029)),"UNKNOWN",L2030/(1+L2029))))),"ERROR")</f>
        <v/>
      </c>
    </row>
    <row r="2019">
      <c r="J2019">
        <f>IFERROR(IF(NOT(ISNUMBER(J2030)),"UNKNOWN",IF(J2028="UNKNOWN","UNKNOWN",IF(J2028=TRUE,J2030,IF(NOT(ISNUMBER(J2029)),"UNKNOWN",J2030*(1+J2029))))),"ERROR")</f>
        <v/>
      </c>
      <c r="K2019">
        <f>IFERROR(IF(NOT(ISNUMBER(K2030)),"UNKNOWN",IF(K2028="UNKNOWN","UNKNOWN",IF(K2028=TRUE,K2030,IF(NOT(ISNUMBER(K2029)),"UNKNOWN",K2030*(1+K2029))))),"ERROR")</f>
        <v/>
      </c>
      <c r="L2019">
        <f>IFERROR(IF(NOT(ISNUMBER(L2030)),"UNKNOWN",IF(L2028="UNKNOWN","UNKNOWN",IF(L2028=TRUE,L2030,IF(NOT(ISNUMBER(L2029)),"UNKNOWN",L2030*(1+L2029))))),"ERROR")</f>
        <v/>
      </c>
    </row>
    <row r="2020">
      <c r="J2020">
        <f>IF(J2005="invalid","ERROR",IFERROR(IF(J2018="ERROR","ERROR",IF(NOT(ISNUMBER(J2032)),"UNKNOWN",IF(OR(J2032&lt;0,J2032&gt;=1),"ERROR",IF(NOT(ISNUMBER(J2018)),"UNKNOWN",IF(J2035&gt;0,IF(J2019="ERROR","ERROR",IF(NOT(ISNUMBER(J2019)),"UNKNOWN",J2018*(1-J2032-$I$1982)-J2035*J2019-$I$1981)),J2018*(1-J2032-$I$1982)-$I$1981))))),"ERROR"))</f>
        <v/>
      </c>
      <c r="K2020">
        <f>IFERROR(IF(K2018="ERROR","ERROR",IF(NOT(ISNUMBER(K2032)),"UNKNOWN",IF(OR(K2032&lt;0,K2032&gt;=1),"ERROR",IF(NOT(ISNUMBER(K2018)),"UNKNOWN",IF(K2035&gt;0,IF(K2019="ERROR","ERROR",IF(NOT(ISNUMBER(K2019)),"UNKNOWN",K2018*(1-K2032-$I$1982)-K2035*K2019-$I$1981)),K2018*(1-K2032-$I$1982)-$I$1981))))),"ERROR")</f>
        <v/>
      </c>
      <c r="L2020">
        <f>IFERROR(IF(L2018="ERROR","ERROR",IF(NOT(ISNUMBER(L2032)),"UNKNOWN",IF(OR(L2032&lt;0,L2032&gt;=1),"ERROR",IF(NOT(ISNUMBER(L2018)),"UNKNOWN",IF(L2035&gt;0,IF(L2019="ERROR","ERROR",IF(NOT(ISNUMBER(L2019)),"UNKNOWN",L2018*(1-L2032-$I$1982)-L2035*L2019-$I$1981)),L2018*(1-L2032-$I$1982)-$I$1981))))),"ERROR")</f>
        <v/>
      </c>
    </row>
    <row r="2021">
      <c r="J2021">
        <f>IF(J2005="invalid","ERROR",IFERROR(IF(OR(J2020="ERROR",J2033="ERROR"),"ERROR",IF(OR(NOT(ISNUMBER(J2020)),NOT(ISNUMBER(J2033))),"UNKNOWN",J2020-J2033)),"ERROR"))</f>
        <v/>
      </c>
      <c r="K2021">
        <f>IFERROR(IF(OR(K2020="ERROR",K2033="ERROR"),"ERROR",IF(OR(NOT(ISNUMBER(K2020)),NOT(ISNUMBER(K2033))),"UNKNOWN",K2020-K2033)),"ERROR")</f>
        <v/>
      </c>
      <c r="L2021">
        <f>IFERROR(IF(OR(L2020="ERROR",L2033="ERROR"),"ERROR",IF(OR(NOT(ISNUMBER(L2020)),NOT(ISNUMBER(L2033))),"UNKNOWN",L2020-L2033)),"ERROR")</f>
        <v/>
      </c>
    </row>
    <row r="2022">
      <c r="J2022">
        <f>IF(J2005="invalid","ERROR",IF(OR(J2020="ERROR",J2033="ERROR",J2021="ERROR"),"ERROR",IF(OR(NOT(ISNUMBER(J2020)),NOT(ISNUMBER(J2033)),NOT(ISNUMBER(J2021))),"UNKNOWN","OK")))</f>
        <v/>
      </c>
      <c r="K2022">
        <f>IF(OR(K2020="ERROR",K2033="ERROR",K2021="ERROR"),"ERROR",IF(OR(NOT(ISNUMBER(K2020)),NOT(ISNUMBER(K2033)),NOT(ISNUMBER(K2021))),"UNKNOWN","OK"))</f>
        <v/>
      </c>
      <c r="L2022">
        <f>IF(OR(L2020="ERROR",L2033="ERROR",L2021="ERROR"),"ERROR",IF(OR(NOT(ISNUMBER(L2020)),NOT(ISNUMBER(L2033)),NOT(ISNUMBER(L2021))),"UNKNOWN","OK"))</f>
        <v/>
      </c>
    </row>
    <row r="2023">
      <c r="J2023">
        <f>IF(J2005="invalid","ERROR",IFERROR(IF(NOT(ISNUMBER(J2034)),J2034,IF(J2034&lt;0,"ERROR",J2034)),"ERROR"))</f>
        <v/>
      </c>
      <c r="K2023">
        <f>IFERROR(IF(NOT(ISNUMBER(K2034)),K2034,IF(K2034&lt;0,"ERROR",K2034)),"ERROR")</f>
        <v/>
      </c>
      <c r="L2023">
        <f>IFERROR(IF(NOT(ISNUMBER(L2034)),L2034,IF(L2034&lt;0,"ERROR",L2034)),"ERROR")</f>
        <v/>
      </c>
    </row>
    <row r="2024">
      <c r="J2024">
        <f>IF(J2005="invalid","ERROR",IFERROR(IF(OR(J2007="ERROR",J2023="ERROR"),"ERROR",IF(OR(NOT(ISNUMBER(J2007)),NOT(ISNUMBER(J2023))),"UNKNOWN",IF(J2007&lt;=0,"NOT_APPLICABLE",J2023/J2007))),"ERROR"))</f>
        <v/>
      </c>
      <c r="K2024">
        <f>IFERROR(IF(OR(K2007="ERROR",K2023="ERROR"),"ERROR",IF(OR(NOT(ISNUMBER(K2007)),NOT(ISNUMBER(K2023))),"UNKNOWN",IF(K2007&lt;=0,"NOT_APPLICABLE",K2023/K2007))),"ERROR")</f>
        <v/>
      </c>
      <c r="L2024">
        <f>IFERROR(IF(OR(L2007="ERROR",L2023="ERROR"),"ERROR",IF(OR(NOT(ISNUMBER(L2007)),NOT(ISNUMBER(L2023))),"UNKNOWN",IF(L2007&lt;=0,"NOT_APPLICABLE",L2023/L2007))),"ERROR")</f>
        <v/>
      </c>
    </row>
    <row r="2025">
      <c r="J2025">
        <f>IF(J2005="invalid","ERROR",IF(OR(J2007="ERROR",J2023="ERROR",J2024="ERROR"),"ERROR",IF(OR(NOT(ISNUMBER(J2007)),NOT(ISNUMBER(J2023)),AND(NOT(ISNUMBER(J2024)),J2024&lt;&gt;"NOT_APPLICABLE")),"UNKNOWN","OK")))</f>
        <v/>
      </c>
      <c r="K2025">
        <f>IF(OR(K2007="ERROR",K2023="ERROR",K2024="ERROR"),"ERROR",IF(OR(NOT(ISNUMBER(K2007)),NOT(ISNUMBER(K2023)),AND(NOT(ISNUMBER(K2024)),K2024&lt;&gt;"NOT_APPLICABLE")),"UNKNOWN","OK"))</f>
        <v/>
      </c>
      <c r="L2025">
        <f>IF(OR(L2007="ERROR",L2023="ERROR",L2024="ERROR"),"ERROR",IF(OR(NOT(ISNUMBER(L2007)),NOT(ISNUMBER(L2023)),AND(NOT(ISNUMBER(L2024)),L2024&lt;&gt;"NOT_APPLICABLE")),"UNKNOWN","OK"))</f>
        <v/>
      </c>
    </row>
    <row r="2026">
      <c r="J2026">
        <f>IF(J2005="invalid","ERROR",IF(OR(J2009="ERROR",J2016="ERROR",J2022="ERROR",J2025="ERROR"),"ERROR",IF(OR(J2009="UNKNOWN",J2016="UNKNOWN",J2022="UNKNOWN",J2025="UNKNOWN"),"INCOMPLETE","OK")))</f>
        <v/>
      </c>
      <c r="K2026">
        <f>IF(OR(K2009="ERROR",K2016="ERROR",K2022="ERROR",K2025="ERROR"),"ERROR",IF(OR(K2009="UNKNOWN",K2016="UNKNOWN",K2022="UNKNOWN",K2025="UNKNOWN"),"INCOMPLETE","OK"))</f>
        <v/>
      </c>
      <c r="L2026">
        <f>IF(OR(L2009="ERROR",L2016="ERROR",L2022="ERROR",L2025="ERROR"),"ERROR",IF(OR(L2009="UNKNOWN",L2016="UNKNOWN",L2022="UNKNOWN",L2025="UNKNOWN"),"INCOMPLETE","OK"))</f>
        <v/>
      </c>
    </row>
    <row r="2027">
      <c r="J2027">
        <f>IF($J$1987="inherit",$I$1975,IF($J$1987="null","UNKNOWN",$J$1988))</f>
        <v/>
      </c>
      <c r="K2027">
        <f>IF($K$1987="inherit",$I$1975,IF($K$1987="null","UNKNOWN",$K$1988))</f>
        <v/>
      </c>
      <c r="L2027">
        <f>IF($L$1987="inherit",$I$1975,IF($L$1987="null","UNKNOWN",$L$1988))</f>
        <v/>
      </c>
    </row>
    <row r="2028">
      <c r="J2028">
        <f>IF($J$1989="inherit",$I$1976,IF($J$1989="null","UNKNOWN",$J$1990))</f>
        <v/>
      </c>
      <c r="K2028">
        <f>IF($K$1989="inherit",$I$1976,IF($K$1989="null","UNKNOWN",$K$1990))</f>
        <v/>
      </c>
      <c r="L2028">
        <f>IF($L$1989="inherit",$I$1976,IF($L$1989="null","UNKNOWN",$L$1990))</f>
        <v/>
      </c>
    </row>
    <row r="2029">
      <c r="J2029">
        <f>IF($J$1991="inherit",$I$1977,IF($J$1991="null","UNKNOWN",$J$1992))</f>
        <v/>
      </c>
      <c r="K2029">
        <f>IF($K$1991="inherit",$I$1977,IF($K$1991="null","UNKNOWN",$K$1992))</f>
        <v/>
      </c>
      <c r="L2029">
        <f>IF($L$1991="inherit",$I$1977,IF($L$1991="null","UNKNOWN",$L$1992))</f>
        <v/>
      </c>
    </row>
    <row r="2030">
      <c r="J2030">
        <f>IF($J$1993="inherit",$I$1978,IF($J$1993="null","UNKNOWN",$J$1994))</f>
        <v/>
      </c>
      <c r="K2030">
        <f>IF($K$1993="inherit",$I$1978,IF($K$1993="null","UNKNOWN",$K$1994))</f>
        <v/>
      </c>
      <c r="L2030">
        <f>IF($L$1993="inherit",$I$1978,IF($L$1993="null","UNKNOWN",$L$1994))</f>
        <v/>
      </c>
    </row>
    <row r="2031">
      <c r="J2031">
        <f>IF($J$1995="inherit",$I$1979,IF($J$1995="null","UNKNOWN",$J$1996))</f>
        <v/>
      </c>
      <c r="K2031">
        <f>IF($K$1995="inherit",$I$1979,IF($K$1995="null","UNKNOWN",$K$1996))</f>
        <v/>
      </c>
      <c r="L2031">
        <f>IF($L$1995="inherit",$I$1979,IF($L$1995="null","UNKNOWN",$L$1996))</f>
        <v/>
      </c>
    </row>
    <row r="2032">
      <c r="J2032">
        <f>IF($J$1997="inherit",$I$1985,IF($J$1997="null","UNKNOWN",$J$1998))</f>
        <v/>
      </c>
      <c r="K2032">
        <f>IF($K$1997="inherit",$I$1985,IF($K$1997="null","UNKNOWN",$K$1998))</f>
        <v/>
      </c>
      <c r="L2032">
        <f>IF($L$1997="inherit",$I$1985,IF($L$1997="null","UNKNOWN",$L$1998))</f>
        <v/>
      </c>
    </row>
    <row r="2033">
      <c r="J2033">
        <f>IF($J$1999="inherit",$I$1980,IF($J$1999="null","UNKNOWN",$J$2000))</f>
        <v/>
      </c>
      <c r="K2033">
        <f>IF($K$1999="inherit",$I$1980,IF($K$1999="null","UNKNOWN",$K$2000))</f>
        <v/>
      </c>
      <c r="L2033">
        <f>IF($L$1999="inherit",$I$1980,IF($L$1999="null","UNKNOWN",$L$2000))</f>
        <v/>
      </c>
    </row>
    <row r="2034">
      <c r="J2034">
        <f>IF($J$2001="inherit",$I$1984,IF($J$2001="null","UNKNOWN",$J$2002))</f>
        <v/>
      </c>
      <c r="K2034">
        <f>IF($K$2001="inherit",$I$1984,IF($K$2001="null","UNKNOWN",$K$2002))</f>
        <v/>
      </c>
      <c r="L2034">
        <f>IF($L$2001="inherit",$I$1984,IF($L$2001="null","UNKNOWN",$L$2002))</f>
        <v/>
      </c>
    </row>
    <row r="2035">
      <c r="J2035">
        <f>IF($J$2003="inherit",$I$1983,IF($J$2003="null","UNKNOWN",$J$2004))</f>
        <v/>
      </c>
      <c r="K2035">
        <f>IF($K$2003="inherit",$I$1983,IF($K$2003="null","UNKNOWN",$K$2004))</f>
        <v/>
      </c>
      <c r="L2035">
        <f>IF($L$2003="inherit",$I$1983,IF($L$2003="null","UNKNOWN",$L$2004))</f>
        <v/>
      </c>
    </row>
    <row r="2036">
      <c r="I2036">
        <f>IFERROR(MATCH($I$1986,$J$1986:$L$1986,0),0)</f>
        <v/>
      </c>
    </row>
    <row r="2037">
      <c r="J2037">
        <f>IF(I2036=0,"ERROR",IF(OR($J$2006="ERROR",INDEX($J$2006:$L$2006,1,I2036)="ERROR"),"ERROR",IF(OR($J$2006="UNKNOWN",INDEX($J$2006:$L$2006,1,I2036)="UNKNOWN"),"UNKNOWN",IF(OR($J$2006="NOT_APPLICABLE",INDEX($J$2006:$L$2006,1,I2036)="NOT_APPLICABLE"),"NOT_APPLICABLE",$J$2006-INDEX($J$2006:$L$2006,1,I2036)))))</f>
        <v/>
      </c>
      <c r="K2037">
        <f>IF(I2036=0,"ERROR",IF(OR($K$2006="ERROR",INDEX($J$2006:$L$2006,1,I2036)="ERROR"),"ERROR",IF(OR($K$2006="UNKNOWN",INDEX($J$2006:$L$2006,1,I2036)="UNKNOWN"),"UNKNOWN",IF(OR($K$2006="NOT_APPLICABLE",INDEX($J$2006:$L$2006,1,I2036)="NOT_APPLICABLE"),"NOT_APPLICABLE",$K$2006-INDEX($J$2006:$L$2006,1,I2036)))))</f>
        <v/>
      </c>
      <c r="L2037">
        <f>IF(I2036=0,"ERROR",IF(OR($L$2006="ERROR",INDEX($J$2006:$L$2006,1,I2036)="ERROR"),"ERROR",IF(OR($L$2006="UNKNOWN",INDEX($J$2006:$L$2006,1,I2036)="UNKNOWN"),"UNKNOWN",IF(OR($L$2006="NOT_APPLICABLE",INDEX($J$2006:$L$2006,1,I2036)="NOT_APPLICABLE"),"NOT_APPLICABLE",$L$2006-INDEX($J$2006:$L$2006,1,I2036)))))</f>
        <v/>
      </c>
    </row>
    <row r="2038">
      <c r="J2038">
        <f>IF(I2036=0,"ERROR",IF(OR($J$2007="ERROR",INDEX($J$2007:$L$2007,1,I2036)="ERROR"),"ERROR",IF(OR($J$2007="UNKNOWN",INDEX($J$2007:$L$2007,1,I2036)="UNKNOWN"),"UNKNOWN",IF(OR($J$2007="NOT_APPLICABLE",INDEX($J$2007:$L$2007,1,I2036)="NOT_APPLICABLE"),"NOT_APPLICABLE",$J$2007-INDEX($J$2007:$L$2007,1,I2036)))))</f>
        <v/>
      </c>
      <c r="K2038">
        <f>IF(I2036=0,"ERROR",IF(OR($K$2007="ERROR",INDEX($J$2007:$L$2007,1,I2036)="ERROR"),"ERROR",IF(OR($K$2007="UNKNOWN",INDEX($J$2007:$L$2007,1,I2036)="UNKNOWN"),"UNKNOWN",IF(OR($K$2007="NOT_APPLICABLE",INDEX($J$2007:$L$2007,1,I2036)="NOT_APPLICABLE"),"NOT_APPLICABLE",$K$2007-INDEX($J$2007:$L$2007,1,I2036)))))</f>
        <v/>
      </c>
      <c r="L2038">
        <f>IF(I2036=0,"ERROR",IF(OR($L$2007="ERROR",INDEX($J$2007:$L$2007,1,I2036)="ERROR"),"ERROR",IF(OR($L$2007="UNKNOWN",INDEX($J$2007:$L$2007,1,I2036)="UNKNOWN"),"UNKNOWN",IF(OR($L$2007="NOT_APPLICABLE",INDEX($J$2007:$L$2007,1,I2036)="NOT_APPLICABLE"),"NOT_APPLICABLE",$L$2007-INDEX($J$2007:$L$2007,1,I2036)))))</f>
        <v/>
      </c>
    </row>
    <row r="2039">
      <c r="J2039">
        <f>IF(I2036=0,"ERROR",IF(OR($J$2008="ERROR",INDEX($J$2008:$L$2008,1,I2036)="ERROR"),"ERROR",IF(OR($J$2008="UNKNOWN",INDEX($J$2008:$L$2008,1,I2036)="UNKNOWN"),"UNKNOWN",IF(OR($J$2008="NOT_APPLICABLE",INDEX($J$2008:$L$2008,1,I2036)="NOT_APPLICABLE"),"NOT_APPLICABLE",$J$2008-INDEX($J$2008:$L$2008,1,I2036)))))</f>
        <v/>
      </c>
      <c r="K2039">
        <f>IF(I2036=0,"ERROR",IF(OR($K$2008="ERROR",INDEX($J$2008:$L$2008,1,I2036)="ERROR"),"ERROR",IF(OR($K$2008="UNKNOWN",INDEX($J$2008:$L$2008,1,I2036)="UNKNOWN"),"UNKNOWN",IF(OR($K$2008="NOT_APPLICABLE",INDEX($J$2008:$L$2008,1,I2036)="NOT_APPLICABLE"),"NOT_APPLICABLE",$K$2008-INDEX($J$2008:$L$2008,1,I2036)))))</f>
        <v/>
      </c>
      <c r="L2039">
        <f>IF(I2036=0,"ERROR",IF(OR($L$2008="ERROR",INDEX($J$2008:$L$2008,1,I2036)="ERROR"),"ERROR",IF(OR($L$2008="UNKNOWN",INDEX($J$2008:$L$2008,1,I2036)="UNKNOWN"),"UNKNOWN",IF(OR($L$2008="NOT_APPLICABLE",INDEX($J$2008:$L$2008,1,I2036)="NOT_APPLICABLE"),"NOT_APPLICABLE",$L$2008-INDEX($J$2008:$L$2008,1,I2036)))))</f>
        <v/>
      </c>
    </row>
    <row r="2040">
      <c r="J2040">
        <f>IF(I2036=0,"ERROR",IF(OR($J$2024="ERROR",INDEX($J$2024:$L$2024,1,I2036)="ERROR"),"ERROR",IF(OR($J$2024="UNKNOWN",INDEX($J$2024:$L$2024,1,I2036)="UNKNOWN"),"UNKNOWN",IF(OR($J$2024="NOT_APPLICABLE",INDEX($J$2024:$L$2024,1,I2036)="NOT_APPLICABLE"),"NOT_APPLICABLE",$J$2024-INDEX($J$2024:$L$2024,1,I2036)))))</f>
        <v/>
      </c>
      <c r="K2040">
        <f>IF(I2036=0,"ERROR",IF(OR($K$2024="ERROR",INDEX($J$2024:$L$2024,1,I2036)="ERROR"),"ERROR",IF(OR($K$2024="UNKNOWN",INDEX($J$2024:$L$2024,1,I2036)="UNKNOWN"),"UNKNOWN",IF(OR($K$2024="NOT_APPLICABLE",INDEX($J$2024:$L$2024,1,I2036)="NOT_APPLICABLE"),"NOT_APPLICABLE",$K$2024-INDEX($J$2024:$L$2024,1,I2036)))))</f>
        <v/>
      </c>
      <c r="L2040">
        <f>IF(I2036=0,"ERROR",IF(OR($L$2024="ERROR",INDEX($J$2024:$L$2024,1,I2036)="ERROR"),"ERROR",IF(OR($L$2024="UNKNOWN",INDEX($J$2024:$L$2024,1,I2036)="UNKNOWN"),"UNKNOWN",IF(OR($L$2024="NOT_APPLICABLE",INDEX($J$2024:$L$2024,1,I2036)="NOT_APPLICABLE"),"NOT_APPLICABLE",$L$2024-INDEX($J$2024:$L$2024,1,I2036)))))</f>
        <v/>
      </c>
    </row>
    <row r="2042">
      <c r="B2042" s="8" t="inlineStr">
        <is>
          <t>Scenario W: scenario_status</t>
        </is>
      </c>
      <c r="C2042" s="16">
        <f>J2026</f>
        <v/>
      </c>
      <c r="D2042" s="38" t="inlineStr">
        <is>
          <t>ERROR</t>
        </is>
      </c>
      <c r="F2042" s="15">
        <f>IF(J2026=D2042,"PASS","FAIL")</f>
        <v/>
      </c>
    </row>
    <row r="2043">
      <c r="B2043" s="8" t="inlineStr">
        <is>
          <t>Scenario W: contribution_margin</t>
        </is>
      </c>
      <c r="C2043" s="25">
        <f>J2007</f>
        <v/>
      </c>
      <c r="D2043" s="38" t="inlineStr">
        <is>
          <t>ERROR</t>
        </is>
      </c>
      <c r="E2043" s="26">
        <f>IF(ISNUMBER(D2043),IF(ISNUMBER(J2007),ABS(J2007-D2043),"N/A"),"N/A")</f>
        <v/>
      </c>
      <c r="F2043" s="15">
        <f>IFERROR(IF(ISNUMBER(D2043),IF(ISNUMBER(J2007),IF(ABS(J2007-D2043)&lt;=0.01,"PASS","FAIL"),"FAIL"),IF(NOT(ISNUMBER(J2007)),IF(J2007=D2043,"PASS","FAIL"),"FAIL")),"FAIL")</f>
        <v/>
      </c>
    </row>
    <row r="2044">
      <c r="B2044" s="8" t="inlineStr">
        <is>
          <t>Scenario W: break_even_quantity_exact</t>
        </is>
      </c>
      <c r="C2044" s="25">
        <f>J2024</f>
        <v/>
      </c>
      <c r="D2044" s="38" t="inlineStr">
        <is>
          <t>ERROR</t>
        </is>
      </c>
      <c r="E2044" s="26">
        <f>IF(ISNUMBER(D2044),IF(ISNUMBER(J2024),ABS(J2024-D2044),"N/A"),"N/A")</f>
        <v/>
      </c>
      <c r="F2044" s="15">
        <f>IFERROR(IF(ISNUMBER(D2044),IF(ISNUMBER(J2024),IF(ABS(J2024-D2044)&lt;=0.01,"PASS","FAIL"),"FAIL"),IF(NOT(ISNUMBER(J2024)),IF(J2024=D2044,"PASS","FAIL"),"FAIL")),"FAIL")</f>
        <v/>
      </c>
    </row>
    <row r="2045">
      <c r="B2045" s="8" t="inlineStr">
        <is>
          <t>Scenario B: scenario_status</t>
        </is>
      </c>
      <c r="C2045" s="16">
        <f>K2026</f>
        <v/>
      </c>
      <c r="D2045" s="38" t="inlineStr">
        <is>
          <t>OK</t>
        </is>
      </c>
      <c r="F2045" s="15">
        <f>IF(K2026=D2045,"PASS","FAIL")</f>
        <v/>
      </c>
    </row>
    <row r="2046">
      <c r="B2046" s="8" t="inlineStr">
        <is>
          <t>Scenario B: contribution_margin</t>
        </is>
      </c>
      <c r="C2046" s="25">
        <f>K2007</f>
        <v/>
      </c>
      <c r="D2046" s="42" t="n">
        <v>700</v>
      </c>
      <c r="E2046" s="26">
        <f>IF(ISNUMBER(D2046),IF(ISNUMBER(K2007),ABS(K2007-D2046),"N/A"),"N/A")</f>
        <v/>
      </c>
      <c r="F2046" s="15">
        <f>IFERROR(IF(ISNUMBER(D2046),IF(ISNUMBER(K2007),IF(ABS(K2007-D2046)&lt;=0.01,"PASS","FAIL"),"FAIL"),IF(NOT(ISNUMBER(K2007)),IF(K2007=D2046,"PASS","FAIL"),"FAIL")),"FAIL")</f>
        <v/>
      </c>
    </row>
    <row r="2047">
      <c r="B2047" s="8" t="inlineStr">
        <is>
          <t>Scenario B: break_even_quantity_exact</t>
        </is>
      </c>
      <c r="C2047" s="25">
        <f>K2024</f>
        <v/>
      </c>
      <c r="D2047" s="42" t="n">
        <v>71.42857142857143</v>
      </c>
      <c r="E2047" s="26">
        <f>IF(ISNUMBER(D2047),IF(ISNUMBER(K2024),ABS(K2024-D2047),"N/A"),"N/A")</f>
        <v/>
      </c>
      <c r="F2047" s="15">
        <f>IFERROR(IF(ISNUMBER(D2047),IF(ISNUMBER(K2024),IF(ABS(K2024-D2047)&lt;=0.01,"PASS","FAIL"),"FAIL"),IF(NOT(ISNUMBER(K2024)),IF(K2024=D2047,"PASS","FAIL"),"FAIL")),"FAIL")</f>
        <v/>
      </c>
    </row>
    <row r="2048">
      <c r="B2048" s="8" t="inlineStr">
        <is>
          <t>Scenario B: net_sales_ex_vat_delta</t>
        </is>
      </c>
      <c r="C2048" s="43">
        <f>K2037</f>
        <v/>
      </c>
      <c r="D2048" s="38" t="inlineStr">
        <is>
          <t>ERROR</t>
        </is>
      </c>
      <c r="F2048" s="15">
        <f>IFERROR(IF(ISNUMBER(D2048),IF(ISNUMBER(K2037),IF(ABS(K2037-D2048)&lt;=0.01,"PASS","FAIL"),"FAIL"),IF(NOT(ISNUMBER(K2037)),IF(K2037=D2048,"PASS","FAIL"),"FAIL")),"FAIL")</f>
        <v/>
      </c>
    </row>
    <row r="2049">
      <c r="B2049" s="8" t="inlineStr">
        <is>
          <t>Scenario B: contribution_margin_delta</t>
        </is>
      </c>
      <c r="C2049" s="43">
        <f>K2038</f>
        <v/>
      </c>
      <c r="D2049" s="38" t="inlineStr">
        <is>
          <t>ERROR</t>
        </is>
      </c>
      <c r="F2049" s="15">
        <f>IFERROR(IF(ISNUMBER(D2049),IF(ISNUMBER(K2038),IF(ABS(K2038-D2049)&lt;=0.01,"PASS","FAIL"),"FAIL"),IF(NOT(ISNUMBER(K2038)),IF(K2038=D2049,"PASS","FAIL"),"FAIL")),"FAIL")</f>
        <v/>
      </c>
    </row>
    <row r="2050">
      <c r="B2050" s="8" t="inlineStr">
        <is>
          <t>Scenario B: contribution_margin_rate_delta</t>
        </is>
      </c>
      <c r="C2050" s="43">
        <f>K2039</f>
        <v/>
      </c>
      <c r="D2050" s="38" t="inlineStr">
        <is>
          <t>ERROR</t>
        </is>
      </c>
      <c r="F2050" s="15">
        <f>IFERROR(IF(ISNUMBER(D2050),IF(ISNUMBER(K2039),IF(ABS(K2039-D2050)&lt;=0.01,"PASS","FAIL"),"FAIL"),IF(NOT(ISNUMBER(K2039)),IF(K2039=D2050,"PASS","FAIL"),"FAIL")),"FAIL")</f>
        <v/>
      </c>
    </row>
    <row r="2051">
      <c r="B2051" s="8" t="inlineStr">
        <is>
          <t>Scenario B: break_even_quantity_delta</t>
        </is>
      </c>
      <c r="C2051" s="43">
        <f>K2040</f>
        <v/>
      </c>
      <c r="D2051" s="38" t="inlineStr">
        <is>
          <t>ERROR</t>
        </is>
      </c>
      <c r="F2051" s="15">
        <f>IFERROR(IF(ISNUMBER(D2051),IF(ISNUMBER(K2040),IF(ABS(K2040-D2051)&lt;=0.01,"PASS","FAIL"),"FAIL"),IF(NOT(ISNUMBER(K2040)),IF(K2040=D2051,"PASS","FAIL"),"FAIL")),"FAIL")</f>
        <v/>
      </c>
    </row>
    <row r="2052">
      <c r="B2052" s="8" t="inlineStr">
        <is>
          <t>Scenario D: scenario_status</t>
        </is>
      </c>
      <c r="C2052" s="16">
        <f>L2026</f>
        <v/>
      </c>
      <c r="D2052" s="38" t="inlineStr">
        <is>
          <t>OK</t>
        </is>
      </c>
      <c r="F2052" s="15">
        <f>IF(L2026=D2052,"PASS","FAIL")</f>
        <v/>
      </c>
    </row>
    <row r="2053">
      <c r="B2053" s="8" t="inlineStr">
        <is>
          <t>Scenario D: contribution_margin</t>
        </is>
      </c>
      <c r="C2053" s="25">
        <f>L2007</f>
        <v/>
      </c>
      <c r="D2053" s="42" t="n">
        <v>600</v>
      </c>
      <c r="E2053" s="26">
        <f>IF(ISNUMBER(D2053),IF(ISNUMBER(L2007),ABS(L2007-D2053),"N/A"),"N/A")</f>
        <v/>
      </c>
      <c r="F2053" s="15">
        <f>IFERROR(IF(ISNUMBER(D2053),IF(ISNUMBER(L2007),IF(ABS(L2007-D2053)&lt;=0.01,"PASS","FAIL"),"FAIL"),IF(NOT(ISNUMBER(L2007)),IF(L2007=D2053,"PASS","FAIL"),"FAIL")),"FAIL")</f>
        <v/>
      </c>
    </row>
    <row r="2054">
      <c r="B2054" s="8" t="inlineStr">
        <is>
          <t>Scenario D: break_even_quantity_exact</t>
        </is>
      </c>
      <c r="C2054" s="25">
        <f>L2024</f>
        <v/>
      </c>
      <c r="D2054" s="42" t="n">
        <v>83.33333333333333</v>
      </c>
      <c r="E2054" s="26">
        <f>IF(ISNUMBER(D2054),IF(ISNUMBER(L2024),ABS(L2024-D2054),"N/A"),"N/A")</f>
        <v/>
      </c>
      <c r="F2054" s="15">
        <f>IFERROR(IF(ISNUMBER(D2054),IF(ISNUMBER(L2024),IF(ABS(L2024-D2054)&lt;=0.01,"PASS","FAIL"),"FAIL"),IF(NOT(ISNUMBER(L2024)),IF(L2024=D2054,"PASS","FAIL"),"FAIL")),"FAIL")</f>
        <v/>
      </c>
    </row>
    <row r="2055">
      <c r="B2055" s="8" t="inlineStr">
        <is>
          <t>Scenario D: net_sales_ex_vat_delta</t>
        </is>
      </c>
      <c r="C2055" s="43">
        <f>L2037</f>
        <v/>
      </c>
      <c r="D2055" s="38" t="inlineStr">
        <is>
          <t>ERROR</t>
        </is>
      </c>
      <c r="F2055" s="15">
        <f>IFERROR(IF(ISNUMBER(D2055),IF(ISNUMBER(L2037),IF(ABS(L2037-D2055)&lt;=0.01,"PASS","FAIL"),"FAIL"),IF(NOT(ISNUMBER(L2037)),IF(L2037=D2055,"PASS","FAIL"),"FAIL")),"FAIL")</f>
        <v/>
      </c>
    </row>
    <row r="2056">
      <c r="B2056" s="8" t="inlineStr">
        <is>
          <t>Scenario D: contribution_margin_delta</t>
        </is>
      </c>
      <c r="C2056" s="43">
        <f>L2038</f>
        <v/>
      </c>
      <c r="D2056" s="38" t="inlineStr">
        <is>
          <t>ERROR</t>
        </is>
      </c>
      <c r="F2056" s="15">
        <f>IFERROR(IF(ISNUMBER(D2056),IF(ISNUMBER(L2038),IF(ABS(L2038-D2056)&lt;=0.01,"PASS","FAIL"),"FAIL"),IF(NOT(ISNUMBER(L2038)),IF(L2038=D2056,"PASS","FAIL"),"FAIL")),"FAIL")</f>
        <v/>
      </c>
    </row>
    <row r="2057">
      <c r="B2057" s="8" t="inlineStr">
        <is>
          <t>Scenario D: contribution_margin_rate_delta</t>
        </is>
      </c>
      <c r="C2057" s="43">
        <f>L2039</f>
        <v/>
      </c>
      <c r="D2057" s="38" t="inlineStr">
        <is>
          <t>ERROR</t>
        </is>
      </c>
      <c r="F2057" s="15">
        <f>IFERROR(IF(ISNUMBER(D2057),IF(ISNUMBER(L2039),IF(ABS(L2039-D2057)&lt;=0.01,"PASS","FAIL"),"FAIL"),IF(NOT(ISNUMBER(L2039)),IF(L2039=D2057,"PASS","FAIL"),"FAIL")),"FAIL")</f>
        <v/>
      </c>
    </row>
    <row r="2058">
      <c r="B2058" s="8" t="inlineStr">
        <is>
          <t>Scenario D: break_even_quantity_delta</t>
        </is>
      </c>
      <c r="C2058" s="43">
        <f>L2040</f>
        <v/>
      </c>
      <c r="D2058" s="38" t="inlineStr">
        <is>
          <t>ERROR</t>
        </is>
      </c>
      <c r="F2058" s="15">
        <f>IFERROR(IF(ISNUMBER(D2058),IF(ISNUMBER(L2040),IF(ABS(L2040-D2058)&lt;=0.01,"PASS","FAIL"),"FAIL"),IF(NOT(ISNUMBER(L2040)),IF(L2040=D2058,"PASS","FAIL"),"FAIL")),"FAIL")</f>
        <v/>
      </c>
    </row>
    <row r="2059">
      <c r="B2059" s="8" t="inlineStr">
        <is>
          <t>Scenario Compare: overall status</t>
        </is>
      </c>
      <c r="C2059" s="16">
        <f>IF(OR(J2026="ERROR",K2026="ERROR",L2026="ERROR"),"ERROR","OK")</f>
        <v/>
      </c>
      <c r="D2059" s="38" t="inlineStr">
        <is>
          <t>ERROR</t>
        </is>
      </c>
      <c r="F2059" s="15">
        <f>IF(C2059=D2059,"PASS","FAIL")</f>
        <v/>
      </c>
    </row>
    <row r="2060">
      <c r="B2060" s="8" t="inlineStr">
        <is>
          <t>Python: BASELINE_SCENARIO_INVALID_FOR_DELTA warning count (expect 1)</t>
        </is>
      </c>
      <c r="D2060" s="38" t="n">
        <v>1</v>
      </c>
      <c r="F2060" s="15">
        <f>IF(D2060=1,"PASS","FAIL")</f>
        <v/>
      </c>
    </row>
    <row r="2062" ht="20" customHeight="1">
      <c r="B2062" s="2" t="inlineStr">
        <is>
          <t>Overall (all Scenario Compare parity checks — live Excel evaluation)</t>
        </is>
      </c>
      <c r="C2062" s="7" t="n"/>
    </row>
    <row r="2063">
      <c r="B2063" s="8" t="inlineStr">
        <is>
          <t>All checks PASS?</t>
        </is>
      </c>
      <c r="C2063" s="15">
        <f>IF(COUNTIF(F73:F2060,"FAIL")=0,"ALL PASS","SOME FAILED")</f>
        <v/>
      </c>
    </row>
  </sheetData>
  <mergeCells count="28">
    <mergeCell ref="B2:G2"/>
    <mergeCell ref="B1665:F1665"/>
    <mergeCell ref="B1250:F1250"/>
    <mergeCell ref="B420:F420"/>
    <mergeCell ref="B1333:F1333"/>
    <mergeCell ref="B1582:F1582"/>
    <mergeCell ref="B1416:F1416"/>
    <mergeCell ref="B1084:F1084"/>
    <mergeCell ref="B1902:F1902"/>
    <mergeCell ref="B503:F503"/>
    <mergeCell ref="B1167:F1167"/>
    <mergeCell ref="B1499:F1499"/>
    <mergeCell ref="B669:F669"/>
    <mergeCell ref="B1831:F1831"/>
    <mergeCell ref="B337:F337"/>
    <mergeCell ref="B88:F88"/>
    <mergeCell ref="B171:F171"/>
    <mergeCell ref="B1973:F1973"/>
    <mergeCell ref="B1001:F1001"/>
    <mergeCell ref="B835:F835"/>
    <mergeCell ref="B3:G3"/>
    <mergeCell ref="B254:F254"/>
    <mergeCell ref="B2062:C2062"/>
    <mergeCell ref="B752:F752"/>
    <mergeCell ref="B586:F586"/>
    <mergeCell ref="B5:F5"/>
    <mergeCell ref="B1748:F1748"/>
    <mergeCell ref="B918:F918"/>
  </mergeCells>
  <conditionalFormatting sqref="F73">
    <cfRule type="expression" priority="1" dxfId="0">
      <formula>F73="FAIL"</formula>
    </cfRule>
    <cfRule type="expression" priority="2" dxfId="1">
      <formula>F73="PASS"</formula>
    </cfRule>
  </conditionalFormatting>
  <conditionalFormatting sqref="F74">
    <cfRule type="expression" priority="3" dxfId="0">
      <formula>F74="FAIL"</formula>
    </cfRule>
    <cfRule type="expression" priority="4" dxfId="1">
      <formula>F74="PASS"</formula>
    </cfRule>
  </conditionalFormatting>
  <conditionalFormatting sqref="F75">
    <cfRule type="expression" priority="5" dxfId="0">
      <formula>F75="FAIL"</formula>
    </cfRule>
    <cfRule type="expression" priority="6" dxfId="1">
      <formula>F75="PASS"</formula>
    </cfRule>
  </conditionalFormatting>
  <conditionalFormatting sqref="F76">
    <cfRule type="expression" priority="7" dxfId="0">
      <formula>F76="FAIL"</formula>
    </cfRule>
    <cfRule type="expression" priority="8" dxfId="1">
      <formula>F76="PASS"</formula>
    </cfRule>
  </conditionalFormatting>
  <conditionalFormatting sqref="F77">
    <cfRule type="expression" priority="9" dxfId="0">
      <formula>F77="FAIL"</formula>
    </cfRule>
    <cfRule type="expression" priority="10" dxfId="1">
      <formula>F77="PASS"</formula>
    </cfRule>
  </conditionalFormatting>
  <conditionalFormatting sqref="F78">
    <cfRule type="expression" priority="11" dxfId="0">
      <formula>F78="FAIL"</formula>
    </cfRule>
    <cfRule type="expression" priority="12" dxfId="1">
      <formula>F78="PASS"</formula>
    </cfRule>
  </conditionalFormatting>
  <conditionalFormatting sqref="F79">
    <cfRule type="expression" priority="13" dxfId="0">
      <formula>F79="FAIL"</formula>
    </cfRule>
    <cfRule type="expression" priority="14" dxfId="1">
      <formula>F79="PASS"</formula>
    </cfRule>
  </conditionalFormatting>
  <conditionalFormatting sqref="F80">
    <cfRule type="expression" priority="15" dxfId="0">
      <formula>F80="FAIL"</formula>
    </cfRule>
    <cfRule type="expression" priority="16" dxfId="1">
      <formula>F80="PASS"</formula>
    </cfRule>
  </conditionalFormatting>
  <conditionalFormatting sqref="F81">
    <cfRule type="expression" priority="17" dxfId="0">
      <formula>F81="FAIL"</formula>
    </cfRule>
    <cfRule type="expression" priority="18" dxfId="1">
      <formula>F81="PASS"</formula>
    </cfRule>
  </conditionalFormatting>
  <conditionalFormatting sqref="F82">
    <cfRule type="expression" priority="19" dxfId="0">
      <formula>F82="FAIL"</formula>
    </cfRule>
    <cfRule type="expression" priority="20" dxfId="1">
      <formula>F82="PASS"</formula>
    </cfRule>
  </conditionalFormatting>
  <conditionalFormatting sqref="F83">
    <cfRule type="expression" priority="21" dxfId="0">
      <formula>F83="FAIL"</formula>
    </cfRule>
    <cfRule type="expression" priority="22" dxfId="1">
      <formula>F83="PASS"</formula>
    </cfRule>
  </conditionalFormatting>
  <conditionalFormatting sqref="F84">
    <cfRule type="expression" priority="23" dxfId="0">
      <formula>F84="FAIL"</formula>
    </cfRule>
    <cfRule type="expression" priority="24" dxfId="1">
      <formula>F84="PASS"</formula>
    </cfRule>
  </conditionalFormatting>
  <conditionalFormatting sqref="F85">
    <cfRule type="expression" priority="25" dxfId="0">
      <formula>F85="FAIL"</formula>
    </cfRule>
    <cfRule type="expression" priority="26" dxfId="1">
      <formula>F85="PASS"</formula>
    </cfRule>
  </conditionalFormatting>
  <conditionalFormatting sqref="F86">
    <cfRule type="expression" priority="27" dxfId="0">
      <formula>F86="FAIL"</formula>
    </cfRule>
    <cfRule type="expression" priority="28" dxfId="1">
      <formula>F86="PASS"</formula>
    </cfRule>
  </conditionalFormatting>
  <conditionalFormatting sqref="F156">
    <cfRule type="expression" priority="29" dxfId="0">
      <formula>F156="FAIL"</formula>
    </cfRule>
    <cfRule type="expression" priority="30" dxfId="1">
      <formula>F156="PASS"</formula>
    </cfRule>
  </conditionalFormatting>
  <conditionalFormatting sqref="F157">
    <cfRule type="expression" priority="31" dxfId="0">
      <formula>F157="FAIL"</formula>
    </cfRule>
    <cfRule type="expression" priority="32" dxfId="1">
      <formula>F157="PASS"</formula>
    </cfRule>
  </conditionalFormatting>
  <conditionalFormatting sqref="F158">
    <cfRule type="expression" priority="33" dxfId="0">
      <formula>F158="FAIL"</formula>
    </cfRule>
    <cfRule type="expression" priority="34" dxfId="1">
      <formula>F158="PASS"</formula>
    </cfRule>
  </conditionalFormatting>
  <conditionalFormatting sqref="F159">
    <cfRule type="expression" priority="35" dxfId="0">
      <formula>F159="FAIL"</formula>
    </cfRule>
    <cfRule type="expression" priority="36" dxfId="1">
      <formula>F159="PASS"</formula>
    </cfRule>
  </conditionalFormatting>
  <conditionalFormatting sqref="F160">
    <cfRule type="expression" priority="37" dxfId="0">
      <formula>F160="FAIL"</formula>
    </cfRule>
    <cfRule type="expression" priority="38" dxfId="1">
      <formula>F160="PASS"</formula>
    </cfRule>
  </conditionalFormatting>
  <conditionalFormatting sqref="F161">
    <cfRule type="expression" priority="39" dxfId="0">
      <formula>F161="FAIL"</formula>
    </cfRule>
    <cfRule type="expression" priority="40" dxfId="1">
      <formula>F161="PASS"</formula>
    </cfRule>
  </conditionalFormatting>
  <conditionalFormatting sqref="F162">
    <cfRule type="expression" priority="41" dxfId="0">
      <formula>F162="FAIL"</formula>
    </cfRule>
    <cfRule type="expression" priority="42" dxfId="1">
      <formula>F162="PASS"</formula>
    </cfRule>
  </conditionalFormatting>
  <conditionalFormatting sqref="F163">
    <cfRule type="expression" priority="43" dxfId="0">
      <formula>F163="FAIL"</formula>
    </cfRule>
    <cfRule type="expression" priority="44" dxfId="1">
      <formula>F163="PASS"</formula>
    </cfRule>
  </conditionalFormatting>
  <conditionalFormatting sqref="F164">
    <cfRule type="expression" priority="45" dxfId="0">
      <formula>F164="FAIL"</formula>
    </cfRule>
    <cfRule type="expression" priority="46" dxfId="1">
      <formula>F164="PASS"</formula>
    </cfRule>
  </conditionalFormatting>
  <conditionalFormatting sqref="F165">
    <cfRule type="expression" priority="47" dxfId="0">
      <formula>F165="FAIL"</formula>
    </cfRule>
    <cfRule type="expression" priority="48" dxfId="1">
      <formula>F165="PASS"</formula>
    </cfRule>
  </conditionalFormatting>
  <conditionalFormatting sqref="F166">
    <cfRule type="expression" priority="49" dxfId="0">
      <formula>F166="FAIL"</formula>
    </cfRule>
    <cfRule type="expression" priority="50" dxfId="1">
      <formula>F166="PASS"</formula>
    </cfRule>
  </conditionalFormatting>
  <conditionalFormatting sqref="F167">
    <cfRule type="expression" priority="51" dxfId="0">
      <formula>F167="FAIL"</formula>
    </cfRule>
    <cfRule type="expression" priority="52" dxfId="1">
      <formula>F167="PASS"</formula>
    </cfRule>
  </conditionalFormatting>
  <conditionalFormatting sqref="F168">
    <cfRule type="expression" priority="53" dxfId="0">
      <formula>F168="FAIL"</formula>
    </cfRule>
    <cfRule type="expression" priority="54" dxfId="1">
      <formula>F168="PASS"</formula>
    </cfRule>
  </conditionalFormatting>
  <conditionalFormatting sqref="F169">
    <cfRule type="expression" priority="55" dxfId="0">
      <formula>F169="FAIL"</formula>
    </cfRule>
    <cfRule type="expression" priority="56" dxfId="1">
      <formula>F169="PASS"</formula>
    </cfRule>
  </conditionalFormatting>
  <conditionalFormatting sqref="F239">
    <cfRule type="expression" priority="57" dxfId="0">
      <formula>F239="FAIL"</formula>
    </cfRule>
    <cfRule type="expression" priority="58" dxfId="1">
      <formula>F239="PASS"</formula>
    </cfRule>
  </conditionalFormatting>
  <conditionalFormatting sqref="F240">
    <cfRule type="expression" priority="59" dxfId="0">
      <formula>F240="FAIL"</formula>
    </cfRule>
    <cfRule type="expression" priority="60" dxfId="1">
      <formula>F240="PASS"</formula>
    </cfRule>
  </conditionalFormatting>
  <conditionalFormatting sqref="F241">
    <cfRule type="expression" priority="61" dxfId="0">
      <formula>F241="FAIL"</formula>
    </cfRule>
    <cfRule type="expression" priority="62" dxfId="1">
      <formula>F241="PASS"</formula>
    </cfRule>
  </conditionalFormatting>
  <conditionalFormatting sqref="F242">
    <cfRule type="expression" priority="63" dxfId="0">
      <formula>F242="FAIL"</formula>
    </cfRule>
    <cfRule type="expression" priority="64" dxfId="1">
      <formula>F242="PASS"</formula>
    </cfRule>
  </conditionalFormatting>
  <conditionalFormatting sqref="F243">
    <cfRule type="expression" priority="65" dxfId="0">
      <formula>F243="FAIL"</formula>
    </cfRule>
    <cfRule type="expression" priority="66" dxfId="1">
      <formula>F243="PASS"</formula>
    </cfRule>
  </conditionalFormatting>
  <conditionalFormatting sqref="F244">
    <cfRule type="expression" priority="67" dxfId="0">
      <formula>F244="FAIL"</formula>
    </cfRule>
    <cfRule type="expression" priority="68" dxfId="1">
      <formula>F244="PASS"</formula>
    </cfRule>
  </conditionalFormatting>
  <conditionalFormatting sqref="F245">
    <cfRule type="expression" priority="69" dxfId="0">
      <formula>F245="FAIL"</formula>
    </cfRule>
    <cfRule type="expression" priority="70" dxfId="1">
      <formula>F245="PASS"</formula>
    </cfRule>
  </conditionalFormatting>
  <conditionalFormatting sqref="F246">
    <cfRule type="expression" priority="71" dxfId="0">
      <formula>F246="FAIL"</formula>
    </cfRule>
    <cfRule type="expression" priority="72" dxfId="1">
      <formula>F246="PASS"</formula>
    </cfRule>
  </conditionalFormatting>
  <conditionalFormatting sqref="F247">
    <cfRule type="expression" priority="73" dxfId="0">
      <formula>F247="FAIL"</formula>
    </cfRule>
    <cfRule type="expression" priority="74" dxfId="1">
      <formula>F247="PASS"</formula>
    </cfRule>
  </conditionalFormatting>
  <conditionalFormatting sqref="F248">
    <cfRule type="expression" priority="75" dxfId="0">
      <formula>F248="FAIL"</formula>
    </cfRule>
    <cfRule type="expression" priority="76" dxfId="1">
      <formula>F248="PASS"</formula>
    </cfRule>
  </conditionalFormatting>
  <conditionalFormatting sqref="F249">
    <cfRule type="expression" priority="77" dxfId="0">
      <formula>F249="FAIL"</formula>
    </cfRule>
    <cfRule type="expression" priority="78" dxfId="1">
      <formula>F249="PASS"</formula>
    </cfRule>
  </conditionalFormatting>
  <conditionalFormatting sqref="F250">
    <cfRule type="expression" priority="79" dxfId="0">
      <formula>F250="FAIL"</formula>
    </cfRule>
    <cfRule type="expression" priority="80" dxfId="1">
      <formula>F250="PASS"</formula>
    </cfRule>
  </conditionalFormatting>
  <conditionalFormatting sqref="F251">
    <cfRule type="expression" priority="81" dxfId="0">
      <formula>F251="FAIL"</formula>
    </cfRule>
    <cfRule type="expression" priority="82" dxfId="1">
      <formula>F251="PASS"</formula>
    </cfRule>
  </conditionalFormatting>
  <conditionalFormatting sqref="F252">
    <cfRule type="expression" priority="83" dxfId="0">
      <formula>F252="FAIL"</formula>
    </cfRule>
    <cfRule type="expression" priority="84" dxfId="1">
      <formula>F252="PASS"</formula>
    </cfRule>
  </conditionalFormatting>
  <conditionalFormatting sqref="F322">
    <cfRule type="expression" priority="85" dxfId="0">
      <formula>F322="FAIL"</formula>
    </cfRule>
    <cfRule type="expression" priority="86" dxfId="1">
      <formula>F322="PASS"</formula>
    </cfRule>
  </conditionalFormatting>
  <conditionalFormatting sqref="F323">
    <cfRule type="expression" priority="87" dxfId="0">
      <formula>F323="FAIL"</formula>
    </cfRule>
    <cfRule type="expression" priority="88" dxfId="1">
      <formula>F323="PASS"</formula>
    </cfRule>
  </conditionalFormatting>
  <conditionalFormatting sqref="F324">
    <cfRule type="expression" priority="89" dxfId="0">
      <formula>F324="FAIL"</formula>
    </cfRule>
    <cfRule type="expression" priority="90" dxfId="1">
      <formula>F324="PASS"</formula>
    </cfRule>
  </conditionalFormatting>
  <conditionalFormatting sqref="F325">
    <cfRule type="expression" priority="91" dxfId="0">
      <formula>F325="FAIL"</formula>
    </cfRule>
    <cfRule type="expression" priority="92" dxfId="1">
      <formula>F325="PASS"</formula>
    </cfRule>
  </conditionalFormatting>
  <conditionalFormatting sqref="F326">
    <cfRule type="expression" priority="93" dxfId="0">
      <formula>F326="FAIL"</formula>
    </cfRule>
    <cfRule type="expression" priority="94" dxfId="1">
      <formula>F326="PASS"</formula>
    </cfRule>
  </conditionalFormatting>
  <conditionalFormatting sqref="F327">
    <cfRule type="expression" priority="95" dxfId="0">
      <formula>F327="FAIL"</formula>
    </cfRule>
    <cfRule type="expression" priority="96" dxfId="1">
      <formula>F327="PASS"</formula>
    </cfRule>
  </conditionalFormatting>
  <conditionalFormatting sqref="F328">
    <cfRule type="expression" priority="97" dxfId="0">
      <formula>F328="FAIL"</formula>
    </cfRule>
    <cfRule type="expression" priority="98" dxfId="1">
      <formula>F328="PASS"</formula>
    </cfRule>
  </conditionalFormatting>
  <conditionalFormatting sqref="F329">
    <cfRule type="expression" priority="99" dxfId="0">
      <formula>F329="FAIL"</formula>
    </cfRule>
    <cfRule type="expression" priority="100" dxfId="1">
      <formula>F329="PASS"</formula>
    </cfRule>
  </conditionalFormatting>
  <conditionalFormatting sqref="F330">
    <cfRule type="expression" priority="101" dxfId="0">
      <formula>F330="FAIL"</formula>
    </cfRule>
    <cfRule type="expression" priority="102" dxfId="1">
      <formula>F330="PASS"</formula>
    </cfRule>
  </conditionalFormatting>
  <conditionalFormatting sqref="F331">
    <cfRule type="expression" priority="103" dxfId="0">
      <formula>F331="FAIL"</formula>
    </cfRule>
    <cfRule type="expression" priority="104" dxfId="1">
      <formula>F331="PASS"</formula>
    </cfRule>
  </conditionalFormatting>
  <conditionalFormatting sqref="F332">
    <cfRule type="expression" priority="105" dxfId="0">
      <formula>F332="FAIL"</formula>
    </cfRule>
    <cfRule type="expression" priority="106" dxfId="1">
      <formula>F332="PASS"</formula>
    </cfRule>
  </conditionalFormatting>
  <conditionalFormatting sqref="F333">
    <cfRule type="expression" priority="107" dxfId="0">
      <formula>F333="FAIL"</formula>
    </cfRule>
    <cfRule type="expression" priority="108" dxfId="1">
      <formula>F333="PASS"</formula>
    </cfRule>
  </conditionalFormatting>
  <conditionalFormatting sqref="F334">
    <cfRule type="expression" priority="109" dxfId="0">
      <formula>F334="FAIL"</formula>
    </cfRule>
    <cfRule type="expression" priority="110" dxfId="1">
      <formula>F334="PASS"</formula>
    </cfRule>
  </conditionalFormatting>
  <conditionalFormatting sqref="F335">
    <cfRule type="expression" priority="111" dxfId="0">
      <formula>F335="FAIL"</formula>
    </cfRule>
    <cfRule type="expression" priority="112" dxfId="1">
      <formula>F335="PASS"</formula>
    </cfRule>
  </conditionalFormatting>
  <conditionalFormatting sqref="F405">
    <cfRule type="expression" priority="113" dxfId="0">
      <formula>F405="FAIL"</formula>
    </cfRule>
    <cfRule type="expression" priority="114" dxfId="1">
      <formula>F405="PASS"</formula>
    </cfRule>
  </conditionalFormatting>
  <conditionalFormatting sqref="F406">
    <cfRule type="expression" priority="115" dxfId="0">
      <formula>F406="FAIL"</formula>
    </cfRule>
    <cfRule type="expression" priority="116" dxfId="1">
      <formula>F406="PASS"</formula>
    </cfRule>
  </conditionalFormatting>
  <conditionalFormatting sqref="F407">
    <cfRule type="expression" priority="117" dxfId="0">
      <formula>F407="FAIL"</formula>
    </cfRule>
    <cfRule type="expression" priority="118" dxfId="1">
      <formula>F407="PASS"</formula>
    </cfRule>
  </conditionalFormatting>
  <conditionalFormatting sqref="F408">
    <cfRule type="expression" priority="119" dxfId="0">
      <formula>F408="FAIL"</formula>
    </cfRule>
    <cfRule type="expression" priority="120" dxfId="1">
      <formula>F408="PASS"</formula>
    </cfRule>
  </conditionalFormatting>
  <conditionalFormatting sqref="F409">
    <cfRule type="expression" priority="121" dxfId="0">
      <formula>F409="FAIL"</formula>
    </cfRule>
    <cfRule type="expression" priority="122" dxfId="1">
      <formula>F409="PASS"</formula>
    </cfRule>
  </conditionalFormatting>
  <conditionalFormatting sqref="F410">
    <cfRule type="expression" priority="123" dxfId="0">
      <formula>F410="FAIL"</formula>
    </cfRule>
    <cfRule type="expression" priority="124" dxfId="1">
      <formula>F410="PASS"</formula>
    </cfRule>
  </conditionalFormatting>
  <conditionalFormatting sqref="F411">
    <cfRule type="expression" priority="125" dxfId="0">
      <formula>F411="FAIL"</formula>
    </cfRule>
    <cfRule type="expression" priority="126" dxfId="1">
      <formula>F411="PASS"</formula>
    </cfRule>
  </conditionalFormatting>
  <conditionalFormatting sqref="F412">
    <cfRule type="expression" priority="127" dxfId="0">
      <formula>F412="FAIL"</formula>
    </cfRule>
    <cfRule type="expression" priority="128" dxfId="1">
      <formula>F412="PASS"</formula>
    </cfRule>
  </conditionalFormatting>
  <conditionalFormatting sqref="F413">
    <cfRule type="expression" priority="129" dxfId="0">
      <formula>F413="FAIL"</formula>
    </cfRule>
    <cfRule type="expression" priority="130" dxfId="1">
      <formula>F413="PASS"</formula>
    </cfRule>
  </conditionalFormatting>
  <conditionalFormatting sqref="F414">
    <cfRule type="expression" priority="131" dxfId="0">
      <formula>F414="FAIL"</formula>
    </cfRule>
    <cfRule type="expression" priority="132" dxfId="1">
      <formula>F414="PASS"</formula>
    </cfRule>
  </conditionalFormatting>
  <conditionalFormatting sqref="F415">
    <cfRule type="expression" priority="133" dxfId="0">
      <formula>F415="FAIL"</formula>
    </cfRule>
    <cfRule type="expression" priority="134" dxfId="1">
      <formula>F415="PASS"</formula>
    </cfRule>
  </conditionalFormatting>
  <conditionalFormatting sqref="F416">
    <cfRule type="expression" priority="135" dxfId="0">
      <formula>F416="FAIL"</formula>
    </cfRule>
    <cfRule type="expression" priority="136" dxfId="1">
      <formula>F416="PASS"</formula>
    </cfRule>
  </conditionalFormatting>
  <conditionalFormatting sqref="F417">
    <cfRule type="expression" priority="137" dxfId="0">
      <formula>F417="FAIL"</formula>
    </cfRule>
    <cfRule type="expression" priority="138" dxfId="1">
      <formula>F417="PASS"</formula>
    </cfRule>
  </conditionalFormatting>
  <conditionalFormatting sqref="F418">
    <cfRule type="expression" priority="139" dxfId="0">
      <formula>F418="FAIL"</formula>
    </cfRule>
    <cfRule type="expression" priority="140" dxfId="1">
      <formula>F418="PASS"</formula>
    </cfRule>
  </conditionalFormatting>
  <conditionalFormatting sqref="F488">
    <cfRule type="expression" priority="141" dxfId="0">
      <formula>F488="FAIL"</formula>
    </cfRule>
    <cfRule type="expression" priority="142" dxfId="1">
      <formula>F488="PASS"</formula>
    </cfRule>
  </conditionalFormatting>
  <conditionalFormatting sqref="F489">
    <cfRule type="expression" priority="143" dxfId="0">
      <formula>F489="FAIL"</formula>
    </cfRule>
    <cfRule type="expression" priority="144" dxfId="1">
      <formula>F489="PASS"</formula>
    </cfRule>
  </conditionalFormatting>
  <conditionalFormatting sqref="F490">
    <cfRule type="expression" priority="145" dxfId="0">
      <formula>F490="FAIL"</formula>
    </cfRule>
    <cfRule type="expression" priority="146" dxfId="1">
      <formula>F490="PASS"</formula>
    </cfRule>
  </conditionalFormatting>
  <conditionalFormatting sqref="F491">
    <cfRule type="expression" priority="147" dxfId="0">
      <formula>F491="FAIL"</formula>
    </cfRule>
    <cfRule type="expression" priority="148" dxfId="1">
      <formula>F491="PASS"</formula>
    </cfRule>
  </conditionalFormatting>
  <conditionalFormatting sqref="F492">
    <cfRule type="expression" priority="149" dxfId="0">
      <formula>F492="FAIL"</formula>
    </cfRule>
    <cfRule type="expression" priority="150" dxfId="1">
      <formula>F492="PASS"</formula>
    </cfRule>
  </conditionalFormatting>
  <conditionalFormatting sqref="F493">
    <cfRule type="expression" priority="151" dxfId="0">
      <formula>F493="FAIL"</formula>
    </cfRule>
    <cfRule type="expression" priority="152" dxfId="1">
      <formula>F493="PASS"</formula>
    </cfRule>
  </conditionalFormatting>
  <conditionalFormatting sqref="F494">
    <cfRule type="expression" priority="153" dxfId="0">
      <formula>F494="FAIL"</formula>
    </cfRule>
    <cfRule type="expression" priority="154" dxfId="1">
      <formula>F494="PASS"</formula>
    </cfRule>
  </conditionalFormatting>
  <conditionalFormatting sqref="F495">
    <cfRule type="expression" priority="155" dxfId="0">
      <formula>F495="FAIL"</formula>
    </cfRule>
    <cfRule type="expression" priority="156" dxfId="1">
      <formula>F495="PASS"</formula>
    </cfRule>
  </conditionalFormatting>
  <conditionalFormatting sqref="F496">
    <cfRule type="expression" priority="157" dxfId="0">
      <formula>F496="FAIL"</formula>
    </cfRule>
    <cfRule type="expression" priority="158" dxfId="1">
      <formula>F496="PASS"</formula>
    </cfRule>
  </conditionalFormatting>
  <conditionalFormatting sqref="F497">
    <cfRule type="expression" priority="159" dxfId="0">
      <formula>F497="FAIL"</formula>
    </cfRule>
    <cfRule type="expression" priority="160" dxfId="1">
      <formula>F497="PASS"</formula>
    </cfRule>
  </conditionalFormatting>
  <conditionalFormatting sqref="F498">
    <cfRule type="expression" priority="161" dxfId="0">
      <formula>F498="FAIL"</formula>
    </cfRule>
    <cfRule type="expression" priority="162" dxfId="1">
      <formula>F498="PASS"</formula>
    </cfRule>
  </conditionalFormatting>
  <conditionalFormatting sqref="F499">
    <cfRule type="expression" priority="163" dxfId="0">
      <formula>F499="FAIL"</formula>
    </cfRule>
    <cfRule type="expression" priority="164" dxfId="1">
      <formula>F499="PASS"</formula>
    </cfRule>
  </conditionalFormatting>
  <conditionalFormatting sqref="F500">
    <cfRule type="expression" priority="165" dxfId="0">
      <formula>F500="FAIL"</formula>
    </cfRule>
    <cfRule type="expression" priority="166" dxfId="1">
      <formula>F500="PASS"</formula>
    </cfRule>
  </conditionalFormatting>
  <conditionalFormatting sqref="F501">
    <cfRule type="expression" priority="167" dxfId="0">
      <formula>F501="FAIL"</formula>
    </cfRule>
    <cfRule type="expression" priority="168" dxfId="1">
      <formula>F501="PASS"</formula>
    </cfRule>
  </conditionalFormatting>
  <conditionalFormatting sqref="F571">
    <cfRule type="expression" priority="169" dxfId="0">
      <formula>F571="FAIL"</formula>
    </cfRule>
    <cfRule type="expression" priority="170" dxfId="1">
      <formula>F571="PASS"</formula>
    </cfRule>
  </conditionalFormatting>
  <conditionalFormatting sqref="F572">
    <cfRule type="expression" priority="171" dxfId="0">
      <formula>F572="FAIL"</formula>
    </cfRule>
    <cfRule type="expression" priority="172" dxfId="1">
      <formula>F572="PASS"</formula>
    </cfRule>
  </conditionalFormatting>
  <conditionalFormatting sqref="F573">
    <cfRule type="expression" priority="173" dxfId="0">
      <formula>F573="FAIL"</formula>
    </cfRule>
    <cfRule type="expression" priority="174" dxfId="1">
      <formula>F573="PASS"</formula>
    </cfRule>
  </conditionalFormatting>
  <conditionalFormatting sqref="F574">
    <cfRule type="expression" priority="175" dxfId="0">
      <formula>F574="FAIL"</formula>
    </cfRule>
    <cfRule type="expression" priority="176" dxfId="1">
      <formula>F574="PASS"</formula>
    </cfRule>
  </conditionalFormatting>
  <conditionalFormatting sqref="F575">
    <cfRule type="expression" priority="177" dxfId="0">
      <formula>F575="FAIL"</formula>
    </cfRule>
    <cfRule type="expression" priority="178" dxfId="1">
      <formula>F575="PASS"</formula>
    </cfRule>
  </conditionalFormatting>
  <conditionalFormatting sqref="F576">
    <cfRule type="expression" priority="179" dxfId="0">
      <formula>F576="FAIL"</formula>
    </cfRule>
    <cfRule type="expression" priority="180" dxfId="1">
      <formula>F576="PASS"</formula>
    </cfRule>
  </conditionalFormatting>
  <conditionalFormatting sqref="F577">
    <cfRule type="expression" priority="181" dxfId="0">
      <formula>F577="FAIL"</formula>
    </cfRule>
    <cfRule type="expression" priority="182" dxfId="1">
      <formula>F577="PASS"</formula>
    </cfRule>
  </conditionalFormatting>
  <conditionalFormatting sqref="F578">
    <cfRule type="expression" priority="183" dxfId="0">
      <formula>F578="FAIL"</formula>
    </cfRule>
    <cfRule type="expression" priority="184" dxfId="1">
      <formula>F578="PASS"</formula>
    </cfRule>
  </conditionalFormatting>
  <conditionalFormatting sqref="F579">
    <cfRule type="expression" priority="185" dxfId="0">
      <formula>F579="FAIL"</formula>
    </cfRule>
    <cfRule type="expression" priority="186" dxfId="1">
      <formula>F579="PASS"</formula>
    </cfRule>
  </conditionalFormatting>
  <conditionalFormatting sqref="F580">
    <cfRule type="expression" priority="187" dxfId="0">
      <formula>F580="FAIL"</formula>
    </cfRule>
    <cfRule type="expression" priority="188" dxfId="1">
      <formula>F580="PASS"</formula>
    </cfRule>
  </conditionalFormatting>
  <conditionalFormatting sqref="F581">
    <cfRule type="expression" priority="189" dxfId="0">
      <formula>F581="FAIL"</formula>
    </cfRule>
    <cfRule type="expression" priority="190" dxfId="1">
      <formula>F581="PASS"</formula>
    </cfRule>
  </conditionalFormatting>
  <conditionalFormatting sqref="F582">
    <cfRule type="expression" priority="191" dxfId="0">
      <formula>F582="FAIL"</formula>
    </cfRule>
    <cfRule type="expression" priority="192" dxfId="1">
      <formula>F582="PASS"</formula>
    </cfRule>
  </conditionalFormatting>
  <conditionalFormatting sqref="F583">
    <cfRule type="expression" priority="193" dxfId="0">
      <formula>F583="FAIL"</formula>
    </cfRule>
    <cfRule type="expression" priority="194" dxfId="1">
      <formula>F583="PASS"</formula>
    </cfRule>
  </conditionalFormatting>
  <conditionalFormatting sqref="F584">
    <cfRule type="expression" priority="195" dxfId="0">
      <formula>F584="FAIL"</formula>
    </cfRule>
    <cfRule type="expression" priority="196" dxfId="1">
      <formula>F584="PASS"</formula>
    </cfRule>
  </conditionalFormatting>
  <conditionalFormatting sqref="F654">
    <cfRule type="expression" priority="197" dxfId="0">
      <formula>F654="FAIL"</formula>
    </cfRule>
    <cfRule type="expression" priority="198" dxfId="1">
      <formula>F654="PASS"</formula>
    </cfRule>
  </conditionalFormatting>
  <conditionalFormatting sqref="F655">
    <cfRule type="expression" priority="199" dxfId="0">
      <formula>F655="FAIL"</formula>
    </cfRule>
    <cfRule type="expression" priority="200" dxfId="1">
      <formula>F655="PASS"</formula>
    </cfRule>
  </conditionalFormatting>
  <conditionalFormatting sqref="F656">
    <cfRule type="expression" priority="201" dxfId="0">
      <formula>F656="FAIL"</formula>
    </cfRule>
    <cfRule type="expression" priority="202" dxfId="1">
      <formula>F656="PASS"</formula>
    </cfRule>
  </conditionalFormatting>
  <conditionalFormatting sqref="F657">
    <cfRule type="expression" priority="203" dxfId="0">
      <formula>F657="FAIL"</formula>
    </cfRule>
    <cfRule type="expression" priority="204" dxfId="1">
      <formula>F657="PASS"</formula>
    </cfRule>
  </conditionalFormatting>
  <conditionalFormatting sqref="F658">
    <cfRule type="expression" priority="205" dxfId="0">
      <formula>F658="FAIL"</formula>
    </cfRule>
    <cfRule type="expression" priority="206" dxfId="1">
      <formula>F658="PASS"</formula>
    </cfRule>
  </conditionalFormatting>
  <conditionalFormatting sqref="F659">
    <cfRule type="expression" priority="207" dxfId="0">
      <formula>F659="FAIL"</formula>
    </cfRule>
    <cfRule type="expression" priority="208" dxfId="1">
      <formula>F659="PASS"</formula>
    </cfRule>
  </conditionalFormatting>
  <conditionalFormatting sqref="F660">
    <cfRule type="expression" priority="209" dxfId="0">
      <formula>F660="FAIL"</formula>
    </cfRule>
    <cfRule type="expression" priority="210" dxfId="1">
      <formula>F660="PASS"</formula>
    </cfRule>
  </conditionalFormatting>
  <conditionalFormatting sqref="F661">
    <cfRule type="expression" priority="211" dxfId="0">
      <formula>F661="FAIL"</formula>
    </cfRule>
    <cfRule type="expression" priority="212" dxfId="1">
      <formula>F661="PASS"</formula>
    </cfRule>
  </conditionalFormatting>
  <conditionalFormatting sqref="F662">
    <cfRule type="expression" priority="213" dxfId="0">
      <formula>F662="FAIL"</formula>
    </cfRule>
    <cfRule type="expression" priority="214" dxfId="1">
      <formula>F662="PASS"</formula>
    </cfRule>
  </conditionalFormatting>
  <conditionalFormatting sqref="F663">
    <cfRule type="expression" priority="215" dxfId="0">
      <formula>F663="FAIL"</formula>
    </cfRule>
    <cfRule type="expression" priority="216" dxfId="1">
      <formula>F663="PASS"</formula>
    </cfRule>
  </conditionalFormatting>
  <conditionalFormatting sqref="F664">
    <cfRule type="expression" priority="217" dxfId="0">
      <formula>F664="FAIL"</formula>
    </cfRule>
    <cfRule type="expression" priority="218" dxfId="1">
      <formula>F664="PASS"</formula>
    </cfRule>
  </conditionalFormatting>
  <conditionalFormatting sqref="F665">
    <cfRule type="expression" priority="219" dxfId="0">
      <formula>F665="FAIL"</formula>
    </cfRule>
    <cfRule type="expression" priority="220" dxfId="1">
      <formula>F665="PASS"</formula>
    </cfRule>
  </conditionalFormatting>
  <conditionalFormatting sqref="F666">
    <cfRule type="expression" priority="221" dxfId="0">
      <formula>F666="FAIL"</formula>
    </cfRule>
    <cfRule type="expression" priority="222" dxfId="1">
      <formula>F666="PASS"</formula>
    </cfRule>
  </conditionalFormatting>
  <conditionalFormatting sqref="F667">
    <cfRule type="expression" priority="223" dxfId="0">
      <formula>F667="FAIL"</formula>
    </cfRule>
    <cfRule type="expression" priority="224" dxfId="1">
      <formula>F667="PASS"</formula>
    </cfRule>
  </conditionalFormatting>
  <conditionalFormatting sqref="F737">
    <cfRule type="expression" priority="225" dxfId="0">
      <formula>F737="FAIL"</formula>
    </cfRule>
    <cfRule type="expression" priority="226" dxfId="1">
      <formula>F737="PASS"</formula>
    </cfRule>
  </conditionalFormatting>
  <conditionalFormatting sqref="F738">
    <cfRule type="expression" priority="227" dxfId="0">
      <formula>F738="FAIL"</formula>
    </cfRule>
    <cfRule type="expression" priority="228" dxfId="1">
      <formula>F738="PASS"</formula>
    </cfRule>
  </conditionalFormatting>
  <conditionalFormatting sqref="F739">
    <cfRule type="expression" priority="229" dxfId="0">
      <formula>F739="FAIL"</formula>
    </cfRule>
    <cfRule type="expression" priority="230" dxfId="1">
      <formula>F739="PASS"</formula>
    </cfRule>
  </conditionalFormatting>
  <conditionalFormatting sqref="F740">
    <cfRule type="expression" priority="231" dxfId="0">
      <formula>F740="FAIL"</formula>
    </cfRule>
    <cfRule type="expression" priority="232" dxfId="1">
      <formula>F740="PASS"</formula>
    </cfRule>
  </conditionalFormatting>
  <conditionalFormatting sqref="F741">
    <cfRule type="expression" priority="233" dxfId="0">
      <formula>F741="FAIL"</formula>
    </cfRule>
    <cfRule type="expression" priority="234" dxfId="1">
      <formula>F741="PASS"</formula>
    </cfRule>
  </conditionalFormatting>
  <conditionalFormatting sqref="F742">
    <cfRule type="expression" priority="235" dxfId="0">
      <formula>F742="FAIL"</formula>
    </cfRule>
    <cfRule type="expression" priority="236" dxfId="1">
      <formula>F742="PASS"</formula>
    </cfRule>
  </conditionalFormatting>
  <conditionalFormatting sqref="F743">
    <cfRule type="expression" priority="237" dxfId="0">
      <formula>F743="FAIL"</formula>
    </cfRule>
    <cfRule type="expression" priority="238" dxfId="1">
      <formula>F743="PASS"</formula>
    </cfRule>
  </conditionalFormatting>
  <conditionalFormatting sqref="F744">
    <cfRule type="expression" priority="239" dxfId="0">
      <formula>F744="FAIL"</formula>
    </cfRule>
    <cfRule type="expression" priority="240" dxfId="1">
      <formula>F744="PASS"</formula>
    </cfRule>
  </conditionalFormatting>
  <conditionalFormatting sqref="F745">
    <cfRule type="expression" priority="241" dxfId="0">
      <formula>F745="FAIL"</formula>
    </cfRule>
    <cfRule type="expression" priority="242" dxfId="1">
      <formula>F745="PASS"</formula>
    </cfRule>
  </conditionalFormatting>
  <conditionalFormatting sqref="F746">
    <cfRule type="expression" priority="243" dxfId="0">
      <formula>F746="FAIL"</formula>
    </cfRule>
    <cfRule type="expression" priority="244" dxfId="1">
      <formula>F746="PASS"</formula>
    </cfRule>
  </conditionalFormatting>
  <conditionalFormatting sqref="F747">
    <cfRule type="expression" priority="245" dxfId="0">
      <formula>F747="FAIL"</formula>
    </cfRule>
    <cfRule type="expression" priority="246" dxfId="1">
      <formula>F747="PASS"</formula>
    </cfRule>
  </conditionalFormatting>
  <conditionalFormatting sqref="F748">
    <cfRule type="expression" priority="247" dxfId="0">
      <formula>F748="FAIL"</formula>
    </cfRule>
    <cfRule type="expression" priority="248" dxfId="1">
      <formula>F748="PASS"</formula>
    </cfRule>
  </conditionalFormatting>
  <conditionalFormatting sqref="F749">
    <cfRule type="expression" priority="249" dxfId="0">
      <formula>F749="FAIL"</formula>
    </cfRule>
    <cfRule type="expression" priority="250" dxfId="1">
      <formula>F749="PASS"</formula>
    </cfRule>
  </conditionalFormatting>
  <conditionalFormatting sqref="F750">
    <cfRule type="expression" priority="251" dxfId="0">
      <formula>F750="FAIL"</formula>
    </cfRule>
    <cfRule type="expression" priority="252" dxfId="1">
      <formula>F750="PASS"</formula>
    </cfRule>
  </conditionalFormatting>
  <conditionalFormatting sqref="F820">
    <cfRule type="expression" priority="253" dxfId="0">
      <formula>F820="FAIL"</formula>
    </cfRule>
    <cfRule type="expression" priority="254" dxfId="1">
      <formula>F820="PASS"</formula>
    </cfRule>
  </conditionalFormatting>
  <conditionalFormatting sqref="F821">
    <cfRule type="expression" priority="255" dxfId="0">
      <formula>F821="FAIL"</formula>
    </cfRule>
    <cfRule type="expression" priority="256" dxfId="1">
      <formula>F821="PASS"</formula>
    </cfRule>
  </conditionalFormatting>
  <conditionalFormatting sqref="F822">
    <cfRule type="expression" priority="257" dxfId="0">
      <formula>F822="FAIL"</formula>
    </cfRule>
    <cfRule type="expression" priority="258" dxfId="1">
      <formula>F822="PASS"</formula>
    </cfRule>
  </conditionalFormatting>
  <conditionalFormatting sqref="F823">
    <cfRule type="expression" priority="259" dxfId="0">
      <formula>F823="FAIL"</formula>
    </cfRule>
    <cfRule type="expression" priority="260" dxfId="1">
      <formula>F823="PASS"</formula>
    </cfRule>
  </conditionalFormatting>
  <conditionalFormatting sqref="F824">
    <cfRule type="expression" priority="261" dxfId="0">
      <formula>F824="FAIL"</formula>
    </cfRule>
    <cfRule type="expression" priority="262" dxfId="1">
      <formula>F824="PASS"</formula>
    </cfRule>
  </conditionalFormatting>
  <conditionalFormatting sqref="F825">
    <cfRule type="expression" priority="263" dxfId="0">
      <formula>F825="FAIL"</formula>
    </cfRule>
    <cfRule type="expression" priority="264" dxfId="1">
      <formula>F825="PASS"</formula>
    </cfRule>
  </conditionalFormatting>
  <conditionalFormatting sqref="F826">
    <cfRule type="expression" priority="265" dxfId="0">
      <formula>F826="FAIL"</formula>
    </cfRule>
    <cfRule type="expression" priority="266" dxfId="1">
      <formula>F826="PASS"</formula>
    </cfRule>
  </conditionalFormatting>
  <conditionalFormatting sqref="F827">
    <cfRule type="expression" priority="267" dxfId="0">
      <formula>F827="FAIL"</formula>
    </cfRule>
    <cfRule type="expression" priority="268" dxfId="1">
      <formula>F827="PASS"</formula>
    </cfRule>
  </conditionalFormatting>
  <conditionalFormatting sqref="F828">
    <cfRule type="expression" priority="269" dxfId="0">
      <formula>F828="FAIL"</formula>
    </cfRule>
    <cfRule type="expression" priority="270" dxfId="1">
      <formula>F828="PASS"</formula>
    </cfRule>
  </conditionalFormatting>
  <conditionalFormatting sqref="F829">
    <cfRule type="expression" priority="271" dxfId="0">
      <formula>F829="FAIL"</formula>
    </cfRule>
    <cfRule type="expression" priority="272" dxfId="1">
      <formula>F829="PASS"</formula>
    </cfRule>
  </conditionalFormatting>
  <conditionalFormatting sqref="F830">
    <cfRule type="expression" priority="273" dxfId="0">
      <formula>F830="FAIL"</formula>
    </cfRule>
    <cfRule type="expression" priority="274" dxfId="1">
      <formula>F830="PASS"</formula>
    </cfRule>
  </conditionalFormatting>
  <conditionalFormatting sqref="F831">
    <cfRule type="expression" priority="275" dxfId="0">
      <formula>F831="FAIL"</formula>
    </cfRule>
    <cfRule type="expression" priority="276" dxfId="1">
      <formula>F831="PASS"</formula>
    </cfRule>
  </conditionalFormatting>
  <conditionalFormatting sqref="F832">
    <cfRule type="expression" priority="277" dxfId="0">
      <formula>F832="FAIL"</formula>
    </cfRule>
    <cfRule type="expression" priority="278" dxfId="1">
      <formula>F832="PASS"</formula>
    </cfRule>
  </conditionalFormatting>
  <conditionalFormatting sqref="F833">
    <cfRule type="expression" priority="279" dxfId="0">
      <formula>F833="FAIL"</formula>
    </cfRule>
    <cfRule type="expression" priority="280" dxfId="1">
      <formula>F833="PASS"</formula>
    </cfRule>
  </conditionalFormatting>
  <conditionalFormatting sqref="F903">
    <cfRule type="expression" priority="281" dxfId="0">
      <formula>F903="FAIL"</formula>
    </cfRule>
    <cfRule type="expression" priority="282" dxfId="1">
      <formula>F903="PASS"</formula>
    </cfRule>
  </conditionalFormatting>
  <conditionalFormatting sqref="F904">
    <cfRule type="expression" priority="283" dxfId="0">
      <formula>F904="FAIL"</formula>
    </cfRule>
    <cfRule type="expression" priority="284" dxfId="1">
      <formula>F904="PASS"</formula>
    </cfRule>
  </conditionalFormatting>
  <conditionalFormatting sqref="F905">
    <cfRule type="expression" priority="285" dxfId="0">
      <formula>F905="FAIL"</formula>
    </cfRule>
    <cfRule type="expression" priority="286" dxfId="1">
      <formula>F905="PASS"</formula>
    </cfRule>
  </conditionalFormatting>
  <conditionalFormatting sqref="F906">
    <cfRule type="expression" priority="287" dxfId="0">
      <formula>F906="FAIL"</formula>
    </cfRule>
    <cfRule type="expression" priority="288" dxfId="1">
      <formula>F906="PASS"</formula>
    </cfRule>
  </conditionalFormatting>
  <conditionalFormatting sqref="F907">
    <cfRule type="expression" priority="289" dxfId="0">
      <formula>F907="FAIL"</formula>
    </cfRule>
    <cfRule type="expression" priority="290" dxfId="1">
      <formula>F907="PASS"</formula>
    </cfRule>
  </conditionalFormatting>
  <conditionalFormatting sqref="F908">
    <cfRule type="expression" priority="291" dxfId="0">
      <formula>F908="FAIL"</formula>
    </cfRule>
    <cfRule type="expression" priority="292" dxfId="1">
      <formula>F908="PASS"</formula>
    </cfRule>
  </conditionalFormatting>
  <conditionalFormatting sqref="F909">
    <cfRule type="expression" priority="293" dxfId="0">
      <formula>F909="FAIL"</formula>
    </cfRule>
    <cfRule type="expression" priority="294" dxfId="1">
      <formula>F909="PASS"</formula>
    </cfRule>
  </conditionalFormatting>
  <conditionalFormatting sqref="F910">
    <cfRule type="expression" priority="295" dxfId="0">
      <formula>F910="FAIL"</formula>
    </cfRule>
    <cfRule type="expression" priority="296" dxfId="1">
      <formula>F910="PASS"</formula>
    </cfRule>
  </conditionalFormatting>
  <conditionalFormatting sqref="F911">
    <cfRule type="expression" priority="297" dxfId="0">
      <formula>F911="FAIL"</formula>
    </cfRule>
    <cfRule type="expression" priority="298" dxfId="1">
      <formula>F911="PASS"</formula>
    </cfRule>
  </conditionalFormatting>
  <conditionalFormatting sqref="F912">
    <cfRule type="expression" priority="299" dxfId="0">
      <formula>F912="FAIL"</formula>
    </cfRule>
    <cfRule type="expression" priority="300" dxfId="1">
      <formula>F912="PASS"</formula>
    </cfRule>
  </conditionalFormatting>
  <conditionalFormatting sqref="F913">
    <cfRule type="expression" priority="301" dxfId="0">
      <formula>F913="FAIL"</formula>
    </cfRule>
    <cfRule type="expression" priority="302" dxfId="1">
      <formula>F913="PASS"</formula>
    </cfRule>
  </conditionalFormatting>
  <conditionalFormatting sqref="F914">
    <cfRule type="expression" priority="303" dxfId="0">
      <formula>F914="FAIL"</formula>
    </cfRule>
    <cfRule type="expression" priority="304" dxfId="1">
      <formula>F914="PASS"</formula>
    </cfRule>
  </conditionalFormatting>
  <conditionalFormatting sqref="F915">
    <cfRule type="expression" priority="305" dxfId="0">
      <formula>F915="FAIL"</formula>
    </cfRule>
    <cfRule type="expression" priority="306" dxfId="1">
      <formula>F915="PASS"</formula>
    </cfRule>
  </conditionalFormatting>
  <conditionalFormatting sqref="F916">
    <cfRule type="expression" priority="307" dxfId="0">
      <formula>F916="FAIL"</formula>
    </cfRule>
    <cfRule type="expression" priority="308" dxfId="1">
      <formula>F916="PASS"</formula>
    </cfRule>
  </conditionalFormatting>
  <conditionalFormatting sqref="F986">
    <cfRule type="expression" priority="309" dxfId="0">
      <formula>F986="FAIL"</formula>
    </cfRule>
    <cfRule type="expression" priority="310" dxfId="1">
      <formula>F986="PASS"</formula>
    </cfRule>
  </conditionalFormatting>
  <conditionalFormatting sqref="F987">
    <cfRule type="expression" priority="311" dxfId="0">
      <formula>F987="FAIL"</formula>
    </cfRule>
    <cfRule type="expression" priority="312" dxfId="1">
      <formula>F987="PASS"</formula>
    </cfRule>
  </conditionalFormatting>
  <conditionalFormatting sqref="F988">
    <cfRule type="expression" priority="313" dxfId="0">
      <formula>F988="FAIL"</formula>
    </cfRule>
    <cfRule type="expression" priority="314" dxfId="1">
      <formula>F988="PASS"</formula>
    </cfRule>
  </conditionalFormatting>
  <conditionalFormatting sqref="F989">
    <cfRule type="expression" priority="315" dxfId="0">
      <formula>F989="FAIL"</formula>
    </cfRule>
    <cfRule type="expression" priority="316" dxfId="1">
      <formula>F989="PASS"</formula>
    </cfRule>
  </conditionalFormatting>
  <conditionalFormatting sqref="F990">
    <cfRule type="expression" priority="317" dxfId="0">
      <formula>F990="FAIL"</formula>
    </cfRule>
    <cfRule type="expression" priority="318" dxfId="1">
      <formula>F990="PASS"</formula>
    </cfRule>
  </conditionalFormatting>
  <conditionalFormatting sqref="F991">
    <cfRule type="expression" priority="319" dxfId="0">
      <formula>F991="FAIL"</formula>
    </cfRule>
    <cfRule type="expression" priority="320" dxfId="1">
      <formula>F991="PASS"</formula>
    </cfRule>
  </conditionalFormatting>
  <conditionalFormatting sqref="F992">
    <cfRule type="expression" priority="321" dxfId="0">
      <formula>F992="FAIL"</formula>
    </cfRule>
    <cfRule type="expression" priority="322" dxfId="1">
      <formula>F992="PASS"</formula>
    </cfRule>
  </conditionalFormatting>
  <conditionalFormatting sqref="F993">
    <cfRule type="expression" priority="323" dxfId="0">
      <formula>F993="FAIL"</formula>
    </cfRule>
    <cfRule type="expression" priority="324" dxfId="1">
      <formula>F993="PASS"</formula>
    </cfRule>
  </conditionalFormatting>
  <conditionalFormatting sqref="F994">
    <cfRule type="expression" priority="325" dxfId="0">
      <formula>F994="FAIL"</formula>
    </cfRule>
    <cfRule type="expression" priority="326" dxfId="1">
      <formula>F994="PASS"</formula>
    </cfRule>
  </conditionalFormatting>
  <conditionalFormatting sqref="F995">
    <cfRule type="expression" priority="327" dxfId="0">
      <formula>F995="FAIL"</formula>
    </cfRule>
    <cfRule type="expression" priority="328" dxfId="1">
      <formula>F995="PASS"</formula>
    </cfRule>
  </conditionalFormatting>
  <conditionalFormatting sqref="F996">
    <cfRule type="expression" priority="329" dxfId="0">
      <formula>F996="FAIL"</formula>
    </cfRule>
    <cfRule type="expression" priority="330" dxfId="1">
      <formula>F996="PASS"</formula>
    </cfRule>
  </conditionalFormatting>
  <conditionalFormatting sqref="F997">
    <cfRule type="expression" priority="331" dxfId="0">
      <formula>F997="FAIL"</formula>
    </cfRule>
    <cfRule type="expression" priority="332" dxfId="1">
      <formula>F997="PASS"</formula>
    </cfRule>
  </conditionalFormatting>
  <conditionalFormatting sqref="F998">
    <cfRule type="expression" priority="333" dxfId="0">
      <formula>F998="FAIL"</formula>
    </cfRule>
    <cfRule type="expression" priority="334" dxfId="1">
      <formula>F998="PASS"</formula>
    </cfRule>
  </conditionalFormatting>
  <conditionalFormatting sqref="F999">
    <cfRule type="expression" priority="335" dxfId="0">
      <formula>F999="FAIL"</formula>
    </cfRule>
    <cfRule type="expression" priority="336" dxfId="1">
      <formula>F999="PASS"</formula>
    </cfRule>
  </conditionalFormatting>
  <conditionalFormatting sqref="F1069">
    <cfRule type="expression" priority="337" dxfId="0">
      <formula>F1069="FAIL"</formula>
    </cfRule>
    <cfRule type="expression" priority="338" dxfId="1">
      <formula>F1069="PASS"</formula>
    </cfRule>
  </conditionalFormatting>
  <conditionalFormatting sqref="F1070">
    <cfRule type="expression" priority="339" dxfId="0">
      <formula>F1070="FAIL"</formula>
    </cfRule>
    <cfRule type="expression" priority="340" dxfId="1">
      <formula>F1070="PASS"</formula>
    </cfRule>
  </conditionalFormatting>
  <conditionalFormatting sqref="F1071">
    <cfRule type="expression" priority="341" dxfId="0">
      <formula>F1071="FAIL"</formula>
    </cfRule>
    <cfRule type="expression" priority="342" dxfId="1">
      <formula>F1071="PASS"</formula>
    </cfRule>
  </conditionalFormatting>
  <conditionalFormatting sqref="F1072">
    <cfRule type="expression" priority="343" dxfId="0">
      <formula>F1072="FAIL"</formula>
    </cfRule>
    <cfRule type="expression" priority="344" dxfId="1">
      <formula>F1072="PASS"</formula>
    </cfRule>
  </conditionalFormatting>
  <conditionalFormatting sqref="F1073">
    <cfRule type="expression" priority="345" dxfId="0">
      <formula>F1073="FAIL"</formula>
    </cfRule>
    <cfRule type="expression" priority="346" dxfId="1">
      <formula>F1073="PASS"</formula>
    </cfRule>
  </conditionalFormatting>
  <conditionalFormatting sqref="F1074">
    <cfRule type="expression" priority="347" dxfId="0">
      <formula>F1074="FAIL"</formula>
    </cfRule>
    <cfRule type="expression" priority="348" dxfId="1">
      <formula>F1074="PASS"</formula>
    </cfRule>
  </conditionalFormatting>
  <conditionalFormatting sqref="F1075">
    <cfRule type="expression" priority="349" dxfId="0">
      <formula>F1075="FAIL"</formula>
    </cfRule>
    <cfRule type="expression" priority="350" dxfId="1">
      <formula>F1075="PASS"</formula>
    </cfRule>
  </conditionalFormatting>
  <conditionalFormatting sqref="F1076">
    <cfRule type="expression" priority="351" dxfId="0">
      <formula>F1076="FAIL"</formula>
    </cfRule>
    <cfRule type="expression" priority="352" dxfId="1">
      <formula>F1076="PASS"</formula>
    </cfRule>
  </conditionalFormatting>
  <conditionalFormatting sqref="F1077">
    <cfRule type="expression" priority="353" dxfId="0">
      <formula>F1077="FAIL"</formula>
    </cfRule>
    <cfRule type="expression" priority="354" dxfId="1">
      <formula>F1077="PASS"</formula>
    </cfRule>
  </conditionalFormatting>
  <conditionalFormatting sqref="F1078">
    <cfRule type="expression" priority="355" dxfId="0">
      <formula>F1078="FAIL"</formula>
    </cfRule>
    <cfRule type="expression" priority="356" dxfId="1">
      <formula>F1078="PASS"</formula>
    </cfRule>
  </conditionalFormatting>
  <conditionalFormatting sqref="F1079">
    <cfRule type="expression" priority="357" dxfId="0">
      <formula>F1079="FAIL"</formula>
    </cfRule>
    <cfRule type="expression" priority="358" dxfId="1">
      <formula>F1079="PASS"</formula>
    </cfRule>
  </conditionalFormatting>
  <conditionalFormatting sqref="F1080">
    <cfRule type="expression" priority="359" dxfId="0">
      <formula>F1080="FAIL"</formula>
    </cfRule>
    <cfRule type="expression" priority="360" dxfId="1">
      <formula>F1080="PASS"</formula>
    </cfRule>
  </conditionalFormatting>
  <conditionalFormatting sqref="F1081">
    <cfRule type="expression" priority="361" dxfId="0">
      <formula>F1081="FAIL"</formula>
    </cfRule>
    <cfRule type="expression" priority="362" dxfId="1">
      <formula>F1081="PASS"</formula>
    </cfRule>
  </conditionalFormatting>
  <conditionalFormatting sqref="F1082">
    <cfRule type="expression" priority="363" dxfId="0">
      <formula>F1082="FAIL"</formula>
    </cfRule>
    <cfRule type="expression" priority="364" dxfId="1">
      <formula>F1082="PASS"</formula>
    </cfRule>
  </conditionalFormatting>
  <conditionalFormatting sqref="F1152">
    <cfRule type="expression" priority="365" dxfId="0">
      <formula>F1152="FAIL"</formula>
    </cfRule>
    <cfRule type="expression" priority="366" dxfId="1">
      <formula>F1152="PASS"</formula>
    </cfRule>
  </conditionalFormatting>
  <conditionalFormatting sqref="F1153">
    <cfRule type="expression" priority="367" dxfId="0">
      <formula>F1153="FAIL"</formula>
    </cfRule>
    <cfRule type="expression" priority="368" dxfId="1">
      <formula>F1153="PASS"</formula>
    </cfRule>
  </conditionalFormatting>
  <conditionalFormatting sqref="F1154">
    <cfRule type="expression" priority="369" dxfId="0">
      <formula>F1154="FAIL"</formula>
    </cfRule>
    <cfRule type="expression" priority="370" dxfId="1">
      <formula>F1154="PASS"</formula>
    </cfRule>
  </conditionalFormatting>
  <conditionalFormatting sqref="F1155">
    <cfRule type="expression" priority="371" dxfId="0">
      <formula>F1155="FAIL"</formula>
    </cfRule>
    <cfRule type="expression" priority="372" dxfId="1">
      <formula>F1155="PASS"</formula>
    </cfRule>
  </conditionalFormatting>
  <conditionalFormatting sqref="F1156">
    <cfRule type="expression" priority="373" dxfId="0">
      <formula>F1156="FAIL"</formula>
    </cfRule>
    <cfRule type="expression" priority="374" dxfId="1">
      <formula>F1156="PASS"</formula>
    </cfRule>
  </conditionalFormatting>
  <conditionalFormatting sqref="F1157">
    <cfRule type="expression" priority="375" dxfId="0">
      <formula>F1157="FAIL"</formula>
    </cfRule>
    <cfRule type="expression" priority="376" dxfId="1">
      <formula>F1157="PASS"</formula>
    </cfRule>
  </conditionalFormatting>
  <conditionalFormatting sqref="F1158">
    <cfRule type="expression" priority="377" dxfId="0">
      <formula>F1158="FAIL"</formula>
    </cfRule>
    <cfRule type="expression" priority="378" dxfId="1">
      <formula>F1158="PASS"</formula>
    </cfRule>
  </conditionalFormatting>
  <conditionalFormatting sqref="F1159">
    <cfRule type="expression" priority="379" dxfId="0">
      <formula>F1159="FAIL"</formula>
    </cfRule>
    <cfRule type="expression" priority="380" dxfId="1">
      <formula>F1159="PASS"</formula>
    </cfRule>
  </conditionalFormatting>
  <conditionalFormatting sqref="F1160">
    <cfRule type="expression" priority="381" dxfId="0">
      <formula>F1160="FAIL"</formula>
    </cfRule>
    <cfRule type="expression" priority="382" dxfId="1">
      <formula>F1160="PASS"</formula>
    </cfRule>
  </conditionalFormatting>
  <conditionalFormatting sqref="F1161">
    <cfRule type="expression" priority="383" dxfId="0">
      <formula>F1161="FAIL"</formula>
    </cfRule>
    <cfRule type="expression" priority="384" dxfId="1">
      <formula>F1161="PASS"</formula>
    </cfRule>
  </conditionalFormatting>
  <conditionalFormatting sqref="F1162">
    <cfRule type="expression" priority="385" dxfId="0">
      <formula>F1162="FAIL"</formula>
    </cfRule>
    <cfRule type="expression" priority="386" dxfId="1">
      <formula>F1162="PASS"</formula>
    </cfRule>
  </conditionalFormatting>
  <conditionalFormatting sqref="F1163">
    <cfRule type="expression" priority="387" dxfId="0">
      <formula>F1163="FAIL"</formula>
    </cfRule>
    <cfRule type="expression" priority="388" dxfId="1">
      <formula>F1163="PASS"</formula>
    </cfRule>
  </conditionalFormatting>
  <conditionalFormatting sqref="F1164">
    <cfRule type="expression" priority="389" dxfId="0">
      <formula>F1164="FAIL"</formula>
    </cfRule>
    <cfRule type="expression" priority="390" dxfId="1">
      <formula>F1164="PASS"</formula>
    </cfRule>
  </conditionalFormatting>
  <conditionalFormatting sqref="F1165">
    <cfRule type="expression" priority="391" dxfId="0">
      <formula>F1165="FAIL"</formula>
    </cfRule>
    <cfRule type="expression" priority="392" dxfId="1">
      <formula>F1165="PASS"</formula>
    </cfRule>
  </conditionalFormatting>
  <conditionalFormatting sqref="F1235">
    <cfRule type="expression" priority="393" dxfId="0">
      <formula>F1235="FAIL"</formula>
    </cfRule>
    <cfRule type="expression" priority="394" dxfId="1">
      <formula>F1235="PASS"</formula>
    </cfRule>
  </conditionalFormatting>
  <conditionalFormatting sqref="F1236">
    <cfRule type="expression" priority="395" dxfId="0">
      <formula>F1236="FAIL"</formula>
    </cfRule>
    <cfRule type="expression" priority="396" dxfId="1">
      <formula>F1236="PASS"</formula>
    </cfRule>
  </conditionalFormatting>
  <conditionalFormatting sqref="F1237">
    <cfRule type="expression" priority="397" dxfId="0">
      <formula>F1237="FAIL"</formula>
    </cfRule>
    <cfRule type="expression" priority="398" dxfId="1">
      <formula>F1237="PASS"</formula>
    </cfRule>
  </conditionalFormatting>
  <conditionalFormatting sqref="F1238">
    <cfRule type="expression" priority="399" dxfId="0">
      <formula>F1238="FAIL"</formula>
    </cfRule>
    <cfRule type="expression" priority="400" dxfId="1">
      <formula>F1238="PASS"</formula>
    </cfRule>
  </conditionalFormatting>
  <conditionalFormatting sqref="F1239">
    <cfRule type="expression" priority="401" dxfId="0">
      <formula>F1239="FAIL"</formula>
    </cfRule>
    <cfRule type="expression" priority="402" dxfId="1">
      <formula>F1239="PASS"</formula>
    </cfRule>
  </conditionalFormatting>
  <conditionalFormatting sqref="F1240">
    <cfRule type="expression" priority="403" dxfId="0">
      <formula>F1240="FAIL"</formula>
    </cfRule>
    <cfRule type="expression" priority="404" dxfId="1">
      <formula>F1240="PASS"</formula>
    </cfRule>
  </conditionalFormatting>
  <conditionalFormatting sqref="F1241">
    <cfRule type="expression" priority="405" dxfId="0">
      <formula>F1241="FAIL"</formula>
    </cfRule>
    <cfRule type="expression" priority="406" dxfId="1">
      <formula>F1241="PASS"</formula>
    </cfRule>
  </conditionalFormatting>
  <conditionalFormatting sqref="F1242">
    <cfRule type="expression" priority="407" dxfId="0">
      <formula>F1242="FAIL"</formula>
    </cfRule>
    <cfRule type="expression" priority="408" dxfId="1">
      <formula>F1242="PASS"</formula>
    </cfRule>
  </conditionalFormatting>
  <conditionalFormatting sqref="F1243">
    <cfRule type="expression" priority="409" dxfId="0">
      <formula>F1243="FAIL"</formula>
    </cfRule>
    <cfRule type="expression" priority="410" dxfId="1">
      <formula>F1243="PASS"</formula>
    </cfRule>
  </conditionalFormatting>
  <conditionalFormatting sqref="F1244">
    <cfRule type="expression" priority="411" dxfId="0">
      <formula>F1244="FAIL"</formula>
    </cfRule>
    <cfRule type="expression" priority="412" dxfId="1">
      <formula>F1244="PASS"</formula>
    </cfRule>
  </conditionalFormatting>
  <conditionalFormatting sqref="F1245">
    <cfRule type="expression" priority="413" dxfId="0">
      <formula>F1245="FAIL"</formula>
    </cfRule>
    <cfRule type="expression" priority="414" dxfId="1">
      <formula>F1245="PASS"</formula>
    </cfRule>
  </conditionalFormatting>
  <conditionalFormatting sqref="F1246">
    <cfRule type="expression" priority="415" dxfId="0">
      <formula>F1246="FAIL"</formula>
    </cfRule>
    <cfRule type="expression" priority="416" dxfId="1">
      <formula>F1246="PASS"</formula>
    </cfRule>
  </conditionalFormatting>
  <conditionalFormatting sqref="F1247">
    <cfRule type="expression" priority="417" dxfId="0">
      <formula>F1247="FAIL"</formula>
    </cfRule>
    <cfRule type="expression" priority="418" dxfId="1">
      <formula>F1247="PASS"</formula>
    </cfRule>
  </conditionalFormatting>
  <conditionalFormatting sqref="F1248">
    <cfRule type="expression" priority="419" dxfId="0">
      <formula>F1248="FAIL"</formula>
    </cfRule>
    <cfRule type="expression" priority="420" dxfId="1">
      <formula>F1248="PASS"</formula>
    </cfRule>
  </conditionalFormatting>
  <conditionalFormatting sqref="F1318">
    <cfRule type="expression" priority="421" dxfId="0">
      <formula>F1318="FAIL"</formula>
    </cfRule>
    <cfRule type="expression" priority="422" dxfId="1">
      <formula>F1318="PASS"</formula>
    </cfRule>
  </conditionalFormatting>
  <conditionalFormatting sqref="F1319">
    <cfRule type="expression" priority="423" dxfId="0">
      <formula>F1319="FAIL"</formula>
    </cfRule>
    <cfRule type="expression" priority="424" dxfId="1">
      <formula>F1319="PASS"</formula>
    </cfRule>
  </conditionalFormatting>
  <conditionalFormatting sqref="F1320">
    <cfRule type="expression" priority="425" dxfId="0">
      <formula>F1320="FAIL"</formula>
    </cfRule>
    <cfRule type="expression" priority="426" dxfId="1">
      <formula>F1320="PASS"</formula>
    </cfRule>
  </conditionalFormatting>
  <conditionalFormatting sqref="F1321">
    <cfRule type="expression" priority="427" dxfId="0">
      <formula>F1321="FAIL"</formula>
    </cfRule>
    <cfRule type="expression" priority="428" dxfId="1">
      <formula>F1321="PASS"</formula>
    </cfRule>
  </conditionalFormatting>
  <conditionalFormatting sqref="F1322">
    <cfRule type="expression" priority="429" dxfId="0">
      <formula>F1322="FAIL"</formula>
    </cfRule>
    <cfRule type="expression" priority="430" dxfId="1">
      <formula>F1322="PASS"</formula>
    </cfRule>
  </conditionalFormatting>
  <conditionalFormatting sqref="F1323">
    <cfRule type="expression" priority="431" dxfId="0">
      <formula>F1323="FAIL"</formula>
    </cfRule>
    <cfRule type="expression" priority="432" dxfId="1">
      <formula>F1323="PASS"</formula>
    </cfRule>
  </conditionalFormatting>
  <conditionalFormatting sqref="F1324">
    <cfRule type="expression" priority="433" dxfId="0">
      <formula>F1324="FAIL"</formula>
    </cfRule>
    <cfRule type="expression" priority="434" dxfId="1">
      <formula>F1324="PASS"</formula>
    </cfRule>
  </conditionalFormatting>
  <conditionalFormatting sqref="F1325">
    <cfRule type="expression" priority="435" dxfId="0">
      <formula>F1325="FAIL"</formula>
    </cfRule>
    <cfRule type="expression" priority="436" dxfId="1">
      <formula>F1325="PASS"</formula>
    </cfRule>
  </conditionalFormatting>
  <conditionalFormatting sqref="F1326">
    <cfRule type="expression" priority="437" dxfId="0">
      <formula>F1326="FAIL"</formula>
    </cfRule>
    <cfRule type="expression" priority="438" dxfId="1">
      <formula>F1326="PASS"</formula>
    </cfRule>
  </conditionalFormatting>
  <conditionalFormatting sqref="F1327">
    <cfRule type="expression" priority="439" dxfId="0">
      <formula>F1327="FAIL"</formula>
    </cfRule>
    <cfRule type="expression" priority="440" dxfId="1">
      <formula>F1327="PASS"</formula>
    </cfRule>
  </conditionalFormatting>
  <conditionalFormatting sqref="F1328">
    <cfRule type="expression" priority="441" dxfId="0">
      <formula>F1328="FAIL"</formula>
    </cfRule>
    <cfRule type="expression" priority="442" dxfId="1">
      <formula>F1328="PASS"</formula>
    </cfRule>
  </conditionalFormatting>
  <conditionalFormatting sqref="F1329">
    <cfRule type="expression" priority="443" dxfId="0">
      <formula>F1329="FAIL"</formula>
    </cfRule>
    <cfRule type="expression" priority="444" dxfId="1">
      <formula>F1329="PASS"</formula>
    </cfRule>
  </conditionalFormatting>
  <conditionalFormatting sqref="F1330">
    <cfRule type="expression" priority="445" dxfId="0">
      <formula>F1330="FAIL"</formula>
    </cfRule>
    <cfRule type="expression" priority="446" dxfId="1">
      <formula>F1330="PASS"</formula>
    </cfRule>
  </conditionalFormatting>
  <conditionalFormatting sqref="F1331">
    <cfRule type="expression" priority="447" dxfId="0">
      <formula>F1331="FAIL"</formula>
    </cfRule>
    <cfRule type="expression" priority="448" dxfId="1">
      <formula>F1331="PASS"</formula>
    </cfRule>
  </conditionalFormatting>
  <conditionalFormatting sqref="F1401">
    <cfRule type="expression" priority="449" dxfId="0">
      <formula>F1401="FAIL"</formula>
    </cfRule>
    <cfRule type="expression" priority="450" dxfId="1">
      <formula>F1401="PASS"</formula>
    </cfRule>
  </conditionalFormatting>
  <conditionalFormatting sqref="F1402">
    <cfRule type="expression" priority="451" dxfId="0">
      <formula>F1402="FAIL"</formula>
    </cfRule>
    <cfRule type="expression" priority="452" dxfId="1">
      <formula>F1402="PASS"</formula>
    </cfRule>
  </conditionalFormatting>
  <conditionalFormatting sqref="F1403">
    <cfRule type="expression" priority="453" dxfId="0">
      <formula>F1403="FAIL"</formula>
    </cfRule>
    <cfRule type="expression" priority="454" dxfId="1">
      <formula>F1403="PASS"</formula>
    </cfRule>
  </conditionalFormatting>
  <conditionalFormatting sqref="F1404">
    <cfRule type="expression" priority="455" dxfId="0">
      <formula>F1404="FAIL"</formula>
    </cfRule>
    <cfRule type="expression" priority="456" dxfId="1">
      <formula>F1404="PASS"</formula>
    </cfRule>
  </conditionalFormatting>
  <conditionalFormatting sqref="F1405">
    <cfRule type="expression" priority="457" dxfId="0">
      <formula>F1405="FAIL"</formula>
    </cfRule>
    <cfRule type="expression" priority="458" dxfId="1">
      <formula>F1405="PASS"</formula>
    </cfRule>
  </conditionalFormatting>
  <conditionalFormatting sqref="F1406">
    <cfRule type="expression" priority="459" dxfId="0">
      <formula>F1406="FAIL"</formula>
    </cfRule>
    <cfRule type="expression" priority="460" dxfId="1">
      <formula>F1406="PASS"</formula>
    </cfRule>
  </conditionalFormatting>
  <conditionalFormatting sqref="F1407">
    <cfRule type="expression" priority="461" dxfId="0">
      <formula>F1407="FAIL"</formula>
    </cfRule>
    <cfRule type="expression" priority="462" dxfId="1">
      <formula>F1407="PASS"</formula>
    </cfRule>
  </conditionalFormatting>
  <conditionalFormatting sqref="F1408">
    <cfRule type="expression" priority="463" dxfId="0">
      <formula>F1408="FAIL"</formula>
    </cfRule>
    <cfRule type="expression" priority="464" dxfId="1">
      <formula>F1408="PASS"</formula>
    </cfRule>
  </conditionalFormatting>
  <conditionalFormatting sqref="F1409">
    <cfRule type="expression" priority="465" dxfId="0">
      <formula>F1409="FAIL"</formula>
    </cfRule>
    <cfRule type="expression" priority="466" dxfId="1">
      <formula>F1409="PASS"</formula>
    </cfRule>
  </conditionalFormatting>
  <conditionalFormatting sqref="F1410">
    <cfRule type="expression" priority="467" dxfId="0">
      <formula>F1410="FAIL"</formula>
    </cfRule>
    <cfRule type="expression" priority="468" dxfId="1">
      <formula>F1410="PASS"</formula>
    </cfRule>
  </conditionalFormatting>
  <conditionalFormatting sqref="F1411">
    <cfRule type="expression" priority="469" dxfId="0">
      <formula>F1411="FAIL"</formula>
    </cfRule>
    <cfRule type="expression" priority="470" dxfId="1">
      <formula>F1411="PASS"</formula>
    </cfRule>
  </conditionalFormatting>
  <conditionalFormatting sqref="F1412">
    <cfRule type="expression" priority="471" dxfId="0">
      <formula>F1412="FAIL"</formula>
    </cfRule>
    <cfRule type="expression" priority="472" dxfId="1">
      <formula>F1412="PASS"</formula>
    </cfRule>
  </conditionalFormatting>
  <conditionalFormatting sqref="F1413">
    <cfRule type="expression" priority="473" dxfId="0">
      <formula>F1413="FAIL"</formula>
    </cfRule>
    <cfRule type="expression" priority="474" dxfId="1">
      <formula>F1413="PASS"</formula>
    </cfRule>
  </conditionalFormatting>
  <conditionalFormatting sqref="F1414">
    <cfRule type="expression" priority="475" dxfId="0">
      <formula>F1414="FAIL"</formula>
    </cfRule>
    <cfRule type="expression" priority="476" dxfId="1">
      <formula>F1414="PASS"</formula>
    </cfRule>
  </conditionalFormatting>
  <conditionalFormatting sqref="F1484">
    <cfRule type="expression" priority="477" dxfId="0">
      <formula>F1484="FAIL"</formula>
    </cfRule>
    <cfRule type="expression" priority="478" dxfId="1">
      <formula>F1484="PASS"</formula>
    </cfRule>
  </conditionalFormatting>
  <conditionalFormatting sqref="F1485">
    <cfRule type="expression" priority="479" dxfId="0">
      <formula>F1485="FAIL"</formula>
    </cfRule>
    <cfRule type="expression" priority="480" dxfId="1">
      <formula>F1485="PASS"</formula>
    </cfRule>
  </conditionalFormatting>
  <conditionalFormatting sqref="F1486">
    <cfRule type="expression" priority="481" dxfId="0">
      <formula>F1486="FAIL"</formula>
    </cfRule>
    <cfRule type="expression" priority="482" dxfId="1">
      <formula>F1486="PASS"</formula>
    </cfRule>
  </conditionalFormatting>
  <conditionalFormatting sqref="F1487">
    <cfRule type="expression" priority="483" dxfId="0">
      <formula>F1487="FAIL"</formula>
    </cfRule>
    <cfRule type="expression" priority="484" dxfId="1">
      <formula>F1487="PASS"</formula>
    </cfRule>
  </conditionalFormatting>
  <conditionalFormatting sqref="F1488">
    <cfRule type="expression" priority="485" dxfId="0">
      <formula>F1488="FAIL"</formula>
    </cfRule>
    <cfRule type="expression" priority="486" dxfId="1">
      <formula>F1488="PASS"</formula>
    </cfRule>
  </conditionalFormatting>
  <conditionalFormatting sqref="F1489">
    <cfRule type="expression" priority="487" dxfId="0">
      <formula>F1489="FAIL"</formula>
    </cfRule>
    <cfRule type="expression" priority="488" dxfId="1">
      <formula>F1489="PASS"</formula>
    </cfRule>
  </conditionalFormatting>
  <conditionalFormatting sqref="F1490">
    <cfRule type="expression" priority="489" dxfId="0">
      <formula>F1490="FAIL"</formula>
    </cfRule>
    <cfRule type="expression" priority="490" dxfId="1">
      <formula>F1490="PASS"</formula>
    </cfRule>
  </conditionalFormatting>
  <conditionalFormatting sqref="F1491">
    <cfRule type="expression" priority="491" dxfId="0">
      <formula>F1491="FAIL"</formula>
    </cfRule>
    <cfRule type="expression" priority="492" dxfId="1">
      <formula>F1491="PASS"</formula>
    </cfRule>
  </conditionalFormatting>
  <conditionalFormatting sqref="F1492">
    <cfRule type="expression" priority="493" dxfId="0">
      <formula>F1492="FAIL"</formula>
    </cfRule>
    <cfRule type="expression" priority="494" dxfId="1">
      <formula>F1492="PASS"</formula>
    </cfRule>
  </conditionalFormatting>
  <conditionalFormatting sqref="F1493">
    <cfRule type="expression" priority="495" dxfId="0">
      <formula>F1493="FAIL"</formula>
    </cfRule>
    <cfRule type="expression" priority="496" dxfId="1">
      <formula>F1493="PASS"</formula>
    </cfRule>
  </conditionalFormatting>
  <conditionalFormatting sqref="F1494">
    <cfRule type="expression" priority="497" dxfId="0">
      <formula>F1494="FAIL"</formula>
    </cfRule>
    <cfRule type="expression" priority="498" dxfId="1">
      <formula>F1494="PASS"</formula>
    </cfRule>
  </conditionalFormatting>
  <conditionalFormatting sqref="F1495">
    <cfRule type="expression" priority="499" dxfId="0">
      <formula>F1495="FAIL"</formula>
    </cfRule>
    <cfRule type="expression" priority="500" dxfId="1">
      <formula>F1495="PASS"</formula>
    </cfRule>
  </conditionalFormatting>
  <conditionalFormatting sqref="F1496">
    <cfRule type="expression" priority="501" dxfId="0">
      <formula>F1496="FAIL"</formula>
    </cfRule>
    <cfRule type="expression" priority="502" dxfId="1">
      <formula>F1496="PASS"</formula>
    </cfRule>
  </conditionalFormatting>
  <conditionalFormatting sqref="F1497">
    <cfRule type="expression" priority="503" dxfId="0">
      <formula>F1497="FAIL"</formula>
    </cfRule>
    <cfRule type="expression" priority="504" dxfId="1">
      <formula>F1497="PASS"</formula>
    </cfRule>
  </conditionalFormatting>
  <conditionalFormatting sqref="F1567">
    <cfRule type="expression" priority="505" dxfId="0">
      <formula>F1567="FAIL"</formula>
    </cfRule>
    <cfRule type="expression" priority="506" dxfId="1">
      <formula>F1567="PASS"</formula>
    </cfRule>
  </conditionalFormatting>
  <conditionalFormatting sqref="F1568">
    <cfRule type="expression" priority="507" dxfId="0">
      <formula>F1568="FAIL"</formula>
    </cfRule>
    <cfRule type="expression" priority="508" dxfId="1">
      <formula>F1568="PASS"</formula>
    </cfRule>
  </conditionalFormatting>
  <conditionalFormatting sqref="F1569">
    <cfRule type="expression" priority="509" dxfId="0">
      <formula>F1569="FAIL"</formula>
    </cfRule>
    <cfRule type="expression" priority="510" dxfId="1">
      <formula>F1569="PASS"</formula>
    </cfRule>
  </conditionalFormatting>
  <conditionalFormatting sqref="F1570">
    <cfRule type="expression" priority="511" dxfId="0">
      <formula>F1570="FAIL"</formula>
    </cfRule>
    <cfRule type="expression" priority="512" dxfId="1">
      <formula>F1570="PASS"</formula>
    </cfRule>
  </conditionalFormatting>
  <conditionalFormatting sqref="F1571">
    <cfRule type="expression" priority="513" dxfId="0">
      <formula>F1571="FAIL"</formula>
    </cfRule>
    <cfRule type="expression" priority="514" dxfId="1">
      <formula>F1571="PASS"</formula>
    </cfRule>
  </conditionalFormatting>
  <conditionalFormatting sqref="F1572">
    <cfRule type="expression" priority="515" dxfId="0">
      <formula>F1572="FAIL"</formula>
    </cfRule>
    <cfRule type="expression" priority="516" dxfId="1">
      <formula>F1572="PASS"</formula>
    </cfRule>
  </conditionalFormatting>
  <conditionalFormatting sqref="F1573">
    <cfRule type="expression" priority="517" dxfId="0">
      <formula>F1573="FAIL"</formula>
    </cfRule>
    <cfRule type="expression" priority="518" dxfId="1">
      <formula>F1573="PASS"</formula>
    </cfRule>
  </conditionalFormatting>
  <conditionalFormatting sqref="F1574">
    <cfRule type="expression" priority="519" dxfId="0">
      <formula>F1574="FAIL"</formula>
    </cfRule>
    <cfRule type="expression" priority="520" dxfId="1">
      <formula>F1574="PASS"</formula>
    </cfRule>
  </conditionalFormatting>
  <conditionalFormatting sqref="F1575">
    <cfRule type="expression" priority="521" dxfId="0">
      <formula>F1575="FAIL"</formula>
    </cfRule>
    <cfRule type="expression" priority="522" dxfId="1">
      <formula>F1575="PASS"</formula>
    </cfRule>
  </conditionalFormatting>
  <conditionalFormatting sqref="F1576">
    <cfRule type="expression" priority="523" dxfId="0">
      <formula>F1576="FAIL"</formula>
    </cfRule>
    <cfRule type="expression" priority="524" dxfId="1">
      <formula>F1576="PASS"</formula>
    </cfRule>
  </conditionalFormatting>
  <conditionalFormatting sqref="F1577">
    <cfRule type="expression" priority="525" dxfId="0">
      <formula>F1577="FAIL"</formula>
    </cfRule>
    <cfRule type="expression" priority="526" dxfId="1">
      <formula>F1577="PASS"</formula>
    </cfRule>
  </conditionalFormatting>
  <conditionalFormatting sqref="F1578">
    <cfRule type="expression" priority="527" dxfId="0">
      <formula>F1578="FAIL"</formula>
    </cfRule>
    <cfRule type="expression" priority="528" dxfId="1">
      <formula>F1578="PASS"</formula>
    </cfRule>
  </conditionalFormatting>
  <conditionalFormatting sqref="F1579">
    <cfRule type="expression" priority="529" dxfId="0">
      <formula>F1579="FAIL"</formula>
    </cfRule>
    <cfRule type="expression" priority="530" dxfId="1">
      <formula>F1579="PASS"</formula>
    </cfRule>
  </conditionalFormatting>
  <conditionalFormatting sqref="F1580">
    <cfRule type="expression" priority="531" dxfId="0">
      <formula>F1580="FAIL"</formula>
    </cfRule>
    <cfRule type="expression" priority="532" dxfId="1">
      <formula>F1580="PASS"</formula>
    </cfRule>
  </conditionalFormatting>
  <conditionalFormatting sqref="F1650">
    <cfRule type="expression" priority="533" dxfId="0">
      <formula>F1650="FAIL"</formula>
    </cfRule>
    <cfRule type="expression" priority="534" dxfId="1">
      <formula>F1650="PASS"</formula>
    </cfRule>
  </conditionalFormatting>
  <conditionalFormatting sqref="F1651">
    <cfRule type="expression" priority="535" dxfId="0">
      <formula>F1651="FAIL"</formula>
    </cfRule>
    <cfRule type="expression" priority="536" dxfId="1">
      <formula>F1651="PASS"</formula>
    </cfRule>
  </conditionalFormatting>
  <conditionalFormatting sqref="F1652">
    <cfRule type="expression" priority="537" dxfId="0">
      <formula>F1652="FAIL"</formula>
    </cfRule>
    <cfRule type="expression" priority="538" dxfId="1">
      <formula>F1652="PASS"</formula>
    </cfRule>
  </conditionalFormatting>
  <conditionalFormatting sqref="F1653">
    <cfRule type="expression" priority="539" dxfId="0">
      <formula>F1653="FAIL"</formula>
    </cfRule>
    <cfRule type="expression" priority="540" dxfId="1">
      <formula>F1653="PASS"</formula>
    </cfRule>
  </conditionalFormatting>
  <conditionalFormatting sqref="F1654">
    <cfRule type="expression" priority="541" dxfId="0">
      <formula>F1654="FAIL"</formula>
    </cfRule>
    <cfRule type="expression" priority="542" dxfId="1">
      <formula>F1654="PASS"</formula>
    </cfRule>
  </conditionalFormatting>
  <conditionalFormatting sqref="F1655">
    <cfRule type="expression" priority="543" dxfId="0">
      <formula>F1655="FAIL"</formula>
    </cfRule>
    <cfRule type="expression" priority="544" dxfId="1">
      <formula>F1655="PASS"</formula>
    </cfRule>
  </conditionalFormatting>
  <conditionalFormatting sqref="F1656">
    <cfRule type="expression" priority="545" dxfId="0">
      <formula>F1656="FAIL"</formula>
    </cfRule>
    <cfRule type="expression" priority="546" dxfId="1">
      <formula>F1656="PASS"</formula>
    </cfRule>
  </conditionalFormatting>
  <conditionalFormatting sqref="F1657">
    <cfRule type="expression" priority="547" dxfId="0">
      <formula>F1657="FAIL"</formula>
    </cfRule>
    <cfRule type="expression" priority="548" dxfId="1">
      <formula>F1657="PASS"</formula>
    </cfRule>
  </conditionalFormatting>
  <conditionalFormatting sqref="F1658">
    <cfRule type="expression" priority="549" dxfId="0">
      <formula>F1658="FAIL"</formula>
    </cfRule>
    <cfRule type="expression" priority="550" dxfId="1">
      <formula>F1658="PASS"</formula>
    </cfRule>
  </conditionalFormatting>
  <conditionalFormatting sqref="F1659">
    <cfRule type="expression" priority="551" dxfId="0">
      <formula>F1659="FAIL"</formula>
    </cfRule>
    <cfRule type="expression" priority="552" dxfId="1">
      <formula>F1659="PASS"</formula>
    </cfRule>
  </conditionalFormatting>
  <conditionalFormatting sqref="F1660">
    <cfRule type="expression" priority="553" dxfId="0">
      <formula>F1660="FAIL"</formula>
    </cfRule>
    <cfRule type="expression" priority="554" dxfId="1">
      <formula>F1660="PASS"</formula>
    </cfRule>
  </conditionalFormatting>
  <conditionalFormatting sqref="F1661">
    <cfRule type="expression" priority="555" dxfId="0">
      <formula>F1661="FAIL"</formula>
    </cfRule>
    <cfRule type="expression" priority="556" dxfId="1">
      <formula>F1661="PASS"</formula>
    </cfRule>
  </conditionalFormatting>
  <conditionalFormatting sqref="F1662">
    <cfRule type="expression" priority="557" dxfId="0">
      <formula>F1662="FAIL"</formula>
    </cfRule>
    <cfRule type="expression" priority="558" dxfId="1">
      <formula>F1662="PASS"</formula>
    </cfRule>
  </conditionalFormatting>
  <conditionalFormatting sqref="F1663">
    <cfRule type="expression" priority="559" dxfId="0">
      <formula>F1663="FAIL"</formula>
    </cfRule>
    <cfRule type="expression" priority="560" dxfId="1">
      <formula>F1663="PASS"</formula>
    </cfRule>
  </conditionalFormatting>
  <conditionalFormatting sqref="F1733">
    <cfRule type="expression" priority="561" dxfId="0">
      <formula>F1733="FAIL"</formula>
    </cfRule>
    <cfRule type="expression" priority="562" dxfId="1">
      <formula>F1733="PASS"</formula>
    </cfRule>
  </conditionalFormatting>
  <conditionalFormatting sqref="F1734">
    <cfRule type="expression" priority="563" dxfId="0">
      <formula>F1734="FAIL"</formula>
    </cfRule>
    <cfRule type="expression" priority="564" dxfId="1">
      <formula>F1734="PASS"</formula>
    </cfRule>
  </conditionalFormatting>
  <conditionalFormatting sqref="F1735">
    <cfRule type="expression" priority="565" dxfId="0">
      <formula>F1735="FAIL"</formula>
    </cfRule>
    <cfRule type="expression" priority="566" dxfId="1">
      <formula>F1735="PASS"</formula>
    </cfRule>
  </conditionalFormatting>
  <conditionalFormatting sqref="F1736">
    <cfRule type="expression" priority="567" dxfId="0">
      <formula>F1736="FAIL"</formula>
    </cfRule>
    <cfRule type="expression" priority="568" dxfId="1">
      <formula>F1736="PASS"</formula>
    </cfRule>
  </conditionalFormatting>
  <conditionalFormatting sqref="F1737">
    <cfRule type="expression" priority="569" dxfId="0">
      <formula>F1737="FAIL"</formula>
    </cfRule>
    <cfRule type="expression" priority="570" dxfId="1">
      <formula>F1737="PASS"</formula>
    </cfRule>
  </conditionalFormatting>
  <conditionalFormatting sqref="F1738">
    <cfRule type="expression" priority="571" dxfId="0">
      <formula>F1738="FAIL"</formula>
    </cfRule>
    <cfRule type="expression" priority="572" dxfId="1">
      <formula>F1738="PASS"</formula>
    </cfRule>
  </conditionalFormatting>
  <conditionalFormatting sqref="F1739">
    <cfRule type="expression" priority="573" dxfId="0">
      <formula>F1739="FAIL"</formula>
    </cfRule>
    <cfRule type="expression" priority="574" dxfId="1">
      <formula>F1739="PASS"</formula>
    </cfRule>
  </conditionalFormatting>
  <conditionalFormatting sqref="F1740">
    <cfRule type="expression" priority="575" dxfId="0">
      <formula>F1740="FAIL"</formula>
    </cfRule>
    <cfRule type="expression" priority="576" dxfId="1">
      <formula>F1740="PASS"</formula>
    </cfRule>
  </conditionalFormatting>
  <conditionalFormatting sqref="F1741">
    <cfRule type="expression" priority="577" dxfId="0">
      <formula>F1741="FAIL"</formula>
    </cfRule>
    <cfRule type="expression" priority="578" dxfId="1">
      <formula>F1741="PASS"</formula>
    </cfRule>
  </conditionalFormatting>
  <conditionalFormatting sqref="F1742">
    <cfRule type="expression" priority="579" dxfId="0">
      <formula>F1742="FAIL"</formula>
    </cfRule>
    <cfRule type="expression" priority="580" dxfId="1">
      <formula>F1742="PASS"</formula>
    </cfRule>
  </conditionalFormatting>
  <conditionalFormatting sqref="F1743">
    <cfRule type="expression" priority="581" dxfId="0">
      <formula>F1743="FAIL"</formula>
    </cfRule>
    <cfRule type="expression" priority="582" dxfId="1">
      <formula>F1743="PASS"</formula>
    </cfRule>
  </conditionalFormatting>
  <conditionalFormatting sqref="F1744">
    <cfRule type="expression" priority="583" dxfId="0">
      <formula>F1744="FAIL"</formula>
    </cfRule>
    <cfRule type="expression" priority="584" dxfId="1">
      <formula>F1744="PASS"</formula>
    </cfRule>
  </conditionalFormatting>
  <conditionalFormatting sqref="F1745">
    <cfRule type="expression" priority="585" dxfId="0">
      <formula>F1745="FAIL"</formula>
    </cfRule>
    <cfRule type="expression" priority="586" dxfId="1">
      <formula>F1745="PASS"</formula>
    </cfRule>
  </conditionalFormatting>
  <conditionalFormatting sqref="F1746">
    <cfRule type="expression" priority="587" dxfId="0">
      <formula>F1746="FAIL"</formula>
    </cfRule>
    <cfRule type="expression" priority="588" dxfId="1">
      <formula>F1746="PASS"</formula>
    </cfRule>
  </conditionalFormatting>
  <conditionalFormatting sqref="F1816">
    <cfRule type="expression" priority="589" dxfId="0">
      <formula>F1816="FAIL"</formula>
    </cfRule>
    <cfRule type="expression" priority="590" dxfId="1">
      <formula>F1816="PASS"</formula>
    </cfRule>
  </conditionalFormatting>
  <conditionalFormatting sqref="F1817">
    <cfRule type="expression" priority="591" dxfId="0">
      <formula>F1817="FAIL"</formula>
    </cfRule>
    <cfRule type="expression" priority="592" dxfId="1">
      <formula>F1817="PASS"</formula>
    </cfRule>
  </conditionalFormatting>
  <conditionalFormatting sqref="F1818">
    <cfRule type="expression" priority="593" dxfId="0">
      <formula>F1818="FAIL"</formula>
    </cfRule>
    <cfRule type="expression" priority="594" dxfId="1">
      <formula>F1818="PASS"</formula>
    </cfRule>
  </conditionalFormatting>
  <conditionalFormatting sqref="F1819">
    <cfRule type="expression" priority="595" dxfId="0">
      <formula>F1819="FAIL"</formula>
    </cfRule>
    <cfRule type="expression" priority="596" dxfId="1">
      <formula>F1819="PASS"</formula>
    </cfRule>
  </conditionalFormatting>
  <conditionalFormatting sqref="F1820">
    <cfRule type="expression" priority="597" dxfId="0">
      <formula>F1820="FAIL"</formula>
    </cfRule>
    <cfRule type="expression" priority="598" dxfId="1">
      <formula>F1820="PASS"</formula>
    </cfRule>
  </conditionalFormatting>
  <conditionalFormatting sqref="F1821">
    <cfRule type="expression" priority="599" dxfId="0">
      <formula>F1821="FAIL"</formula>
    </cfRule>
    <cfRule type="expression" priority="600" dxfId="1">
      <formula>F1821="PASS"</formula>
    </cfRule>
  </conditionalFormatting>
  <conditionalFormatting sqref="F1822">
    <cfRule type="expression" priority="601" dxfId="0">
      <formula>F1822="FAIL"</formula>
    </cfRule>
    <cfRule type="expression" priority="602" dxfId="1">
      <formula>F1822="PASS"</formula>
    </cfRule>
  </conditionalFormatting>
  <conditionalFormatting sqref="F1823">
    <cfRule type="expression" priority="603" dxfId="0">
      <formula>F1823="FAIL"</formula>
    </cfRule>
    <cfRule type="expression" priority="604" dxfId="1">
      <formula>F1823="PASS"</formula>
    </cfRule>
  </conditionalFormatting>
  <conditionalFormatting sqref="F1824">
    <cfRule type="expression" priority="605" dxfId="0">
      <formula>F1824="FAIL"</formula>
    </cfRule>
    <cfRule type="expression" priority="606" dxfId="1">
      <formula>F1824="PASS"</formula>
    </cfRule>
  </conditionalFormatting>
  <conditionalFormatting sqref="F1825">
    <cfRule type="expression" priority="607" dxfId="0">
      <formula>F1825="FAIL"</formula>
    </cfRule>
    <cfRule type="expression" priority="608" dxfId="1">
      <formula>F1825="PASS"</formula>
    </cfRule>
  </conditionalFormatting>
  <conditionalFormatting sqref="F1826">
    <cfRule type="expression" priority="609" dxfId="0">
      <formula>F1826="FAIL"</formula>
    </cfRule>
    <cfRule type="expression" priority="610" dxfId="1">
      <formula>F1826="PASS"</formula>
    </cfRule>
  </conditionalFormatting>
  <conditionalFormatting sqref="F1827">
    <cfRule type="expression" priority="611" dxfId="0">
      <formula>F1827="FAIL"</formula>
    </cfRule>
    <cfRule type="expression" priority="612" dxfId="1">
      <formula>F1827="PASS"</formula>
    </cfRule>
  </conditionalFormatting>
  <conditionalFormatting sqref="F1828">
    <cfRule type="expression" priority="613" dxfId="0">
      <formula>F1828="FAIL"</formula>
    </cfRule>
    <cfRule type="expression" priority="614" dxfId="1">
      <formula>F1828="PASS"</formula>
    </cfRule>
  </conditionalFormatting>
  <conditionalFormatting sqref="F1829">
    <cfRule type="expression" priority="615" dxfId="0">
      <formula>F1829="FAIL"</formula>
    </cfRule>
    <cfRule type="expression" priority="616" dxfId="1">
      <formula>F1829="PASS"</formula>
    </cfRule>
  </conditionalFormatting>
  <conditionalFormatting sqref="F1899">
    <cfRule type="expression" priority="617" dxfId="0">
      <formula>F1899="FAIL"</formula>
    </cfRule>
    <cfRule type="expression" priority="618" dxfId="1">
      <formula>F1899="PASS"</formula>
    </cfRule>
  </conditionalFormatting>
  <conditionalFormatting sqref="F1970">
    <cfRule type="expression" priority="619" dxfId="0">
      <formula>F1970="FAIL"</formula>
    </cfRule>
    <cfRule type="expression" priority="620" dxfId="1">
      <formula>F1970="PASS"</formula>
    </cfRule>
  </conditionalFormatting>
  <conditionalFormatting sqref="F2042">
    <cfRule type="expression" priority="621" dxfId="0">
      <formula>F2042="FAIL"</formula>
    </cfRule>
    <cfRule type="expression" priority="622" dxfId="1">
      <formula>F2042="PASS"</formula>
    </cfRule>
  </conditionalFormatting>
  <conditionalFormatting sqref="F2043">
    <cfRule type="expression" priority="623" dxfId="0">
      <formula>F2043="FAIL"</formula>
    </cfRule>
    <cfRule type="expression" priority="624" dxfId="1">
      <formula>F2043="PASS"</formula>
    </cfRule>
  </conditionalFormatting>
  <conditionalFormatting sqref="F2044">
    <cfRule type="expression" priority="625" dxfId="0">
      <formula>F2044="FAIL"</formula>
    </cfRule>
    <cfRule type="expression" priority="626" dxfId="1">
      <formula>F2044="PASS"</formula>
    </cfRule>
  </conditionalFormatting>
  <conditionalFormatting sqref="F2045">
    <cfRule type="expression" priority="627" dxfId="0">
      <formula>F2045="FAIL"</formula>
    </cfRule>
    <cfRule type="expression" priority="628" dxfId="1">
      <formula>F2045="PASS"</formula>
    </cfRule>
  </conditionalFormatting>
  <conditionalFormatting sqref="F2046">
    <cfRule type="expression" priority="629" dxfId="0">
      <formula>F2046="FAIL"</formula>
    </cfRule>
    <cfRule type="expression" priority="630" dxfId="1">
      <formula>F2046="PASS"</formula>
    </cfRule>
  </conditionalFormatting>
  <conditionalFormatting sqref="F2047">
    <cfRule type="expression" priority="631" dxfId="0">
      <formula>F2047="FAIL"</formula>
    </cfRule>
    <cfRule type="expression" priority="632" dxfId="1">
      <formula>F2047="PASS"</formula>
    </cfRule>
  </conditionalFormatting>
  <conditionalFormatting sqref="F2048">
    <cfRule type="expression" priority="633" dxfId="0">
      <formula>F2048="FAIL"</formula>
    </cfRule>
    <cfRule type="expression" priority="634" dxfId="1">
      <formula>F2048="PASS"</formula>
    </cfRule>
  </conditionalFormatting>
  <conditionalFormatting sqref="F2049">
    <cfRule type="expression" priority="635" dxfId="0">
      <formula>F2049="FAIL"</formula>
    </cfRule>
    <cfRule type="expression" priority="636" dxfId="1">
      <formula>F2049="PASS"</formula>
    </cfRule>
  </conditionalFormatting>
  <conditionalFormatting sqref="F2050">
    <cfRule type="expression" priority="637" dxfId="0">
      <formula>F2050="FAIL"</formula>
    </cfRule>
    <cfRule type="expression" priority="638" dxfId="1">
      <formula>F2050="PASS"</formula>
    </cfRule>
  </conditionalFormatting>
  <conditionalFormatting sqref="F2051">
    <cfRule type="expression" priority="639" dxfId="0">
      <formula>F2051="FAIL"</formula>
    </cfRule>
    <cfRule type="expression" priority="640" dxfId="1">
      <formula>F2051="PASS"</formula>
    </cfRule>
  </conditionalFormatting>
  <conditionalFormatting sqref="F2052">
    <cfRule type="expression" priority="641" dxfId="0">
      <formula>F2052="FAIL"</formula>
    </cfRule>
    <cfRule type="expression" priority="642" dxfId="1">
      <formula>F2052="PASS"</formula>
    </cfRule>
  </conditionalFormatting>
  <conditionalFormatting sqref="F2053">
    <cfRule type="expression" priority="643" dxfId="0">
      <formula>F2053="FAIL"</formula>
    </cfRule>
    <cfRule type="expression" priority="644" dxfId="1">
      <formula>F2053="PASS"</formula>
    </cfRule>
  </conditionalFormatting>
  <conditionalFormatting sqref="F2054">
    <cfRule type="expression" priority="645" dxfId="0">
      <formula>F2054="FAIL"</formula>
    </cfRule>
    <cfRule type="expression" priority="646" dxfId="1">
      <formula>F2054="PASS"</formula>
    </cfRule>
  </conditionalFormatting>
  <conditionalFormatting sqref="F2055">
    <cfRule type="expression" priority="647" dxfId="0">
      <formula>F2055="FAIL"</formula>
    </cfRule>
    <cfRule type="expression" priority="648" dxfId="1">
      <formula>F2055="PASS"</formula>
    </cfRule>
  </conditionalFormatting>
  <conditionalFormatting sqref="F2056">
    <cfRule type="expression" priority="649" dxfId="0">
      <formula>F2056="FAIL"</formula>
    </cfRule>
    <cfRule type="expression" priority="650" dxfId="1">
      <formula>F2056="PASS"</formula>
    </cfRule>
  </conditionalFormatting>
  <conditionalFormatting sqref="F2057">
    <cfRule type="expression" priority="651" dxfId="0">
      <formula>F2057="FAIL"</formula>
    </cfRule>
    <cfRule type="expression" priority="652" dxfId="1">
      <formula>F2057="PASS"</formula>
    </cfRule>
  </conditionalFormatting>
  <conditionalFormatting sqref="F2058">
    <cfRule type="expression" priority="653" dxfId="0">
      <formula>F2058="FAIL"</formula>
    </cfRule>
    <cfRule type="expression" priority="654" dxfId="1">
      <formula>F2058="PASS"</formula>
    </cfRule>
  </conditionalFormatting>
  <conditionalFormatting sqref="F2059">
    <cfRule type="expression" priority="655" dxfId="0">
      <formula>F2059="FAIL"</formula>
    </cfRule>
    <cfRule type="expression" priority="656" dxfId="1">
      <formula>F2059="PASS"</formula>
    </cfRule>
  </conditionalFormatting>
  <conditionalFormatting sqref="F2060">
    <cfRule type="expression" priority="657" dxfId="0">
      <formula>F2060="FAIL"</formula>
    </cfRule>
    <cfRule type="expression" priority="658" dxfId="1">
      <formula>F2060="PASS"</formula>
    </cfRule>
  </conditionalFormatting>
  <conditionalFormatting sqref="C2063">
    <cfRule type="expression" priority="659" dxfId="0">
      <formula>C2063="SOME FAILED"</formula>
    </cfRule>
    <cfRule type="expression" priority="660" dxfId="1">
      <formula>C2063="ALL PASS"</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T3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40" customWidth="1" min="2" max="2"/>
    <col width="16" customWidth="1" min="3" max="3"/>
    <col width="16" customWidth="1" min="4" max="4"/>
    <col width="62" customWidth="1" min="5" max="5"/>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2" ht="26" customHeight="1">
      <c r="B2" s="1" t="inlineStr">
        <is>
          <t>12. Volume Profit Simulator — 판매량 기반 영업이익 (Interactive)</t>
        </is>
      </c>
      <c r="C2" s="6" t="n"/>
      <c r="D2" s="6" t="n"/>
      <c r="E2" s="6" t="n"/>
    </row>
    <row r="4" ht="20" customHeight="1">
      <c r="B4" s="2" t="inlineStr">
        <is>
          <t>INPUT (노란 셀만 입력, 단일 컴포넌트·월 기준)</t>
        </is>
      </c>
      <c r="C4" s="7" t="n"/>
      <c r="D4" s="7" t="n"/>
    </row>
    <row r="5" ht="18" customHeight="1">
      <c r="B5" s="31" t="inlineStr">
        <is>
          <t>Actual Price</t>
        </is>
      </c>
      <c r="C5" s="11" t="n">
        <v>35000</v>
      </c>
      <c r="E5" s="31" t="inlineStr">
        <is>
          <t>현재 실제 판매가격 — MODE A/BEP와 동일한 가격 기준</t>
        </is>
      </c>
    </row>
    <row r="6" ht="18" customHeight="1">
      <c r="B6" s="31" t="inlineStr">
        <is>
          <t>Price Includes VAT</t>
        </is>
      </c>
      <c r="C6" s="9" t="b">
        <v>1</v>
      </c>
      <c r="E6" s="31" t="inlineStr">
        <is>
          <t>TRUE=판매가에 VAT 포함 / FALSE=별도 / 빈칸=모름</t>
        </is>
      </c>
    </row>
    <row r="7" ht="18" customHeight="1">
      <c r="B7" s="31" t="inlineStr">
        <is>
          <t>VAT Rate (v)</t>
        </is>
      </c>
      <c r="C7" s="12" t="n">
        <v>0.1</v>
      </c>
      <c r="E7" s="31" t="inlineStr">
        <is>
          <t>a=0이고 가격이 VAT 별도면 CMu 계산에 불필요</t>
        </is>
      </c>
    </row>
    <row r="8" ht="18" customHeight="1">
      <c r="B8" s="31" t="inlineStr">
        <is>
          <t>Product/Service Direct Cost</t>
        </is>
      </c>
      <c r="C8" s="11" t="n">
        <v>13500</v>
      </c>
      <c r="E8" s="31" t="inlineStr">
        <is>
          <t>개당 직접원가 합계</t>
        </is>
      </c>
    </row>
    <row r="9" ht="30" customHeight="1">
      <c r="B9" s="31" t="inlineStr">
        <is>
          <t>Variable Selling/Delivery Cost (Fixed Amount)</t>
        </is>
      </c>
      <c r="C9" s="11" t="n">
        <v>3000</v>
      </c>
      <c r="E9" s="31" t="inlineStr">
        <is>
          <t>variable_selling_delivery 중 금액형 항목 합계</t>
        </is>
      </c>
    </row>
    <row r="10" ht="30" customHeight="1">
      <c r="B10" s="31" t="inlineStr">
        <is>
          <t>Per-Order Cost Present (Excel simulation control — not a schema field)</t>
        </is>
      </c>
      <c r="C10" s="9" t="b">
        <v>1</v>
      </c>
      <c r="E10" s="31" t="inlineStr">
        <is>
          <t>Excel-only. TRUE=위 금액형 변동비에 basis=per_order 항목이 있음 → Units per Order가 비어 있으면 판매량 의존 지표가 ESTIMATED(주문당 1개 판매 가정), 값이 있으면 그 값으로 나눠 환산. FALSE=개당(per_unit) 비용</t>
        </is>
      </c>
    </row>
    <row r="11" ht="18" customHeight="1">
      <c r="B11" s="31" t="inlineStr">
        <is>
          <t>Net-Sales Fee Rate (b)</t>
        </is>
      </c>
      <c r="C11" s="12" t="n">
        <v>0</v>
      </c>
      <c r="E11" s="31" t="inlineStr">
        <is>
          <t>rate_of_net_sales 합계. 없으면 0</t>
        </is>
      </c>
    </row>
    <row r="12" ht="18" customHeight="1">
      <c r="B12" s="31" t="inlineStr">
        <is>
          <t>Gross-Payment Fee Rate (a)</t>
        </is>
      </c>
      <c r="C12" s="12" t="n">
        <v>0.025</v>
      </c>
      <c r="E12" s="31" t="inlineStr">
        <is>
          <t>rate_of_gross_payment 합계. 없으면 0</t>
        </is>
      </c>
    </row>
    <row r="13" ht="18" customHeight="1">
      <c r="B13" s="31" t="inlineStr">
        <is>
          <t>Fixed Operating Cost Amount</t>
        </is>
      </c>
      <c r="C13" s="11" t="n">
        <v>2000000</v>
      </c>
      <c r="E13" s="31" t="inlineStr">
        <is>
          <t>월 고정운영비 — Fixed Cost Allocation Status=component일 때만 사용</t>
        </is>
      </c>
    </row>
    <row r="14" ht="30" customHeight="1">
      <c r="B14" s="31" t="inlineStr">
        <is>
          <t>Fixed Operating Cost Basis</t>
        </is>
      </c>
      <c r="C14" s="9" t="inlineStr">
        <is>
          <t>per_month</t>
        </is>
      </c>
      <c r="E14" s="31" t="inlineStr">
        <is>
          <t>판매량 손익은 per_month만 지원 — 다른 값은 ERROR(UNSUPPORTED_FIXED_COST_BASIS_FOR_VOLUME)</t>
        </is>
      </c>
    </row>
    <row r="15" ht="30" customHeight="1">
      <c r="B15" s="31" t="inlineStr">
        <is>
          <t>Fixed Cost Allocation Status (Excel simulation control — not a schema field)</t>
        </is>
      </c>
      <c r="C15" s="9" t="inlineStr">
        <is>
          <t>component</t>
        </is>
      </c>
      <c r="E15" s="31" t="inlineStr">
        <is>
          <t>Excel-only. none=고정운영비 항목 없음(FC 확정 0) / component=위 금액·basis 사용 / unresolved=배부 미구현(UNKNOWN) / blended_only=배부 대상 아님(UNKNOWN) / invalid_direct=shared+direct 모순(ERROR)</t>
        </is>
      </c>
    </row>
    <row r="16" ht="30" customHeight="1">
      <c r="B16" s="31" t="inlineStr">
        <is>
          <t>Planned Quantity per Month (units)</t>
        </is>
      </c>
      <c r="C16" s="45" t="n">
        <v>200</v>
      </c>
      <c r="E16" s="31" t="inlineStr">
        <is>
          <t>sales_plan.planned_quantity — 빈칸=미입력(UNKNOWN), 0=판매 없음(유효), 음수=ERROR</t>
        </is>
      </c>
    </row>
    <row r="17" ht="30" customHeight="1">
      <c r="B17" s="31" t="inlineStr">
        <is>
          <t>Plan Period Basis</t>
        </is>
      </c>
      <c r="C17" s="9" t="inlineStr">
        <is>
          <t>per_month</t>
        </is>
      </c>
      <c r="E17" s="31" t="inlineStr">
        <is>
          <t>sales_plan.period_basis — 빈칸=UNKNOWN(기간을 임의로 가정하지 않음), per_month 외=ERROR</t>
        </is>
      </c>
    </row>
    <row r="18" ht="30" customHeight="1">
      <c r="B18" s="31" t="inlineStr">
        <is>
          <t>Units per Order (sales_plan.units_per_order)</t>
        </is>
      </c>
      <c r="C18" s="46" t="n"/>
      <c r="E18" s="31" t="inlineStr">
        <is>
          <t>주문당 평균 판매 수량. 빈칸=미제공(주문당 1개 가정, ESTIMATED). 0보다 큰 값=주문당 비용을 그 값으로 나눠 개당 환산(지표 OK). 0 이하·문자=ERROR. MODE A/BEP는 이 값을 읽지 않음</t>
        </is>
      </c>
    </row>
    <row r="19" ht="30" customHeight="1">
      <c r="B19" s="31" t="inlineStr">
        <is>
          <t>Sales Plan Present (Excel simulation control — not a schema field)</t>
        </is>
      </c>
      <c r="C19" s="9" t="inlineStr">
        <is>
          <t>present</t>
        </is>
      </c>
      <c r="E19" s="31" t="inlineStr">
        <is>
          <t>Excel-only. present=sales_plan 있음 / absent=sales_plan 없음 → 모듈 NOT_RUN(오류 아님)</t>
        </is>
      </c>
    </row>
    <row r="21" ht="20" customHeight="1">
      <c r="B21" s="2" t="inlineStr">
        <is>
          <t>RESULT (계산값 — 직접 입력 금지)</t>
        </is>
      </c>
      <c r="C21" s="7" t="n"/>
      <c r="D21" s="7" t="n"/>
    </row>
    <row r="22">
      <c r="C22" s="47" t="inlineStr">
        <is>
          <t>Value</t>
        </is>
      </c>
      <c r="D22" s="47" t="inlineStr">
        <is>
          <t>Status</t>
        </is>
      </c>
    </row>
    <row r="23">
      <c r="B23" s="8" t="inlineStr">
        <is>
          <t>Planned Quantity (units)</t>
        </is>
      </c>
      <c r="C23" s="13">
        <f>IF($C$19="absent","NOT_RUN",Q33)</f>
        <v/>
      </c>
      <c r="D23" s="48">
        <f>IF(ISNUMBER(C23),"OK",C23)</f>
        <v/>
      </c>
      <c r="E23" s="31" t="inlineStr">
        <is>
          <t>sales_plan.planned_quantity — 기간(per_month)이 함께 있어야 사용 가능</t>
        </is>
      </c>
    </row>
    <row r="24">
      <c r="B24" s="8" t="inlineStr">
        <is>
          <t>Total Net Sales ex VAT</t>
        </is>
      </c>
      <c r="C24" s="49">
        <f>IF($C$19="absent","NOT_RUN",IFERROR(IF(OR(Q33="ERROR",J33="ERROR"),"ERROR",IF(OR(NOT(ISNUMBER(Q33)),NOT(ISNUMBER(J33))),"UNKNOWN",J33*Q33)),"ERROR"))</f>
        <v/>
      </c>
      <c r="D24" s="48">
        <f>IF(ISNUMBER(C24),"OK",C24)</f>
        <v/>
      </c>
      <c r="E24" s="31" t="inlineStr">
        <is>
          <t>N × Q (VAT 제외)</t>
        </is>
      </c>
    </row>
    <row r="25">
      <c r="B25" s="8" t="inlineStr">
        <is>
          <t>Total Contribution Margin</t>
        </is>
      </c>
      <c r="C25" s="49">
        <f>IF($C$19="absent","NOT_RUN",IFERROR(IF(OR(Q33="ERROR",T33="ERROR"),"ERROR",IF(OR(NOT(ISNUMBER(Q33)),NOT(ISNUMBER(T33))),"UNKNOWN",T33*Q33)),"ERROR"))</f>
        <v/>
      </c>
      <c r="D25" s="48">
        <f>IF(ISNUMBER(C25),IF(AND($C$10=TRUE,S33="none"),"ESTIMATED","OK"),C25)</f>
        <v/>
      </c>
      <c r="E25" s="31" t="inlineStr">
        <is>
          <t>CMu × Q</t>
        </is>
      </c>
    </row>
    <row r="26">
      <c r="B26" s="8" t="inlineStr">
        <is>
          <t>Operating Profit</t>
        </is>
      </c>
      <c r="C26" s="49">
        <f>IF($C$19="absent","NOT_RUN",IFERROR(IF(OR(Q33="ERROR",T33="ERROR",R33="ERROR"),"ERROR",IF(OR(NOT(ISNUMBER(Q33)),NOT(ISNUMBER(T33)),NOT(ISNUMBER(R33))),"UNKNOWN",T33*Q33-R33)),"ERROR"))</f>
        <v/>
      </c>
      <c r="D26" s="48">
        <f>IF(ISNUMBER(C26),IF(AND($C$10=TRUE,S33="none"),"ESTIMATED","OK"),C26)</f>
        <v/>
      </c>
      <c r="E26" s="31" t="inlineStr">
        <is>
          <t>CMu × Q − FC. 음수(손실)도 유효한 OK 결과 — 0으로 자르지 않음</t>
        </is>
      </c>
    </row>
    <row r="27">
      <c r="B27" s="8" t="inlineStr">
        <is>
          <t>Operating Profit Rate</t>
        </is>
      </c>
      <c r="C27" s="50">
        <f>IF($C$19="absent","NOT_RUN",IFERROR(IF(OR(C26="ERROR",C24="ERROR"),"ERROR",IF(OR(NOT(ISNUMBER(C26)),NOT(ISNUMBER(C24))),"UNKNOWN",IF(C24=0,"NOT_APPLICABLE",C26/C24))),"ERROR"))</f>
        <v/>
      </c>
      <c r="D27" s="48">
        <f>IF(ISNUMBER(C27),IF(AND($C$10=TRUE,S33="none"),"ESTIMATED","OK"),C27)</f>
        <v/>
      </c>
      <c r="E27" s="31" t="inlineStr">
        <is>
          <t>영업이익 ÷ 총 순매출. 총 순매출이 0이면 NOT_APPLICABLE</t>
        </is>
      </c>
    </row>
    <row r="28">
      <c r="B28" s="8" t="inlineStr">
        <is>
          <t>Break-Even Quantity (Q_BEP)</t>
        </is>
      </c>
      <c r="C28" s="13">
        <f>IF($C$19="absent","NOT_RUN",IFERROR(IF(OR(T33="ERROR",R33="ERROR"),"ERROR",IF(OR(NOT(ISNUMBER(T33)),NOT(ISNUMBER(R33))),"UNKNOWN",IF(T33&lt;=0,"NOT_APPLICABLE",R33/T33))),"ERROR"))</f>
        <v/>
      </c>
      <c r="D28" s="48">
        <f>IF(ISNUMBER(C28),IF(AND($C$10=TRUE,S33="none"),"ESTIMATED","OK"),C28)</f>
        <v/>
      </c>
      <c r="E28" s="31" t="inlineStr">
        <is>
          <t>Q_BEP = FC / CMu (BEP와 동일). CMu&lt;=0이면 NOT_APPLICABLE</t>
        </is>
      </c>
    </row>
    <row r="29">
      <c r="B29" s="8" t="inlineStr">
        <is>
          <t>Margin of Safety Quantity</t>
        </is>
      </c>
      <c r="C29" s="13">
        <f>IF($C$19="absent","NOT_RUN",IFERROR(IF(OR(Q33="ERROR",T33="ERROR",R33="ERROR"),"ERROR",IF(OR(NOT(ISNUMBER(Q33)),NOT(ISNUMBER(T33)),NOT(ISNUMBER(R33))),"UNKNOWN",IF(T33&lt;=0,"NOT_APPLICABLE",Q33-C28))),"ERROR"))</f>
        <v/>
      </c>
      <c r="D29" s="48">
        <f>IF(ISNUMBER(C29),IF(AND($C$10=TRUE,S33="none"),"ESTIMATED","OK"),C29)</f>
        <v/>
      </c>
      <c r="E29" s="31" t="inlineStr">
        <is>
          <t>Q − Q_BEP. 음수는 손익분기 미달을 뜻하는 유효한 결과</t>
        </is>
      </c>
    </row>
    <row r="30">
      <c r="B30" s="8" t="inlineStr">
        <is>
          <t>Margin of Safety Rate</t>
        </is>
      </c>
      <c r="C30" s="50">
        <f>IF($C$19="absent","NOT_RUN",IFERROR(IF(OR(Q33="ERROR",T33="ERROR",R33="ERROR"),"ERROR",IF(OR(NOT(ISNUMBER(Q33)),NOT(ISNUMBER(T33)),NOT(ISNUMBER(R33))),"UNKNOWN",IF(OR(T33&lt;=0,Q33=0),"NOT_APPLICABLE",(Q33-C28)/Q33))),"ERROR"))</f>
        <v/>
      </c>
      <c r="D30" s="48">
        <f>IF(ISNUMBER(C30),IF(AND($C$10=TRUE,S33="none"),"ESTIMATED","OK"),C30)</f>
        <v/>
      </c>
      <c r="E30" s="31" t="inlineStr">
        <is>
          <t>(Q − Q_BEP) / Q. Q=0이거나 Q_BEP가 없으면 NOT_APPLICABLE</t>
        </is>
      </c>
    </row>
    <row r="31">
      <c r="B31" s="8" t="inlineStr">
        <is>
          <t>Analysis Period Basis</t>
        </is>
      </c>
      <c r="C31" s="15">
        <f>IF($C$19="absent","",N33)</f>
        <v/>
      </c>
      <c r="E31" s="8" t="inlineStr">
        <is>
          <t>고정운영비가 정의된 기간 context (BEP와 동일). 빈칸=항목 없음/UNKNOWN/ERROR/NOT_RUN</t>
        </is>
      </c>
    </row>
    <row r="32">
      <c r="B32" s="8" t="inlineStr">
        <is>
          <t>Overall Status</t>
        </is>
      </c>
      <c r="C32" s="15">
        <f>IF($C$19="absent","NOT_RUN",IF(OR(D23="ERROR",D24="ERROR",D25="ERROR",D26="ERROR",D27="ERROR",D28="ERROR",D29="ERROR",D30="ERROR"),"ERROR",IF(OR(D23="UNKNOWN",D24="UNKNOWN",D25="UNKNOWN",D26="UNKNOWN",D27="UNKNOWN",D28="UNKNOWN",D29="UNKNOWN",D30="UNKNOWN"),"INCOMPLETE","OK")))</f>
        <v/>
      </c>
      <c r="E32" s="8" t="inlineStr">
        <is>
          <t>ERROR &gt; INCOMPLETE(UNKNOWN 있음) &gt; OK. NOT_APPLICABLE·ESTIMATED는 모듈 상태를 낮추지 않음. sales_plan 없음=NOT_RUN</t>
        </is>
      </c>
    </row>
    <row r="33">
      <c r="J33">
        <f>IFERROR(IF(ISBLANK($C$5),"UNKNOWN",IF(ISBLANK($C$6),"UNKNOWN",IF($C$6=FALSE,$C$5,IF(ISBLANK($C$7),"UNKNOWN",$C$5/(1+$C$7))))),"ERROR")</f>
        <v/>
      </c>
      <c r="K33">
        <f>IFERROR(IF(ISBLANK($C$5),"UNKNOWN",IF(ISBLANK($C$6),"UNKNOWN",IF($C$6=TRUE,$C$5,IF(ISBLANK($C$7),"UNKNOWN",$C$5*(1+$C$7))))),"ERROR")</f>
        <v/>
      </c>
      <c r="L33">
        <f>IFERROR(IF(J33="ERROR","ERROR",IF(OR(NOT(ISNUMBER(J33)),ISBLANK($C$8),ISBLANK($C$9),ISBLANK($C$11),ISBLANK($C$12)),"UNKNOWN",IF($C$12&gt;0,IF(K33="ERROR","ERROR",IF(NOT(ISNUMBER(K33)),"UNKNOWN",J33-$C$8-$C$9-$C$11*J33-$C$12*K33)),J33-$C$8-$C$9-$C$11*J33))),"ERROR")</f>
        <v/>
      </c>
      <c r="M33">
        <f>IFERROR(IF($C$15="invalid_direct","ERROR",IF(FALSE,"ERROR",IF($C$15="none",0,IF(OR($C$15="unresolved",$C$15="blended_only"),"UNKNOWN",IF(ISBLANK($C$13),"UNKNOWN",IF($C$13&lt;0,"ERROR",$C$13)))))),"ERROR")</f>
        <v/>
      </c>
      <c r="N33">
        <f>IF(OR($C$15="invalid_direct",FALSE),"",IF($C$15="none","",IF(OR($C$15="unresolved",$C$15="blended_only"),"",IF(ISBLANK($C$13),"",IF($C$13&lt;0,"",$C$14)))))</f>
        <v/>
      </c>
      <c r="O33">
        <f>IFERROR(IF(OR(L33="ERROR",M33="ERROR"),"ERROR",IF(OR(NOT(ISNUMBER(L33)),NOT(ISNUMBER(M33))),"UNKNOWN",IF(L33&lt;=0,"NOT_APPLICABLE",M33/L33))),"ERROR")</f>
        <v/>
      </c>
      <c r="P33">
        <f>IF(FALSE,"",IF($C$15="invalid_direct","INVALID_ALLOCATION_CONFIGURATION",IF(FALSE,"INCONSISTENT_FIXED_COST_BASIS",IF(AND($C$15="component",NOT(ISBLANK($C$13)),$C$13&lt;0),"INVALID_NEGATIVE_COST",IF(L33="ERROR","CALCULATION_ERROR",IF($C$15="blended_only","FIXED_COST_BLENDED_ONLY_NOT_ALLOCATED",IF($C$15="unresolved","UNSUPPORTED_SHARED_COST_ALLOCATION",IF(NOT(ISNUMBER(L33)),"MISSING_DEPENDENCY",IF(AND($C$15="component",ISBLANK($C$13)),"MISSING_DEPENDENCY",IF(AND(L33=0,M33=0),"BREAK_EVEN_UNDEFINED_ZERO_MARGIN_ZERO_FIXED_COST",IF(L33=0,"BREAK_EVEN_UNDEFINED_ZERO_MARGIN",IF(L33&lt;0,"BREAK_EVEN_UNDEFINED_NEGATIVE_MARGIN","NONE"))))))))))))</f>
        <v/>
      </c>
      <c r="Q33">
        <f>IF(AND(NOT(ISBLANK($C$16)),$C$16&lt;0),"ERROR",IF(AND($C$17&lt;&gt;"",$C$17&lt;&gt;"per_month"),"ERROR",IF(OR(ISBLANK($C$16),$C$17=""),"UNKNOWN",$C$16)))</f>
        <v/>
      </c>
      <c r="R33">
        <f>IF(AND(ISNUMBER(M33),N33&lt;&gt;"",N33&lt;&gt;"per_month"),"ERROR",M33)</f>
        <v/>
      </c>
      <c r="S33">
        <f>IF(ISBLANK($C$18),"none",IF(AND(ISNUMBER($C$18),$C$18&gt;0),"valid","invalid"))</f>
        <v/>
      </c>
      <c r="T33">
        <f>IF(S33="invalid","ERROR",IF(AND(S33="valid",$C$10=TRUE,ISNUMBER(L33)),L33+$C$9*(1-1/$C$18),L33))</f>
        <v/>
      </c>
    </row>
    <row r="34">
      <c r="B34" s="8" t="inlineStr">
        <is>
          <t>Self-Check: |MoS qty × CMu − Operating Profit| ≤ tolerance?</t>
        </is>
      </c>
      <c r="C34" s="36">
        <f>IF(OR(NOT(ISNUMBER(C29)),NOT(ISNUMBER(T33)),NOT(ISNUMBER(C26))),"N/A — not numeric",IF(ABS(C29*T33-C26)&lt;=0.01,"PASS","FAIL"))</f>
        <v/>
      </c>
      <c r="D34" s="34" t="n"/>
      <c r="E34" s="8" t="inlineStr">
        <is>
          <t>(Q − Q_BEP) × CMu = CMu×Q − FC 항등식으로 영업이익과 안전한계가 서로 독립적으로 맞물리는지 역산 검증</t>
        </is>
      </c>
    </row>
    <row r="36" ht="20" customHeight="1">
      <c r="B36" s="2" t="inlineStr">
        <is>
          <t>DASHBOARD CARD</t>
        </is>
      </c>
      <c r="C36" s="7" t="n"/>
      <c r="D36" s="7" t="n"/>
      <c r="E36" s="7" t="n"/>
      <c r="F36" s="7" t="n"/>
    </row>
    <row r="37">
      <c r="B37" s="17" t="inlineStr">
        <is>
          <t>Operating Profit</t>
        </is>
      </c>
      <c r="D37" s="17" t="inlineStr">
        <is>
          <t>Break-Even Quantity</t>
        </is>
      </c>
      <c r="F37" s="17" t="inlineStr">
        <is>
          <t>Margin of Safety Rate</t>
        </is>
      </c>
    </row>
    <row r="38" ht="26" customHeight="1">
      <c r="B38" s="18">
        <f>C26</f>
        <v/>
      </c>
      <c r="D38" s="37">
        <f>C28</f>
        <v/>
      </c>
      <c r="F38" s="19">
        <f>C30</f>
        <v/>
      </c>
    </row>
  </sheetData>
  <mergeCells count="11">
    <mergeCell ref="C34:D34"/>
    <mergeCell ref="F37:G37"/>
    <mergeCell ref="B38:C38"/>
    <mergeCell ref="F38:G38"/>
    <mergeCell ref="B37:C37"/>
    <mergeCell ref="B4:D4"/>
    <mergeCell ref="D37:E37"/>
    <mergeCell ref="D38:E38"/>
    <mergeCell ref="B21:D21"/>
    <mergeCell ref="B36:F36"/>
    <mergeCell ref="B2:E2"/>
  </mergeCells>
  <conditionalFormatting sqref="C23">
    <cfRule type="expression" priority="1" dxfId="0">
      <formula>C23="ERROR"</formula>
    </cfRule>
    <cfRule type="expression" priority="2" dxfId="2">
      <formula>C23="UNKNOWN"</formula>
    </cfRule>
    <cfRule type="expression" priority="3" dxfId="2">
      <formula>C23="NOT_APPLICABLE"</formula>
    </cfRule>
    <cfRule type="expression" priority="4" dxfId="2">
      <formula>C23="NOT_RUN"</formula>
    </cfRule>
    <cfRule type="expression" priority="5" dxfId="1">
      <formula>ISNUMBER(C23)</formula>
    </cfRule>
  </conditionalFormatting>
  <conditionalFormatting sqref="D23">
    <cfRule type="expression" priority="6" dxfId="2">
      <formula>D23="ESTIMATED"</formula>
    </cfRule>
    <cfRule type="expression" priority="7" dxfId="0">
      <formula>D23="ERROR"</formula>
    </cfRule>
  </conditionalFormatting>
  <conditionalFormatting sqref="C24">
    <cfRule type="expression" priority="8" dxfId="0">
      <formula>C24="ERROR"</formula>
    </cfRule>
    <cfRule type="expression" priority="9" dxfId="2">
      <formula>C24="UNKNOWN"</formula>
    </cfRule>
    <cfRule type="expression" priority="10" dxfId="2">
      <formula>C24="NOT_APPLICABLE"</formula>
    </cfRule>
    <cfRule type="expression" priority="11" dxfId="2">
      <formula>C24="NOT_RUN"</formula>
    </cfRule>
    <cfRule type="expression" priority="12" dxfId="1">
      <formula>ISNUMBER(C24)</formula>
    </cfRule>
  </conditionalFormatting>
  <conditionalFormatting sqref="D24">
    <cfRule type="expression" priority="13" dxfId="2">
      <formula>D24="ESTIMATED"</formula>
    </cfRule>
    <cfRule type="expression" priority="14" dxfId="0">
      <formula>D24="ERROR"</formula>
    </cfRule>
  </conditionalFormatting>
  <conditionalFormatting sqref="C25">
    <cfRule type="expression" priority="15" dxfId="0">
      <formula>C25="ERROR"</formula>
    </cfRule>
    <cfRule type="expression" priority="16" dxfId="2">
      <formula>C25="UNKNOWN"</formula>
    </cfRule>
    <cfRule type="expression" priority="17" dxfId="2">
      <formula>C25="NOT_APPLICABLE"</formula>
    </cfRule>
    <cfRule type="expression" priority="18" dxfId="2">
      <formula>C25="NOT_RUN"</formula>
    </cfRule>
    <cfRule type="expression" priority="19" dxfId="1">
      <formula>ISNUMBER(C25)</formula>
    </cfRule>
  </conditionalFormatting>
  <conditionalFormatting sqref="D25">
    <cfRule type="expression" priority="20" dxfId="2">
      <formula>D25="ESTIMATED"</formula>
    </cfRule>
    <cfRule type="expression" priority="21" dxfId="0">
      <formula>D25="ERROR"</formula>
    </cfRule>
  </conditionalFormatting>
  <conditionalFormatting sqref="C26">
    <cfRule type="expression" priority="22" dxfId="0">
      <formula>C26="ERROR"</formula>
    </cfRule>
    <cfRule type="expression" priority="23" dxfId="2">
      <formula>C26="UNKNOWN"</formula>
    </cfRule>
    <cfRule type="expression" priority="24" dxfId="2">
      <formula>C26="NOT_APPLICABLE"</formula>
    </cfRule>
    <cfRule type="expression" priority="25" dxfId="2">
      <formula>C26="NOT_RUN"</formula>
    </cfRule>
    <cfRule type="expression" priority="26" dxfId="1">
      <formula>ISNUMBER(C26)</formula>
    </cfRule>
  </conditionalFormatting>
  <conditionalFormatting sqref="D26">
    <cfRule type="expression" priority="27" dxfId="2">
      <formula>D26="ESTIMATED"</formula>
    </cfRule>
    <cfRule type="expression" priority="28" dxfId="0">
      <formula>D26="ERROR"</formula>
    </cfRule>
  </conditionalFormatting>
  <conditionalFormatting sqref="C27">
    <cfRule type="expression" priority="29" dxfId="0">
      <formula>C27="ERROR"</formula>
    </cfRule>
    <cfRule type="expression" priority="30" dxfId="2">
      <formula>C27="UNKNOWN"</formula>
    </cfRule>
    <cfRule type="expression" priority="31" dxfId="2">
      <formula>C27="NOT_APPLICABLE"</formula>
    </cfRule>
    <cfRule type="expression" priority="32" dxfId="2">
      <formula>C27="NOT_RUN"</formula>
    </cfRule>
    <cfRule type="expression" priority="33" dxfId="1">
      <formula>ISNUMBER(C27)</formula>
    </cfRule>
  </conditionalFormatting>
  <conditionalFormatting sqref="D27">
    <cfRule type="expression" priority="34" dxfId="2">
      <formula>D27="ESTIMATED"</formula>
    </cfRule>
    <cfRule type="expression" priority="35" dxfId="0">
      <formula>D27="ERROR"</formula>
    </cfRule>
  </conditionalFormatting>
  <conditionalFormatting sqref="C28">
    <cfRule type="expression" priority="36" dxfId="0">
      <formula>C28="ERROR"</formula>
    </cfRule>
    <cfRule type="expression" priority="37" dxfId="2">
      <formula>C28="UNKNOWN"</formula>
    </cfRule>
    <cfRule type="expression" priority="38" dxfId="2">
      <formula>C28="NOT_APPLICABLE"</formula>
    </cfRule>
    <cfRule type="expression" priority="39" dxfId="2">
      <formula>C28="NOT_RUN"</formula>
    </cfRule>
    <cfRule type="expression" priority="40" dxfId="1">
      <formula>ISNUMBER(C28)</formula>
    </cfRule>
  </conditionalFormatting>
  <conditionalFormatting sqref="D28">
    <cfRule type="expression" priority="41" dxfId="2">
      <formula>D28="ESTIMATED"</formula>
    </cfRule>
    <cfRule type="expression" priority="42" dxfId="0">
      <formula>D28="ERROR"</formula>
    </cfRule>
  </conditionalFormatting>
  <conditionalFormatting sqref="C29">
    <cfRule type="expression" priority="43" dxfId="0">
      <formula>C29="ERROR"</formula>
    </cfRule>
    <cfRule type="expression" priority="44" dxfId="2">
      <formula>C29="UNKNOWN"</formula>
    </cfRule>
    <cfRule type="expression" priority="45" dxfId="2">
      <formula>C29="NOT_APPLICABLE"</formula>
    </cfRule>
    <cfRule type="expression" priority="46" dxfId="2">
      <formula>C29="NOT_RUN"</formula>
    </cfRule>
    <cfRule type="expression" priority="47" dxfId="1">
      <formula>ISNUMBER(C29)</formula>
    </cfRule>
  </conditionalFormatting>
  <conditionalFormatting sqref="D29">
    <cfRule type="expression" priority="48" dxfId="2">
      <formula>D29="ESTIMATED"</formula>
    </cfRule>
    <cfRule type="expression" priority="49" dxfId="0">
      <formula>D29="ERROR"</formula>
    </cfRule>
  </conditionalFormatting>
  <conditionalFormatting sqref="C30">
    <cfRule type="expression" priority="50" dxfId="0">
      <formula>C30="ERROR"</formula>
    </cfRule>
    <cfRule type="expression" priority="51" dxfId="2">
      <formula>C30="UNKNOWN"</formula>
    </cfRule>
    <cfRule type="expression" priority="52" dxfId="2">
      <formula>C30="NOT_APPLICABLE"</formula>
    </cfRule>
    <cfRule type="expression" priority="53" dxfId="2">
      <formula>C30="NOT_RUN"</formula>
    </cfRule>
    <cfRule type="expression" priority="54" dxfId="1">
      <formula>ISNUMBER(C30)</formula>
    </cfRule>
  </conditionalFormatting>
  <conditionalFormatting sqref="D30">
    <cfRule type="expression" priority="55" dxfId="2">
      <formula>D30="ESTIMATED"</formula>
    </cfRule>
    <cfRule type="expression" priority="56" dxfId="0">
      <formula>D30="ERROR"</formula>
    </cfRule>
  </conditionalFormatting>
  <conditionalFormatting sqref="C32">
    <cfRule type="expression" priority="57" dxfId="0">
      <formula>C32="ERROR"</formula>
    </cfRule>
    <cfRule type="expression" priority="58" dxfId="2">
      <formula>C32="INCOMPLETE"</formula>
    </cfRule>
    <cfRule type="expression" priority="59" dxfId="2">
      <formula>C32="NOT_RUN"</formula>
    </cfRule>
    <cfRule type="expression" priority="60" dxfId="1">
      <formula>C32="OK"</formula>
    </cfRule>
  </conditionalFormatting>
  <conditionalFormatting sqref="C34">
    <cfRule type="expression" priority="61" dxfId="0">
      <formula>C34="FAIL"</formula>
    </cfRule>
    <cfRule type="expression" priority="62" dxfId="1">
      <formula>C34="PASS"</formula>
    </cfRule>
  </conditionalFormatting>
  <conditionalFormatting sqref="B38">
    <cfRule type="expression" priority="63" dxfId="0">
      <formula>NOT(ISNUMBER(B38))</formula>
    </cfRule>
    <cfRule type="expression" priority="64" dxfId="1">
      <formula>ISNUMBER(B38)</formula>
    </cfRule>
  </conditionalFormatting>
  <conditionalFormatting sqref="D38">
    <cfRule type="expression" priority="65" dxfId="0">
      <formula>NOT(ISNUMBER(D38))</formula>
    </cfRule>
    <cfRule type="expression" priority="66" dxfId="1">
      <formula>ISNUMBER(D38)</formula>
    </cfRule>
  </conditionalFormatting>
  <conditionalFormatting sqref="F38">
    <cfRule type="expression" priority="67" dxfId="0">
      <formula>NOT(ISNUMBER(F38))</formula>
    </cfRule>
    <cfRule type="expression" priority="68" dxfId="1">
      <formula>ISNUMBER(F38)</formula>
    </cfRule>
  </conditionalFormatting>
  <dataValidations count="6">
    <dataValidation sqref="C6" showDropDown="0" showInputMessage="0" showErrorMessage="0" allowBlank="1" type="list">
      <formula1>"TRUE,FALSE"</formula1>
    </dataValidation>
    <dataValidation sqref="C10" showDropDown="0" showInputMessage="0" showErrorMessage="0" allowBlank="0" type="list">
      <formula1>"TRUE,FALSE"</formula1>
    </dataValidation>
    <dataValidation sqref="C15" showDropDown="0" showInputMessage="0" showErrorMessage="0" allowBlank="0" type="list">
      <formula1>"none,component,unresolved,blended_only,invalid_direct"</formula1>
    </dataValidation>
    <dataValidation sqref="C19" showDropDown="0" showInputMessage="0" showErrorMessage="0" allowBlank="0" type="list">
      <formula1>"present,absent"</formula1>
    </dataValidation>
    <dataValidation sqref="C17" showDropDown="0" showInputMessage="0" showErrorMessage="0" allowBlank="1" type="list">
      <formula1>"per_month,per_year"</formula1>
    </dataValidation>
    <dataValidation sqref="C14" showDropDown="0" showInputMessage="0" showErrorMessage="0" allowBlank="0" type="list">
      <formula1>"per_month,per_unit_per_month,per_visit"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BF60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17" customWidth="1" min="3" max="3"/>
    <col width="17" customWidth="1" min="4" max="4"/>
    <col width="17" customWidth="1" min="5" max="5"/>
    <col width="17" customWidth="1" min="6" max="6"/>
    <col width="17" customWidth="1" min="7" max="7"/>
    <col width="17" customWidth="1" min="8" max="8"/>
    <col width="17" customWidth="1" min="9" max="9"/>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s>
  <sheetData>
    <row r="2" ht="26" customHeight="1">
      <c r="B2" s="1" t="inlineStr">
        <is>
          <t>13. Python Engine vs Excel Formula — Volume Profit Parity Test</t>
        </is>
      </c>
      <c r="C2" s="6" t="n"/>
      <c r="D2" s="6" t="n"/>
      <c r="E2" s="6" t="n"/>
      <c r="F2" s="6" t="n"/>
      <c r="G2" s="6" t="n"/>
      <c r="H2" s="6" t="n"/>
      <c r="I2" s="6" t="n"/>
    </row>
    <row r="3" ht="60" customHeight="1">
      <c r="B3" s="24" t="inlineStr">
        <is>
          <t>각 케이스는 tests/test_volume_profit.py와 docs/features/volume_profit/SPEC.md의 규칙(per_order ESTIMATED, units_per_order 환산·오류 처리, 음수 안전한계, NOT_RUN/다중 컴포넌트 gate 순서, 기간 처리, 고정비 basis 제한 등)에 대응하며, Excel에 동일 입력값을 리터럴로 심어 12_VOLUME_PROFIT_SIMULATOR와 같은 수식(build_volume_profit_formulas)으로 독립 재계산한 뒤, Python 참조값(core/engine/modes/volume_profit.py 실행 결과, 빌드 시점에 고정)과 값·상태(ESTIMATED 포함)·모듈 상태·기간 basis를 모두 비교합니다. 허용오차 0.01(비율 지표는 0.000001). 경고 코드(warnings)는 Excel에 대응 셀이 없어 비교하지 않습니다.</t>
        </is>
      </c>
    </row>
    <row r="5" ht="20" customHeight="1">
      <c r="B5" s="2" t="inlineStr">
        <is>
          <t>V1. Worked example (SPEC §14), per-unit costs</t>
        </is>
      </c>
      <c r="C5" s="7" t="n"/>
      <c r="D5" s="7" t="n"/>
      <c r="E5" s="7" t="n"/>
      <c r="F5" s="7" t="n"/>
      <c r="G5" s="7" t="n"/>
      <c r="H5" s="7" t="n"/>
      <c r="I5" s="7" t="n"/>
    </row>
    <row r="6">
      <c r="B6" s="4" t="inlineStr">
        <is>
          <t>Metric</t>
        </is>
      </c>
      <c r="C6" s="4" t="inlineStr">
        <is>
          <t>Excel Result</t>
        </is>
      </c>
      <c r="D6" s="4" t="inlineStr">
        <is>
          <t>Python Reference</t>
        </is>
      </c>
      <c r="E6" s="4" t="inlineStr">
        <is>
          <t>Difference</t>
        </is>
      </c>
      <c r="F6" s="4" t="inlineStr">
        <is>
          <t>PASS / FAIL</t>
        </is>
      </c>
      <c r="G6" s="4" t="inlineStr">
        <is>
          <t>Excel Status</t>
        </is>
      </c>
      <c r="H6" s="4" t="inlineStr">
        <is>
          <t>Python Status</t>
        </is>
      </c>
      <c r="I6" s="4" t="inlineStr">
        <is>
          <t>Status PASS</t>
        </is>
      </c>
    </row>
    <row r="7">
      <c r="B7" s="8" t="inlineStr">
        <is>
          <t>Planned Quantity (units)</t>
        </is>
      </c>
      <c r="C7" s="25">
        <f>AO7</f>
        <v/>
      </c>
      <c r="D7" s="21" t="n">
        <v>200</v>
      </c>
      <c r="E7" s="51">
        <f>IF(ISNUMBER(D7),IF(ISNUMBER(AO7),ABS(AO7-D7),"N/A"),"N/A")</f>
        <v/>
      </c>
      <c r="F7" s="15">
        <f>IFERROR(IF(ISNUMBER(D7),IF(ISNUMBER(AO7),IF(ABS(AO7-D7)&lt;=0.01,"PASS","FAIL"),"FAIL"),IF(NOT(ISNUMBER(AO7)),IF(AO7=D7,"PASS","FAIL"),"FAIL")),"FAIL")</f>
        <v/>
      </c>
      <c r="G7" s="16">
        <f>AP7</f>
        <v/>
      </c>
      <c r="H7" s="30" t="inlineStr">
        <is>
          <t>OK</t>
        </is>
      </c>
      <c r="I7" s="15">
        <f>IF(AP7=H7,"PASS","FAIL")</f>
        <v/>
      </c>
      <c r="M7" t="n">
        <v>35000</v>
      </c>
      <c r="N7" t="b">
        <v>1</v>
      </c>
      <c r="O7" t="n">
        <v>0.1</v>
      </c>
      <c r="P7" t="n">
        <v>13500</v>
      </c>
      <c r="Q7" t="n">
        <v>3000</v>
      </c>
      <c r="R7" t="b">
        <v>0</v>
      </c>
      <c r="S7" t="n">
        <v>0</v>
      </c>
      <c r="T7" t="n">
        <v>0.025</v>
      </c>
      <c r="U7" t="n">
        <v>2000000</v>
      </c>
      <c r="V7" t="inlineStr">
        <is>
          <t>per_month</t>
        </is>
      </c>
      <c r="W7" t="inlineStr">
        <is>
          <t>component</t>
        </is>
      </c>
      <c r="X7" t="inlineStr">
        <is>
          <t>consistent</t>
        </is>
      </c>
      <c r="Y7" t="n">
        <v>1</v>
      </c>
      <c r="Z7" t="inlineStr">
        <is>
          <t>present</t>
        </is>
      </c>
      <c r="AA7" t="n">
        <v>200</v>
      </c>
      <c r="AB7" t="inlineStr">
        <is>
          <t>per_month</t>
        </is>
      </c>
      <c r="AD7">
        <f>IFERROR(IF(ISBLANK($M$7),"UNKNOWN",IF(ISBLANK($N$7),"UNKNOWN",IF($N$7=FALSE,$M$7,IF(ISBLANK($O$7),"UNKNOWN",$M$7/(1+$O$7))))),"ERROR")</f>
        <v/>
      </c>
      <c r="AE7">
        <f>IFERROR(IF(ISBLANK($M$7),"UNKNOWN",IF(ISBLANK($N$7),"UNKNOWN",IF($N$7=TRUE,$M$7,IF(ISBLANK($O$7),"UNKNOWN",$M$7*(1+$O$7))))),"ERROR")</f>
        <v/>
      </c>
      <c r="AF7">
        <f>IF($Y$7&gt;1,"ERROR",IFERROR(IF(AD7="ERROR","ERROR",IF(OR(NOT(ISNUMBER(AD7)),ISBLANK($P$7),ISBLANK($Q$7),ISBLANK($S$7),ISBLANK($T$7)),"UNKNOWN",IF($T$7&gt;0,IF(AE7="ERROR","ERROR",IF(NOT(ISNUMBER(AE7)),"UNKNOWN",AD7-$P$7-$Q$7-$S$7*AD7-$T$7*AE7)),AD7-$P$7-$Q$7-$S$7*AD7))),"ERROR"))</f>
        <v/>
      </c>
      <c r="AG7">
        <f>IF($Y$7&gt;1,"ERROR",IFERROR(IF($W$7="invalid_direct","ERROR",IF($X$7="inconsistent","ERROR",IF($W$7="none",0,IF(OR($W$7="unresolved",$W$7="blended_only"),"UNKNOWN",IF(ISBLANK($U$7),"UNKNOWN",IF($U$7&lt;0,"ERROR",$U$7)))))),"ERROR"))</f>
        <v/>
      </c>
      <c r="AH7">
        <f>IF($Y$7&gt;1,"",IF(OR($W$7="invalid_direct",$X$7="inconsistent"),"",IF($W$7="none","",IF(OR($W$7="unresolved",$W$7="blended_only"),"",IF(ISBLANK($U$7),"",IF($U$7&lt;0,"",$V$7))))))</f>
        <v/>
      </c>
      <c r="AI7">
        <f>IF($Y$7&gt;1,"ERROR",IFERROR(IF(OR(AF7="ERROR",AG7="ERROR"),"ERROR",IF(OR(NOT(ISNUMBER(AF7)),NOT(ISNUMBER(AG7))),"UNKNOWN",IF(AF7&lt;=0,"NOT_APPLICABLE",AG7/AF7))),"ERROR"))</f>
        <v/>
      </c>
      <c r="AJ7">
        <f>IF($Y$7&gt;1,"MULTI_COMPONENT_BEP_NOT_SUPPORTED",IF($W$7="invalid_direct","INVALID_ALLOCATION_CONFIGURATION",IF($X$7="inconsistent","INCONSISTENT_FIXED_COST_BASIS",IF(AND($W$7="component",NOT(ISBLANK($U$7)),$U$7&lt;0),"INVALID_NEGATIVE_COST",IF(AF7="ERROR","CALCULATION_ERROR",IF($W$7="blended_only","FIXED_COST_BLENDED_ONLY_NOT_ALLOCATED",IF($W$7="unresolved","UNSUPPORTED_SHARED_COST_ALLOCATION",IF(NOT(ISNUMBER(AF7)),"MISSING_DEPENDENCY",IF(AND($W$7="component",ISBLANK($U$7)),"MISSING_DEPENDENCY",IF(AND(AF7=0,AG7=0),"BREAK_EVEN_UNDEFINED_ZERO_MARGIN_ZERO_FIXED_COST",IF(AF7=0,"BREAK_EVEN_UNDEFINED_ZERO_MARGIN",IF(AF7&lt;0,"BREAK_EVEN_UNDEFINED_NEGATIVE_MARGIN","NONE"))))))))))))</f>
        <v/>
      </c>
      <c r="AK7">
        <f>IF(AND(NOT(ISBLANK($AA$7)),$AA$7&lt;0),"ERROR",IF(AND($AB$7&lt;&gt;"",$AB$7&lt;&gt;"per_month"),"ERROR",IF(OR(ISBLANK($AA$7),$AB$7=""),"UNKNOWN",$AA$7)))</f>
        <v/>
      </c>
      <c r="AL7">
        <f>IF(AND(ISNUMBER(AG7),AH7&lt;&gt;"",AH7&lt;&gt;"per_month"),"ERROR",AG7)</f>
        <v/>
      </c>
      <c r="AM7">
        <f>IF(ISBLANK($AC$7),"none",IF(AND(ISNUMBER($AC$7),$AC$7&gt;0),"valid","invalid"))</f>
        <v/>
      </c>
      <c r="AN7">
        <f>IF(AM7="invalid","ERROR",IF(AND(AM7="valid",$R$7=TRUE,ISNUMBER(AF7)),AF7+$Q$7*(1-1/$AC$7),AF7))</f>
        <v/>
      </c>
      <c r="AO7">
        <f>IF($Z$7="absent","NOT_RUN",IF($Y$7&gt;1,"ERROR",AK7))</f>
        <v/>
      </c>
      <c r="AP7">
        <f>IF(ISNUMBER(AO7),"OK",AO7)</f>
        <v/>
      </c>
      <c r="AQ7">
        <f>IF($Z$7="absent","NOT_RUN",IF($Y$7&gt;1,"ERROR",IFERROR(IF(OR(AK7="ERROR",AD7="ERROR"),"ERROR",IF(OR(NOT(ISNUMBER(AK7)),NOT(ISNUMBER(AD7))),"UNKNOWN",AD7*AK7)),"ERROR")))</f>
        <v/>
      </c>
      <c r="AR7">
        <f>IF(ISNUMBER(AQ7),"OK",AQ7)</f>
        <v/>
      </c>
      <c r="AS7">
        <f>IF($Z$7="absent","NOT_RUN",IF($Y$7&gt;1,"ERROR",IFERROR(IF(OR(AK7="ERROR",AN7="ERROR"),"ERROR",IF(OR(NOT(ISNUMBER(AK7)),NOT(ISNUMBER(AN7))),"UNKNOWN",AN7*AK7)),"ERROR")))</f>
        <v/>
      </c>
      <c r="AT7">
        <f>IF(ISNUMBER(AS7),IF(AND($R$7=TRUE,AM7="none"),"ESTIMATED","OK"),AS7)</f>
        <v/>
      </c>
      <c r="AU7">
        <f>IF($Z$7="absent","NOT_RUN",IF($Y$7&gt;1,"ERROR",IFERROR(IF(OR(AK7="ERROR",AN7="ERROR",AL7="ERROR"),"ERROR",IF(OR(NOT(ISNUMBER(AK7)),NOT(ISNUMBER(AN7)),NOT(ISNUMBER(AL7))),"UNKNOWN",AN7*AK7-AL7)),"ERROR")))</f>
        <v/>
      </c>
      <c r="AV7">
        <f>IF(ISNUMBER(AU7),IF(AND($R$7=TRUE,AM7="none"),"ESTIMATED","OK"),AU7)</f>
        <v/>
      </c>
      <c r="AW7">
        <f>IF($Z$7="absent","NOT_RUN",IF($Y$7&gt;1,"ERROR",IFERROR(IF(OR(AU7="ERROR",AQ7="ERROR"),"ERROR",IF(OR(NOT(ISNUMBER(AU7)),NOT(ISNUMBER(AQ7))),"UNKNOWN",IF(AQ7=0,"NOT_APPLICABLE",AU7/AQ7))),"ERROR")))</f>
        <v/>
      </c>
      <c r="AX7">
        <f>IF(ISNUMBER(AW7),IF(AND($R$7=TRUE,AM7="none"),"ESTIMATED","OK"),AW7)</f>
        <v/>
      </c>
      <c r="AY7">
        <f>IF($Z$7="absent","NOT_RUN",IF($Y$7&gt;1,"ERROR",IFERROR(IF(OR(AN7="ERROR",AL7="ERROR"),"ERROR",IF(OR(NOT(ISNUMBER(AN7)),NOT(ISNUMBER(AL7))),"UNKNOWN",IF(AN7&lt;=0,"NOT_APPLICABLE",AL7/AN7))),"ERROR")))</f>
        <v/>
      </c>
      <c r="AZ7">
        <f>IF(ISNUMBER(AY7),IF(AND($R$7=TRUE,AM7="none"),"ESTIMATED","OK"),AY7)</f>
        <v/>
      </c>
      <c r="BA7">
        <f>IF($Z$7="absent","NOT_RUN",IF($Y$7&gt;1,"ERROR",IFERROR(IF(OR(AK7="ERROR",AN7="ERROR",AL7="ERROR"),"ERROR",IF(OR(NOT(ISNUMBER(AK7)),NOT(ISNUMBER(AN7)),NOT(ISNUMBER(AL7))),"UNKNOWN",IF(AN7&lt;=0,"NOT_APPLICABLE",AK7-AY7))),"ERROR")))</f>
        <v/>
      </c>
      <c r="BB7">
        <f>IF(ISNUMBER(BA7),IF(AND($R$7=TRUE,AM7="none"),"ESTIMATED","OK"),BA7)</f>
        <v/>
      </c>
      <c r="BC7">
        <f>IF($Z$7="absent","NOT_RUN",IF($Y$7&gt;1,"ERROR",IFERROR(IF(OR(AK7="ERROR",AN7="ERROR",AL7="ERROR"),"ERROR",IF(OR(NOT(ISNUMBER(AK7)),NOT(ISNUMBER(AN7)),NOT(ISNUMBER(AL7))),"UNKNOWN",IF(OR(AN7&lt;=0,AK7=0),"NOT_APPLICABLE",(AK7-AY7)/AK7))),"ERROR")))</f>
        <v/>
      </c>
      <c r="BD7">
        <f>IF(ISNUMBER(BC7),IF(AND($R$7=TRUE,AM7="none"),"ESTIMATED","OK"),BC7)</f>
        <v/>
      </c>
      <c r="BE7">
        <f>IF($Z$7="absent","NOT_RUN",IF(OR(AP7="ERROR",AR7="ERROR",AT7="ERROR",AV7="ERROR",AX7="ERROR",AZ7="ERROR",BB7="ERROR",BD7="ERROR"),"ERROR",IF(OR(AP7="UNKNOWN",AR7="UNKNOWN",AT7="UNKNOWN",AV7="UNKNOWN",AX7="UNKNOWN",AZ7="UNKNOWN",BB7="UNKNOWN",BD7="UNKNOWN"),"INCOMPLETE","OK")))</f>
        <v/>
      </c>
      <c r="BF7">
        <f>IF($Z$7="absent","",AH7)</f>
        <v/>
      </c>
    </row>
    <row r="8">
      <c r="B8" s="8" t="inlineStr">
        <is>
          <t>Total Net Sales ex VAT</t>
        </is>
      </c>
      <c r="C8" s="52">
        <f>AQ7</f>
        <v/>
      </c>
      <c r="D8" s="53" t="n">
        <v>6363636.363636363</v>
      </c>
      <c r="E8" s="51">
        <f>IF(ISNUMBER(D8),IF(ISNUMBER(AQ7),ABS(AQ7-D8),"N/A"),"N/A")</f>
        <v/>
      </c>
      <c r="F8" s="15">
        <f>IFERROR(IF(ISNUMBER(D8),IF(ISNUMBER(AQ7),IF(ABS(AQ7-D8)&lt;=0.01,"PASS","FAIL"),"FAIL"),IF(NOT(ISNUMBER(AQ7)),IF(AQ7=D8,"PASS","FAIL"),"FAIL")),"FAIL")</f>
        <v/>
      </c>
      <c r="G8" s="16">
        <f>AR7</f>
        <v/>
      </c>
      <c r="H8" s="30" t="inlineStr">
        <is>
          <t>OK</t>
        </is>
      </c>
      <c r="I8" s="15">
        <f>IF(AR7=H8,"PASS","FAIL")</f>
        <v/>
      </c>
    </row>
    <row r="9">
      <c r="B9" s="8" t="inlineStr">
        <is>
          <t>Total Contribution Margin</t>
        </is>
      </c>
      <c r="C9" s="52">
        <f>AS7</f>
        <v/>
      </c>
      <c r="D9" s="53" t="n">
        <v>2888636.363636363</v>
      </c>
      <c r="E9" s="51">
        <f>IF(ISNUMBER(D9),IF(ISNUMBER(AS7),ABS(AS7-D9),"N/A"),"N/A")</f>
        <v/>
      </c>
      <c r="F9" s="15">
        <f>IFERROR(IF(ISNUMBER(D9),IF(ISNUMBER(AS7),IF(ABS(AS7-D9)&lt;=0.01,"PASS","FAIL"),"FAIL"),IF(NOT(ISNUMBER(AS7)),IF(AS7=D9,"PASS","FAIL"),"FAIL")),"FAIL")</f>
        <v/>
      </c>
      <c r="G9" s="16">
        <f>AT7</f>
        <v/>
      </c>
      <c r="H9" s="30" t="inlineStr">
        <is>
          <t>OK</t>
        </is>
      </c>
      <c r="I9" s="15">
        <f>IF(AT7=H9,"PASS","FAIL")</f>
        <v/>
      </c>
    </row>
    <row r="10">
      <c r="B10" s="8" t="inlineStr">
        <is>
          <t>Operating Profit</t>
        </is>
      </c>
      <c r="C10" s="52">
        <f>AU7</f>
        <v/>
      </c>
      <c r="D10" s="53" t="n">
        <v>888636.3636363633</v>
      </c>
      <c r="E10" s="51">
        <f>IF(ISNUMBER(D10),IF(ISNUMBER(AU7),ABS(AU7-D10),"N/A"),"N/A")</f>
        <v/>
      </c>
      <c r="F10" s="15">
        <f>IFERROR(IF(ISNUMBER(D10),IF(ISNUMBER(AU7),IF(ABS(AU7-D10)&lt;=0.01,"PASS","FAIL"),"FAIL"),IF(NOT(ISNUMBER(AU7)),IF(AU7=D10,"PASS","FAIL"),"FAIL")),"FAIL")</f>
        <v/>
      </c>
      <c r="G10" s="16">
        <f>AV7</f>
        <v/>
      </c>
      <c r="H10" s="30" t="inlineStr">
        <is>
          <t>OK</t>
        </is>
      </c>
      <c r="I10" s="15">
        <f>IF(AV7=H10,"PASS","FAIL")</f>
        <v/>
      </c>
    </row>
    <row r="11">
      <c r="B11" s="8" t="inlineStr">
        <is>
          <t>Operating Profit Rate</t>
        </is>
      </c>
      <c r="C11" s="54">
        <f>AW7</f>
        <v/>
      </c>
      <c r="D11" s="55" t="n">
        <v>0.1396428571428571</v>
      </c>
      <c r="E11" s="51">
        <f>IF(ISNUMBER(D11),IF(ISNUMBER(AW7),ABS(AW7-D11),"N/A"),"N/A")</f>
        <v/>
      </c>
      <c r="F11" s="15">
        <f>IFERROR(IF(ISNUMBER(D11),IF(ISNUMBER(AW7),IF(ABS(AW7-D11)&lt;=1e-06,"PASS","FAIL"),"FAIL"),IF(NOT(ISNUMBER(AW7)),IF(AW7=D11,"PASS","FAIL"),"FAIL")),"FAIL")</f>
        <v/>
      </c>
      <c r="G11" s="16">
        <f>AX7</f>
        <v/>
      </c>
      <c r="H11" s="30" t="inlineStr">
        <is>
          <t>OK</t>
        </is>
      </c>
      <c r="I11" s="15">
        <f>IF(AX7=H11,"PASS","FAIL")</f>
        <v/>
      </c>
    </row>
    <row r="12">
      <c r="B12" s="8" t="inlineStr">
        <is>
          <t>Break-Even Quantity (Q_BEP)</t>
        </is>
      </c>
      <c r="C12" s="25">
        <f>AY7</f>
        <v/>
      </c>
      <c r="D12" s="21" t="n">
        <v>138.4736428009442</v>
      </c>
      <c r="E12" s="51">
        <f>IF(ISNUMBER(D12),IF(ISNUMBER(AY7),ABS(AY7-D12),"N/A"),"N/A")</f>
        <v/>
      </c>
      <c r="F12" s="15">
        <f>IFERROR(IF(ISNUMBER(D12),IF(ISNUMBER(AY7),IF(ABS(AY7-D12)&lt;=0.01,"PASS","FAIL"),"FAIL"),IF(NOT(ISNUMBER(AY7)),IF(AY7=D12,"PASS","FAIL"),"FAIL")),"FAIL")</f>
        <v/>
      </c>
      <c r="G12" s="16">
        <f>AZ7</f>
        <v/>
      </c>
      <c r="H12" s="30" t="inlineStr">
        <is>
          <t>OK</t>
        </is>
      </c>
      <c r="I12" s="15">
        <f>IF(AZ7=H12,"PASS","FAIL")</f>
        <v/>
      </c>
    </row>
    <row r="13">
      <c r="B13" s="8" t="inlineStr">
        <is>
          <t>Margin of Safety Quantity</t>
        </is>
      </c>
      <c r="C13" s="25">
        <f>BA7</f>
        <v/>
      </c>
      <c r="D13" s="21" t="n">
        <v>61.52635719905584</v>
      </c>
      <c r="E13" s="51">
        <f>IF(ISNUMBER(D13),IF(ISNUMBER(BA7),ABS(BA7-D13),"N/A"),"N/A")</f>
        <v/>
      </c>
      <c r="F13" s="15">
        <f>IFERROR(IF(ISNUMBER(D13),IF(ISNUMBER(BA7),IF(ABS(BA7-D13)&lt;=0.01,"PASS","FAIL"),"FAIL"),IF(NOT(ISNUMBER(BA7)),IF(BA7=D13,"PASS","FAIL"),"FAIL")),"FAIL")</f>
        <v/>
      </c>
      <c r="G13" s="16">
        <f>BB7</f>
        <v/>
      </c>
      <c r="H13" s="30" t="inlineStr">
        <is>
          <t>OK</t>
        </is>
      </c>
      <c r="I13" s="15">
        <f>IF(BB7=H13,"PASS","FAIL")</f>
        <v/>
      </c>
    </row>
    <row r="14">
      <c r="B14" s="8" t="inlineStr">
        <is>
          <t>Margin of Safety Rate</t>
        </is>
      </c>
      <c r="C14" s="54">
        <f>BC7</f>
        <v/>
      </c>
      <c r="D14" s="55" t="n">
        <v>0.3076317859952792</v>
      </c>
      <c r="E14" s="51">
        <f>IF(ISNUMBER(D14),IF(ISNUMBER(BC7),ABS(BC7-D14),"N/A"),"N/A")</f>
        <v/>
      </c>
      <c r="F14" s="15">
        <f>IFERROR(IF(ISNUMBER(D14),IF(ISNUMBER(BC7),IF(ABS(BC7-D14)&lt;=1e-06,"PASS","FAIL"),"FAIL"),IF(NOT(ISNUMBER(BC7)),IF(BC7=D14,"PASS","FAIL"),"FAIL")),"FAIL")</f>
        <v/>
      </c>
      <c r="G14" s="16">
        <f>BD7</f>
        <v/>
      </c>
      <c r="H14" s="30" t="inlineStr">
        <is>
          <t>OK</t>
        </is>
      </c>
      <c r="I14" s="15">
        <f>IF(BD7=H14,"PASS","FAIL")</f>
        <v/>
      </c>
    </row>
    <row r="15">
      <c r="B15" s="8" t="inlineStr">
        <is>
          <t>Module Status</t>
        </is>
      </c>
      <c r="C15" s="16">
        <f>BE7</f>
        <v/>
      </c>
      <c r="D15" s="30" t="inlineStr">
        <is>
          <t>OK</t>
        </is>
      </c>
      <c r="F15" s="15">
        <f>IF(BE7=D15,"PASS","FAIL")</f>
        <v/>
      </c>
    </row>
    <row r="16">
      <c r="B16" s="8" t="inlineStr">
        <is>
          <t>Analysis Period Basis</t>
        </is>
      </c>
      <c r="C16" s="16">
        <f>BF7</f>
        <v/>
      </c>
      <c r="D16" s="30" t="inlineStr">
        <is>
          <t>per_month</t>
        </is>
      </c>
      <c r="F16" s="15">
        <f>IF(BF7=D16,"PASS","FAIL")</f>
        <v/>
      </c>
    </row>
    <row r="17">
      <c r="B17" s="8" t="inlineStr">
        <is>
          <t>Self-Check: |MoS qty × CMu − Operating Profit| ≤ tol</t>
        </is>
      </c>
      <c r="C17" s="36">
        <f>IF(OR(NOT(ISNUMBER(BA7)),NOT(ISNUMBER(AN7)),NOT(ISNUMBER(AU7))),"SKIP",IF(ABS(BA7*AN7-AU7)&lt;=0.01,"PASS","FAIL"))</f>
        <v/>
      </c>
      <c r="D17" s="34" t="n"/>
      <c r="F17" s="15">
        <f>IF(C17="FAIL","FAIL","PASS")</f>
        <v/>
      </c>
    </row>
    <row r="19" ht="20" customHeight="1">
      <c r="B19" s="2" t="inlineStr">
        <is>
          <t>V2. Same, per_order cost -&gt; ESTIMATED</t>
        </is>
      </c>
      <c r="C19" s="7" t="n"/>
      <c r="D19" s="7" t="n"/>
      <c r="E19" s="7" t="n"/>
      <c r="F19" s="7" t="n"/>
      <c r="G19" s="7" t="n"/>
      <c r="H19" s="7" t="n"/>
      <c r="I19" s="7" t="n"/>
    </row>
    <row r="20">
      <c r="B20" s="4" t="inlineStr">
        <is>
          <t>Metric</t>
        </is>
      </c>
      <c r="C20" s="4" t="inlineStr">
        <is>
          <t>Excel Result</t>
        </is>
      </c>
      <c r="D20" s="4" t="inlineStr">
        <is>
          <t>Python Reference</t>
        </is>
      </c>
      <c r="E20" s="4" t="inlineStr">
        <is>
          <t>Difference</t>
        </is>
      </c>
      <c r="F20" s="4" t="inlineStr">
        <is>
          <t>PASS / FAIL</t>
        </is>
      </c>
      <c r="G20" s="4" t="inlineStr">
        <is>
          <t>Excel Status</t>
        </is>
      </c>
      <c r="H20" s="4" t="inlineStr">
        <is>
          <t>Python Status</t>
        </is>
      </c>
      <c r="I20" s="4" t="inlineStr">
        <is>
          <t>Status PASS</t>
        </is>
      </c>
    </row>
    <row r="21">
      <c r="B21" s="8" t="inlineStr">
        <is>
          <t>Planned Quantity (units)</t>
        </is>
      </c>
      <c r="C21" s="25">
        <f>AO21</f>
        <v/>
      </c>
      <c r="D21" s="21" t="n">
        <v>200</v>
      </c>
      <c r="E21" s="51">
        <f>IF(ISNUMBER(D21),IF(ISNUMBER(AO21),ABS(AO21-D21),"N/A"),"N/A")</f>
        <v/>
      </c>
      <c r="F21" s="15">
        <f>IFERROR(IF(ISNUMBER(D21),IF(ISNUMBER(AO21),IF(ABS(AO21-D21)&lt;=0.01,"PASS","FAIL"),"FAIL"),IF(NOT(ISNUMBER(AO21)),IF(AO21=D21,"PASS","FAIL"),"FAIL")),"FAIL")</f>
        <v/>
      </c>
      <c r="G21" s="16">
        <f>AP21</f>
        <v/>
      </c>
      <c r="H21" s="30" t="inlineStr">
        <is>
          <t>OK</t>
        </is>
      </c>
      <c r="I21" s="15">
        <f>IF(AP21=H21,"PASS","FAIL")</f>
        <v/>
      </c>
      <c r="M21" t="n">
        <v>35000</v>
      </c>
      <c r="N21" t="b">
        <v>1</v>
      </c>
      <c r="O21" t="n">
        <v>0.1</v>
      </c>
      <c r="P21" t="n">
        <v>13500</v>
      </c>
      <c r="Q21" t="n">
        <v>3000</v>
      </c>
      <c r="R21" t="b">
        <v>1</v>
      </c>
      <c r="S21" t="n">
        <v>0</v>
      </c>
      <c r="T21" t="n">
        <v>0.025</v>
      </c>
      <c r="U21" t="n">
        <v>2000000</v>
      </c>
      <c r="V21" t="inlineStr">
        <is>
          <t>per_month</t>
        </is>
      </c>
      <c r="W21" t="inlineStr">
        <is>
          <t>component</t>
        </is>
      </c>
      <c r="X21" t="inlineStr">
        <is>
          <t>consistent</t>
        </is>
      </c>
      <c r="Y21" t="n">
        <v>1</v>
      </c>
      <c r="Z21" t="inlineStr">
        <is>
          <t>present</t>
        </is>
      </c>
      <c r="AA21" t="n">
        <v>200</v>
      </c>
      <c r="AB21" t="inlineStr">
        <is>
          <t>per_month</t>
        </is>
      </c>
      <c r="AD21">
        <f>IFERROR(IF(ISBLANK($M$21),"UNKNOWN",IF(ISBLANK($N$21),"UNKNOWN",IF($N$21=FALSE,$M$21,IF(ISBLANK($O$21),"UNKNOWN",$M$21/(1+$O$21))))),"ERROR")</f>
        <v/>
      </c>
      <c r="AE21">
        <f>IFERROR(IF(ISBLANK($M$21),"UNKNOWN",IF(ISBLANK($N$21),"UNKNOWN",IF($N$21=TRUE,$M$21,IF(ISBLANK($O$21),"UNKNOWN",$M$21*(1+$O$21))))),"ERROR")</f>
        <v/>
      </c>
      <c r="AF21">
        <f>IF($Y$21&gt;1,"ERROR",IFERROR(IF(AD21="ERROR","ERROR",IF(OR(NOT(ISNUMBER(AD21)),ISBLANK($P$21),ISBLANK($Q$21),ISBLANK($S$21),ISBLANK($T$21)),"UNKNOWN",IF($T$21&gt;0,IF(AE21="ERROR","ERROR",IF(NOT(ISNUMBER(AE21)),"UNKNOWN",AD21-$P$21-$Q$21-$S$21*AD21-$T$21*AE21)),AD21-$P$21-$Q$21-$S$21*AD21))),"ERROR"))</f>
        <v/>
      </c>
      <c r="AG21">
        <f>IF($Y$21&gt;1,"ERROR",IFERROR(IF($W$21="invalid_direct","ERROR",IF($X$21="inconsistent","ERROR",IF($W$21="none",0,IF(OR($W$21="unresolved",$W$21="blended_only"),"UNKNOWN",IF(ISBLANK($U$21),"UNKNOWN",IF($U$21&lt;0,"ERROR",$U$21)))))),"ERROR"))</f>
        <v/>
      </c>
      <c r="AH21">
        <f>IF($Y$21&gt;1,"",IF(OR($W$21="invalid_direct",$X$21="inconsistent"),"",IF($W$21="none","",IF(OR($W$21="unresolved",$W$21="blended_only"),"",IF(ISBLANK($U$21),"",IF($U$21&lt;0,"",$V$21))))))</f>
        <v/>
      </c>
      <c r="AI21">
        <f>IF($Y$21&gt;1,"ERROR",IFERROR(IF(OR(AF21="ERROR",AG21="ERROR"),"ERROR",IF(OR(NOT(ISNUMBER(AF21)),NOT(ISNUMBER(AG21))),"UNKNOWN",IF(AF21&lt;=0,"NOT_APPLICABLE",AG21/AF21))),"ERROR"))</f>
        <v/>
      </c>
      <c r="AJ21">
        <f>IF($Y$21&gt;1,"MULTI_COMPONENT_BEP_NOT_SUPPORTED",IF($W$21="invalid_direct","INVALID_ALLOCATION_CONFIGURATION",IF($X$21="inconsistent","INCONSISTENT_FIXED_COST_BASIS",IF(AND($W$21="component",NOT(ISBLANK($U$21)),$U$21&lt;0),"INVALID_NEGATIVE_COST",IF(AF21="ERROR","CALCULATION_ERROR",IF($W$21="blended_only","FIXED_COST_BLENDED_ONLY_NOT_ALLOCATED",IF($W$21="unresolved","UNSUPPORTED_SHARED_COST_ALLOCATION",IF(NOT(ISNUMBER(AF21)),"MISSING_DEPENDENCY",IF(AND($W$21="component",ISBLANK($U$21)),"MISSING_DEPENDENCY",IF(AND(AF21=0,AG21=0),"BREAK_EVEN_UNDEFINED_ZERO_MARGIN_ZERO_FIXED_COST",IF(AF21=0,"BREAK_EVEN_UNDEFINED_ZERO_MARGIN",IF(AF21&lt;0,"BREAK_EVEN_UNDEFINED_NEGATIVE_MARGIN","NONE"))))))))))))</f>
        <v/>
      </c>
      <c r="AK21">
        <f>IF(AND(NOT(ISBLANK($AA$21)),$AA$21&lt;0),"ERROR",IF(AND($AB$21&lt;&gt;"",$AB$21&lt;&gt;"per_month"),"ERROR",IF(OR(ISBLANK($AA$21),$AB$21=""),"UNKNOWN",$AA$21)))</f>
        <v/>
      </c>
      <c r="AL21">
        <f>IF(AND(ISNUMBER(AG21),AH21&lt;&gt;"",AH21&lt;&gt;"per_month"),"ERROR",AG21)</f>
        <v/>
      </c>
      <c r="AM21">
        <f>IF(ISBLANK($AC$21),"none",IF(AND(ISNUMBER($AC$21),$AC$21&gt;0),"valid","invalid"))</f>
        <v/>
      </c>
      <c r="AN21">
        <f>IF(AM21="invalid","ERROR",IF(AND(AM21="valid",$R$21=TRUE,ISNUMBER(AF21)),AF21+$Q$21*(1-1/$AC$21),AF21))</f>
        <v/>
      </c>
      <c r="AO21">
        <f>IF($Z$21="absent","NOT_RUN",IF($Y$21&gt;1,"ERROR",AK21))</f>
        <v/>
      </c>
      <c r="AP21">
        <f>IF(ISNUMBER(AO21),"OK",AO21)</f>
        <v/>
      </c>
      <c r="AQ21">
        <f>IF($Z$21="absent","NOT_RUN",IF($Y$21&gt;1,"ERROR",IFERROR(IF(OR(AK21="ERROR",AD21="ERROR"),"ERROR",IF(OR(NOT(ISNUMBER(AK21)),NOT(ISNUMBER(AD21))),"UNKNOWN",AD21*AK21)),"ERROR")))</f>
        <v/>
      </c>
      <c r="AR21">
        <f>IF(ISNUMBER(AQ21),"OK",AQ21)</f>
        <v/>
      </c>
      <c r="AS21">
        <f>IF($Z$21="absent","NOT_RUN",IF($Y$21&gt;1,"ERROR",IFERROR(IF(OR(AK21="ERROR",AN21="ERROR"),"ERROR",IF(OR(NOT(ISNUMBER(AK21)),NOT(ISNUMBER(AN21))),"UNKNOWN",AN21*AK21)),"ERROR")))</f>
        <v/>
      </c>
      <c r="AT21">
        <f>IF(ISNUMBER(AS21),IF(AND($R$21=TRUE,AM21="none"),"ESTIMATED","OK"),AS21)</f>
        <v/>
      </c>
      <c r="AU21">
        <f>IF($Z$21="absent","NOT_RUN",IF($Y$21&gt;1,"ERROR",IFERROR(IF(OR(AK21="ERROR",AN21="ERROR",AL21="ERROR"),"ERROR",IF(OR(NOT(ISNUMBER(AK21)),NOT(ISNUMBER(AN21)),NOT(ISNUMBER(AL21))),"UNKNOWN",AN21*AK21-AL21)),"ERROR")))</f>
        <v/>
      </c>
      <c r="AV21">
        <f>IF(ISNUMBER(AU21),IF(AND($R$21=TRUE,AM21="none"),"ESTIMATED","OK"),AU21)</f>
        <v/>
      </c>
      <c r="AW21">
        <f>IF($Z$21="absent","NOT_RUN",IF($Y$21&gt;1,"ERROR",IFERROR(IF(OR(AU21="ERROR",AQ21="ERROR"),"ERROR",IF(OR(NOT(ISNUMBER(AU21)),NOT(ISNUMBER(AQ21))),"UNKNOWN",IF(AQ21=0,"NOT_APPLICABLE",AU21/AQ21))),"ERROR")))</f>
        <v/>
      </c>
      <c r="AX21">
        <f>IF(ISNUMBER(AW21),IF(AND($R$21=TRUE,AM21="none"),"ESTIMATED","OK"),AW21)</f>
        <v/>
      </c>
      <c r="AY21">
        <f>IF($Z$21="absent","NOT_RUN",IF($Y$21&gt;1,"ERROR",IFERROR(IF(OR(AN21="ERROR",AL21="ERROR"),"ERROR",IF(OR(NOT(ISNUMBER(AN21)),NOT(ISNUMBER(AL21))),"UNKNOWN",IF(AN21&lt;=0,"NOT_APPLICABLE",AL21/AN21))),"ERROR")))</f>
        <v/>
      </c>
      <c r="AZ21">
        <f>IF(ISNUMBER(AY21),IF(AND($R$21=TRUE,AM21="none"),"ESTIMATED","OK"),AY21)</f>
        <v/>
      </c>
      <c r="BA21">
        <f>IF($Z$21="absent","NOT_RUN",IF($Y$21&gt;1,"ERROR",IFERROR(IF(OR(AK21="ERROR",AN21="ERROR",AL21="ERROR"),"ERROR",IF(OR(NOT(ISNUMBER(AK21)),NOT(ISNUMBER(AN21)),NOT(ISNUMBER(AL21))),"UNKNOWN",IF(AN21&lt;=0,"NOT_APPLICABLE",AK21-AY21))),"ERROR")))</f>
        <v/>
      </c>
      <c r="BB21">
        <f>IF(ISNUMBER(BA21),IF(AND($R$21=TRUE,AM21="none"),"ESTIMATED","OK"),BA21)</f>
        <v/>
      </c>
      <c r="BC21">
        <f>IF($Z$21="absent","NOT_RUN",IF($Y$21&gt;1,"ERROR",IFERROR(IF(OR(AK21="ERROR",AN21="ERROR",AL21="ERROR"),"ERROR",IF(OR(NOT(ISNUMBER(AK21)),NOT(ISNUMBER(AN21)),NOT(ISNUMBER(AL21))),"UNKNOWN",IF(OR(AN21&lt;=0,AK21=0),"NOT_APPLICABLE",(AK21-AY21)/AK21))),"ERROR")))</f>
        <v/>
      </c>
      <c r="BD21">
        <f>IF(ISNUMBER(BC21),IF(AND($R$21=TRUE,AM21="none"),"ESTIMATED","OK"),BC21)</f>
        <v/>
      </c>
      <c r="BE21">
        <f>IF($Z$21="absent","NOT_RUN",IF(OR(AP21="ERROR",AR21="ERROR",AT21="ERROR",AV21="ERROR",AX21="ERROR",AZ21="ERROR",BB21="ERROR",BD21="ERROR"),"ERROR",IF(OR(AP21="UNKNOWN",AR21="UNKNOWN",AT21="UNKNOWN",AV21="UNKNOWN",AX21="UNKNOWN",AZ21="UNKNOWN",BB21="UNKNOWN",BD21="UNKNOWN"),"INCOMPLETE","OK")))</f>
        <v/>
      </c>
      <c r="BF21">
        <f>IF($Z$21="absent","",AH21)</f>
        <v/>
      </c>
    </row>
    <row r="22">
      <c r="B22" s="8" t="inlineStr">
        <is>
          <t>Total Net Sales ex VAT</t>
        </is>
      </c>
      <c r="C22" s="52">
        <f>AQ21</f>
        <v/>
      </c>
      <c r="D22" s="53" t="n">
        <v>6363636.363636363</v>
      </c>
      <c r="E22" s="51">
        <f>IF(ISNUMBER(D22),IF(ISNUMBER(AQ21),ABS(AQ21-D22),"N/A"),"N/A")</f>
        <v/>
      </c>
      <c r="F22" s="15">
        <f>IFERROR(IF(ISNUMBER(D22),IF(ISNUMBER(AQ21),IF(ABS(AQ21-D22)&lt;=0.01,"PASS","FAIL"),"FAIL"),IF(NOT(ISNUMBER(AQ21)),IF(AQ21=D22,"PASS","FAIL"),"FAIL")),"FAIL")</f>
        <v/>
      </c>
      <c r="G22" s="16">
        <f>AR21</f>
        <v/>
      </c>
      <c r="H22" s="30" t="inlineStr">
        <is>
          <t>OK</t>
        </is>
      </c>
      <c r="I22" s="15">
        <f>IF(AR21=H22,"PASS","FAIL")</f>
        <v/>
      </c>
    </row>
    <row r="23">
      <c r="B23" s="8" t="inlineStr">
        <is>
          <t>Total Contribution Margin</t>
        </is>
      </c>
      <c r="C23" s="52">
        <f>AS21</f>
        <v/>
      </c>
      <c r="D23" s="53" t="n">
        <v>2888636.363636363</v>
      </c>
      <c r="E23" s="51">
        <f>IF(ISNUMBER(D23),IF(ISNUMBER(AS21),ABS(AS21-D23),"N/A"),"N/A")</f>
        <v/>
      </c>
      <c r="F23" s="15">
        <f>IFERROR(IF(ISNUMBER(D23),IF(ISNUMBER(AS21),IF(ABS(AS21-D23)&lt;=0.01,"PASS","FAIL"),"FAIL"),IF(NOT(ISNUMBER(AS21)),IF(AS21=D23,"PASS","FAIL"),"FAIL")),"FAIL")</f>
        <v/>
      </c>
      <c r="G23" s="16">
        <f>AT21</f>
        <v/>
      </c>
      <c r="H23" s="30" t="inlineStr">
        <is>
          <t>ESTIMATED</t>
        </is>
      </c>
      <c r="I23" s="15">
        <f>IF(AT21=H23,"PASS","FAIL")</f>
        <v/>
      </c>
    </row>
    <row r="24">
      <c r="B24" s="8" t="inlineStr">
        <is>
          <t>Operating Profit</t>
        </is>
      </c>
      <c r="C24" s="52">
        <f>AU21</f>
        <v/>
      </c>
      <c r="D24" s="53" t="n">
        <v>888636.3636363633</v>
      </c>
      <c r="E24" s="51">
        <f>IF(ISNUMBER(D24),IF(ISNUMBER(AU21),ABS(AU21-D24),"N/A"),"N/A")</f>
        <v/>
      </c>
      <c r="F24" s="15">
        <f>IFERROR(IF(ISNUMBER(D24),IF(ISNUMBER(AU21),IF(ABS(AU21-D24)&lt;=0.01,"PASS","FAIL"),"FAIL"),IF(NOT(ISNUMBER(AU21)),IF(AU21=D24,"PASS","FAIL"),"FAIL")),"FAIL")</f>
        <v/>
      </c>
      <c r="G24" s="16">
        <f>AV21</f>
        <v/>
      </c>
      <c r="H24" s="30" t="inlineStr">
        <is>
          <t>ESTIMATED</t>
        </is>
      </c>
      <c r="I24" s="15">
        <f>IF(AV21=H24,"PASS","FAIL")</f>
        <v/>
      </c>
    </row>
    <row r="25">
      <c r="B25" s="8" t="inlineStr">
        <is>
          <t>Operating Profit Rate</t>
        </is>
      </c>
      <c r="C25" s="54">
        <f>AW21</f>
        <v/>
      </c>
      <c r="D25" s="55" t="n">
        <v>0.1396428571428571</v>
      </c>
      <c r="E25" s="51">
        <f>IF(ISNUMBER(D25),IF(ISNUMBER(AW21),ABS(AW21-D25),"N/A"),"N/A")</f>
        <v/>
      </c>
      <c r="F25" s="15">
        <f>IFERROR(IF(ISNUMBER(D25),IF(ISNUMBER(AW21),IF(ABS(AW21-D25)&lt;=1e-06,"PASS","FAIL"),"FAIL"),IF(NOT(ISNUMBER(AW21)),IF(AW21=D25,"PASS","FAIL"),"FAIL")),"FAIL")</f>
        <v/>
      </c>
      <c r="G25" s="16">
        <f>AX21</f>
        <v/>
      </c>
      <c r="H25" s="30" t="inlineStr">
        <is>
          <t>ESTIMATED</t>
        </is>
      </c>
      <c r="I25" s="15">
        <f>IF(AX21=H25,"PASS","FAIL")</f>
        <v/>
      </c>
    </row>
    <row r="26">
      <c r="B26" s="8" t="inlineStr">
        <is>
          <t>Break-Even Quantity (Q_BEP)</t>
        </is>
      </c>
      <c r="C26" s="25">
        <f>AY21</f>
        <v/>
      </c>
      <c r="D26" s="21" t="n">
        <v>138.4736428009442</v>
      </c>
      <c r="E26" s="51">
        <f>IF(ISNUMBER(D26),IF(ISNUMBER(AY21),ABS(AY21-D26),"N/A"),"N/A")</f>
        <v/>
      </c>
      <c r="F26" s="15">
        <f>IFERROR(IF(ISNUMBER(D26),IF(ISNUMBER(AY21),IF(ABS(AY21-D26)&lt;=0.01,"PASS","FAIL"),"FAIL"),IF(NOT(ISNUMBER(AY21)),IF(AY21=D26,"PASS","FAIL"),"FAIL")),"FAIL")</f>
        <v/>
      </c>
      <c r="G26" s="16">
        <f>AZ21</f>
        <v/>
      </c>
      <c r="H26" s="30" t="inlineStr">
        <is>
          <t>ESTIMATED</t>
        </is>
      </c>
      <c r="I26" s="15">
        <f>IF(AZ21=H26,"PASS","FAIL")</f>
        <v/>
      </c>
    </row>
    <row r="27">
      <c r="B27" s="8" t="inlineStr">
        <is>
          <t>Margin of Safety Quantity</t>
        </is>
      </c>
      <c r="C27" s="25">
        <f>BA21</f>
        <v/>
      </c>
      <c r="D27" s="21" t="n">
        <v>61.52635719905584</v>
      </c>
      <c r="E27" s="51">
        <f>IF(ISNUMBER(D27),IF(ISNUMBER(BA21),ABS(BA21-D27),"N/A"),"N/A")</f>
        <v/>
      </c>
      <c r="F27" s="15">
        <f>IFERROR(IF(ISNUMBER(D27),IF(ISNUMBER(BA21),IF(ABS(BA21-D27)&lt;=0.01,"PASS","FAIL"),"FAIL"),IF(NOT(ISNUMBER(BA21)),IF(BA21=D27,"PASS","FAIL"),"FAIL")),"FAIL")</f>
        <v/>
      </c>
      <c r="G27" s="16">
        <f>BB21</f>
        <v/>
      </c>
      <c r="H27" s="30" t="inlineStr">
        <is>
          <t>ESTIMATED</t>
        </is>
      </c>
      <c r="I27" s="15">
        <f>IF(BB21=H27,"PASS","FAIL")</f>
        <v/>
      </c>
    </row>
    <row r="28">
      <c r="B28" s="8" t="inlineStr">
        <is>
          <t>Margin of Safety Rate</t>
        </is>
      </c>
      <c r="C28" s="54">
        <f>BC21</f>
        <v/>
      </c>
      <c r="D28" s="55" t="n">
        <v>0.3076317859952792</v>
      </c>
      <c r="E28" s="51">
        <f>IF(ISNUMBER(D28),IF(ISNUMBER(BC21),ABS(BC21-D28),"N/A"),"N/A")</f>
        <v/>
      </c>
      <c r="F28" s="15">
        <f>IFERROR(IF(ISNUMBER(D28),IF(ISNUMBER(BC21),IF(ABS(BC21-D28)&lt;=1e-06,"PASS","FAIL"),"FAIL"),IF(NOT(ISNUMBER(BC21)),IF(BC21=D28,"PASS","FAIL"),"FAIL")),"FAIL")</f>
        <v/>
      </c>
      <c r="G28" s="16">
        <f>BD21</f>
        <v/>
      </c>
      <c r="H28" s="30" t="inlineStr">
        <is>
          <t>ESTIMATED</t>
        </is>
      </c>
      <c r="I28" s="15">
        <f>IF(BD21=H28,"PASS","FAIL")</f>
        <v/>
      </c>
    </row>
    <row r="29">
      <c r="B29" s="8" t="inlineStr">
        <is>
          <t>Module Status</t>
        </is>
      </c>
      <c r="C29" s="16">
        <f>BE21</f>
        <v/>
      </c>
      <c r="D29" s="30" t="inlineStr">
        <is>
          <t>OK</t>
        </is>
      </c>
      <c r="F29" s="15">
        <f>IF(BE21=D29,"PASS","FAIL")</f>
        <v/>
      </c>
    </row>
    <row r="30">
      <c r="B30" s="8" t="inlineStr">
        <is>
          <t>Analysis Period Basis</t>
        </is>
      </c>
      <c r="C30" s="16">
        <f>BF21</f>
        <v/>
      </c>
      <c r="D30" s="30" t="inlineStr">
        <is>
          <t>per_month</t>
        </is>
      </c>
      <c r="F30" s="15">
        <f>IF(BF21=D30,"PASS","FAIL")</f>
        <v/>
      </c>
    </row>
    <row r="31">
      <c r="B31" s="8" t="inlineStr">
        <is>
          <t>Self-Check: |MoS qty × CMu − Operating Profit| ≤ tol</t>
        </is>
      </c>
      <c r="C31" s="36">
        <f>IF(OR(NOT(ISNUMBER(BA21)),NOT(ISNUMBER(AN21)),NOT(ISNUMBER(AU21))),"SKIP",IF(ABS(BA21*AN21-AU21)&lt;=0.01,"PASS","FAIL"))</f>
        <v/>
      </c>
      <c r="D31" s="34" t="n"/>
      <c r="F31" s="15">
        <f>IF(C31="FAIL","FAIL","PASS")</f>
        <v/>
      </c>
    </row>
    <row r="33" ht="20" customHeight="1">
      <c r="B33" s="2" t="inlineStr">
        <is>
          <t>V3. Plan below break-even (negative margin of safety is OK)</t>
        </is>
      </c>
      <c r="C33" s="7" t="n"/>
      <c r="D33" s="7" t="n"/>
      <c r="E33" s="7" t="n"/>
      <c r="F33" s="7" t="n"/>
      <c r="G33" s="7" t="n"/>
      <c r="H33" s="7" t="n"/>
      <c r="I33" s="7" t="n"/>
    </row>
    <row r="34">
      <c r="B34" s="4" t="inlineStr">
        <is>
          <t>Metric</t>
        </is>
      </c>
      <c r="C34" s="4" t="inlineStr">
        <is>
          <t>Excel Result</t>
        </is>
      </c>
      <c r="D34" s="4" t="inlineStr">
        <is>
          <t>Python Reference</t>
        </is>
      </c>
      <c r="E34" s="4" t="inlineStr">
        <is>
          <t>Difference</t>
        </is>
      </c>
      <c r="F34" s="4" t="inlineStr">
        <is>
          <t>PASS / FAIL</t>
        </is>
      </c>
      <c r="G34" s="4" t="inlineStr">
        <is>
          <t>Excel Status</t>
        </is>
      </c>
      <c r="H34" s="4" t="inlineStr">
        <is>
          <t>Python Status</t>
        </is>
      </c>
      <c r="I34" s="4" t="inlineStr">
        <is>
          <t>Status PASS</t>
        </is>
      </c>
    </row>
    <row r="35">
      <c r="B35" s="8" t="inlineStr">
        <is>
          <t>Planned Quantity (units)</t>
        </is>
      </c>
      <c r="C35" s="25">
        <f>AO35</f>
        <v/>
      </c>
      <c r="D35" s="21" t="n">
        <v>100</v>
      </c>
      <c r="E35" s="51">
        <f>IF(ISNUMBER(D35),IF(ISNUMBER(AO35),ABS(AO35-D35),"N/A"),"N/A")</f>
        <v/>
      </c>
      <c r="F35" s="15">
        <f>IFERROR(IF(ISNUMBER(D35),IF(ISNUMBER(AO35),IF(ABS(AO35-D35)&lt;=0.01,"PASS","FAIL"),"FAIL"),IF(NOT(ISNUMBER(AO35)),IF(AO35=D35,"PASS","FAIL"),"FAIL")),"FAIL")</f>
        <v/>
      </c>
      <c r="G35" s="16">
        <f>AP35</f>
        <v/>
      </c>
      <c r="H35" s="30" t="inlineStr">
        <is>
          <t>OK</t>
        </is>
      </c>
      <c r="I35" s="15">
        <f>IF(AP35=H35,"PASS","FAIL")</f>
        <v/>
      </c>
      <c r="M35" t="n">
        <v>35000</v>
      </c>
      <c r="N35" t="b">
        <v>1</v>
      </c>
      <c r="O35" t="n">
        <v>0.1</v>
      </c>
      <c r="P35" t="n">
        <v>13500</v>
      </c>
      <c r="Q35" t="n">
        <v>3000</v>
      </c>
      <c r="R35" t="b">
        <v>0</v>
      </c>
      <c r="S35" t="n">
        <v>0</v>
      </c>
      <c r="T35" t="n">
        <v>0.025</v>
      </c>
      <c r="U35" t="n">
        <v>2000000</v>
      </c>
      <c r="V35" t="inlineStr">
        <is>
          <t>per_month</t>
        </is>
      </c>
      <c r="W35" t="inlineStr">
        <is>
          <t>component</t>
        </is>
      </c>
      <c r="X35" t="inlineStr">
        <is>
          <t>consistent</t>
        </is>
      </c>
      <c r="Y35" t="n">
        <v>1</v>
      </c>
      <c r="Z35" t="inlineStr">
        <is>
          <t>present</t>
        </is>
      </c>
      <c r="AA35" t="n">
        <v>100</v>
      </c>
      <c r="AB35" t="inlineStr">
        <is>
          <t>per_month</t>
        </is>
      </c>
      <c r="AD35">
        <f>IFERROR(IF(ISBLANK($M$35),"UNKNOWN",IF(ISBLANK($N$35),"UNKNOWN",IF($N$35=FALSE,$M$35,IF(ISBLANK($O$35),"UNKNOWN",$M$35/(1+$O$35))))),"ERROR")</f>
        <v/>
      </c>
      <c r="AE35">
        <f>IFERROR(IF(ISBLANK($M$35),"UNKNOWN",IF(ISBLANK($N$35),"UNKNOWN",IF($N$35=TRUE,$M$35,IF(ISBLANK($O$35),"UNKNOWN",$M$35*(1+$O$35))))),"ERROR")</f>
        <v/>
      </c>
      <c r="AF35">
        <f>IF($Y$35&gt;1,"ERROR",IFERROR(IF(AD35="ERROR","ERROR",IF(OR(NOT(ISNUMBER(AD35)),ISBLANK($P$35),ISBLANK($Q$35),ISBLANK($S$35),ISBLANK($T$35)),"UNKNOWN",IF($T$35&gt;0,IF(AE35="ERROR","ERROR",IF(NOT(ISNUMBER(AE35)),"UNKNOWN",AD35-$P$35-$Q$35-$S$35*AD35-$T$35*AE35)),AD35-$P$35-$Q$35-$S$35*AD35))),"ERROR"))</f>
        <v/>
      </c>
      <c r="AG35">
        <f>IF($Y$35&gt;1,"ERROR",IFERROR(IF($W$35="invalid_direct","ERROR",IF($X$35="inconsistent","ERROR",IF($W$35="none",0,IF(OR($W$35="unresolved",$W$35="blended_only"),"UNKNOWN",IF(ISBLANK($U$35),"UNKNOWN",IF($U$35&lt;0,"ERROR",$U$35)))))),"ERROR"))</f>
        <v/>
      </c>
      <c r="AH35">
        <f>IF($Y$35&gt;1,"",IF(OR($W$35="invalid_direct",$X$35="inconsistent"),"",IF($W$35="none","",IF(OR($W$35="unresolved",$W$35="blended_only"),"",IF(ISBLANK($U$35),"",IF($U$35&lt;0,"",$V$35))))))</f>
        <v/>
      </c>
      <c r="AI35">
        <f>IF($Y$35&gt;1,"ERROR",IFERROR(IF(OR(AF35="ERROR",AG35="ERROR"),"ERROR",IF(OR(NOT(ISNUMBER(AF35)),NOT(ISNUMBER(AG35))),"UNKNOWN",IF(AF35&lt;=0,"NOT_APPLICABLE",AG35/AF35))),"ERROR"))</f>
        <v/>
      </c>
      <c r="AJ35">
        <f>IF($Y$35&gt;1,"MULTI_COMPONENT_BEP_NOT_SUPPORTED",IF($W$35="invalid_direct","INVALID_ALLOCATION_CONFIGURATION",IF($X$35="inconsistent","INCONSISTENT_FIXED_COST_BASIS",IF(AND($W$35="component",NOT(ISBLANK($U$35)),$U$35&lt;0),"INVALID_NEGATIVE_COST",IF(AF35="ERROR","CALCULATION_ERROR",IF($W$35="blended_only","FIXED_COST_BLENDED_ONLY_NOT_ALLOCATED",IF($W$35="unresolved","UNSUPPORTED_SHARED_COST_ALLOCATION",IF(NOT(ISNUMBER(AF35)),"MISSING_DEPENDENCY",IF(AND($W$35="component",ISBLANK($U$35)),"MISSING_DEPENDENCY",IF(AND(AF35=0,AG35=0),"BREAK_EVEN_UNDEFINED_ZERO_MARGIN_ZERO_FIXED_COST",IF(AF35=0,"BREAK_EVEN_UNDEFINED_ZERO_MARGIN",IF(AF35&lt;0,"BREAK_EVEN_UNDEFINED_NEGATIVE_MARGIN","NONE"))))))))))))</f>
        <v/>
      </c>
      <c r="AK35">
        <f>IF(AND(NOT(ISBLANK($AA$35)),$AA$35&lt;0),"ERROR",IF(AND($AB$35&lt;&gt;"",$AB$35&lt;&gt;"per_month"),"ERROR",IF(OR(ISBLANK($AA$35),$AB$35=""),"UNKNOWN",$AA$35)))</f>
        <v/>
      </c>
      <c r="AL35">
        <f>IF(AND(ISNUMBER(AG35),AH35&lt;&gt;"",AH35&lt;&gt;"per_month"),"ERROR",AG35)</f>
        <v/>
      </c>
      <c r="AM35">
        <f>IF(ISBLANK($AC$35),"none",IF(AND(ISNUMBER($AC$35),$AC$35&gt;0),"valid","invalid"))</f>
        <v/>
      </c>
      <c r="AN35">
        <f>IF(AM35="invalid","ERROR",IF(AND(AM35="valid",$R$35=TRUE,ISNUMBER(AF35)),AF35+$Q$35*(1-1/$AC$35),AF35))</f>
        <v/>
      </c>
      <c r="AO35">
        <f>IF($Z$35="absent","NOT_RUN",IF($Y$35&gt;1,"ERROR",AK35))</f>
        <v/>
      </c>
      <c r="AP35">
        <f>IF(ISNUMBER(AO35),"OK",AO35)</f>
        <v/>
      </c>
      <c r="AQ35">
        <f>IF($Z$35="absent","NOT_RUN",IF($Y$35&gt;1,"ERROR",IFERROR(IF(OR(AK35="ERROR",AD35="ERROR"),"ERROR",IF(OR(NOT(ISNUMBER(AK35)),NOT(ISNUMBER(AD35))),"UNKNOWN",AD35*AK35)),"ERROR")))</f>
        <v/>
      </c>
      <c r="AR35">
        <f>IF(ISNUMBER(AQ35),"OK",AQ35)</f>
        <v/>
      </c>
      <c r="AS35">
        <f>IF($Z$35="absent","NOT_RUN",IF($Y$35&gt;1,"ERROR",IFERROR(IF(OR(AK35="ERROR",AN35="ERROR"),"ERROR",IF(OR(NOT(ISNUMBER(AK35)),NOT(ISNUMBER(AN35))),"UNKNOWN",AN35*AK35)),"ERROR")))</f>
        <v/>
      </c>
      <c r="AT35">
        <f>IF(ISNUMBER(AS35),IF(AND($R$35=TRUE,AM35="none"),"ESTIMATED","OK"),AS35)</f>
        <v/>
      </c>
      <c r="AU35">
        <f>IF($Z$35="absent","NOT_RUN",IF($Y$35&gt;1,"ERROR",IFERROR(IF(OR(AK35="ERROR",AN35="ERROR",AL35="ERROR"),"ERROR",IF(OR(NOT(ISNUMBER(AK35)),NOT(ISNUMBER(AN35)),NOT(ISNUMBER(AL35))),"UNKNOWN",AN35*AK35-AL35)),"ERROR")))</f>
        <v/>
      </c>
      <c r="AV35">
        <f>IF(ISNUMBER(AU35),IF(AND($R$35=TRUE,AM35="none"),"ESTIMATED","OK"),AU35)</f>
        <v/>
      </c>
      <c r="AW35">
        <f>IF($Z$35="absent","NOT_RUN",IF($Y$35&gt;1,"ERROR",IFERROR(IF(OR(AU35="ERROR",AQ35="ERROR"),"ERROR",IF(OR(NOT(ISNUMBER(AU35)),NOT(ISNUMBER(AQ35))),"UNKNOWN",IF(AQ35=0,"NOT_APPLICABLE",AU35/AQ35))),"ERROR")))</f>
        <v/>
      </c>
      <c r="AX35">
        <f>IF(ISNUMBER(AW35),IF(AND($R$35=TRUE,AM35="none"),"ESTIMATED","OK"),AW35)</f>
        <v/>
      </c>
      <c r="AY35">
        <f>IF($Z$35="absent","NOT_RUN",IF($Y$35&gt;1,"ERROR",IFERROR(IF(OR(AN35="ERROR",AL35="ERROR"),"ERROR",IF(OR(NOT(ISNUMBER(AN35)),NOT(ISNUMBER(AL35))),"UNKNOWN",IF(AN35&lt;=0,"NOT_APPLICABLE",AL35/AN35))),"ERROR")))</f>
        <v/>
      </c>
      <c r="AZ35">
        <f>IF(ISNUMBER(AY35),IF(AND($R$35=TRUE,AM35="none"),"ESTIMATED","OK"),AY35)</f>
        <v/>
      </c>
      <c r="BA35">
        <f>IF($Z$35="absent","NOT_RUN",IF($Y$35&gt;1,"ERROR",IFERROR(IF(OR(AK35="ERROR",AN35="ERROR",AL35="ERROR"),"ERROR",IF(OR(NOT(ISNUMBER(AK35)),NOT(ISNUMBER(AN35)),NOT(ISNUMBER(AL35))),"UNKNOWN",IF(AN35&lt;=0,"NOT_APPLICABLE",AK35-AY35))),"ERROR")))</f>
        <v/>
      </c>
      <c r="BB35">
        <f>IF(ISNUMBER(BA35),IF(AND($R$35=TRUE,AM35="none"),"ESTIMATED","OK"),BA35)</f>
        <v/>
      </c>
      <c r="BC35">
        <f>IF($Z$35="absent","NOT_RUN",IF($Y$35&gt;1,"ERROR",IFERROR(IF(OR(AK35="ERROR",AN35="ERROR",AL35="ERROR"),"ERROR",IF(OR(NOT(ISNUMBER(AK35)),NOT(ISNUMBER(AN35)),NOT(ISNUMBER(AL35))),"UNKNOWN",IF(OR(AN35&lt;=0,AK35=0),"NOT_APPLICABLE",(AK35-AY35)/AK35))),"ERROR")))</f>
        <v/>
      </c>
      <c r="BD35">
        <f>IF(ISNUMBER(BC35),IF(AND($R$35=TRUE,AM35="none"),"ESTIMATED","OK"),BC35)</f>
        <v/>
      </c>
      <c r="BE35">
        <f>IF($Z$35="absent","NOT_RUN",IF(OR(AP35="ERROR",AR35="ERROR",AT35="ERROR",AV35="ERROR",AX35="ERROR",AZ35="ERROR",BB35="ERROR",BD35="ERROR"),"ERROR",IF(OR(AP35="UNKNOWN",AR35="UNKNOWN",AT35="UNKNOWN",AV35="UNKNOWN",AX35="UNKNOWN",AZ35="UNKNOWN",BB35="UNKNOWN",BD35="UNKNOWN"),"INCOMPLETE","OK")))</f>
        <v/>
      </c>
      <c r="BF35">
        <f>IF($Z$35="absent","",AH35)</f>
        <v/>
      </c>
    </row>
    <row r="36">
      <c r="B36" s="8" t="inlineStr">
        <is>
          <t>Total Net Sales ex VAT</t>
        </is>
      </c>
      <c r="C36" s="52">
        <f>AQ35</f>
        <v/>
      </c>
      <c r="D36" s="53" t="n">
        <v>3181818.181818182</v>
      </c>
      <c r="E36" s="51">
        <f>IF(ISNUMBER(D36),IF(ISNUMBER(AQ35),ABS(AQ35-D36),"N/A"),"N/A")</f>
        <v/>
      </c>
      <c r="F36" s="15">
        <f>IFERROR(IF(ISNUMBER(D36),IF(ISNUMBER(AQ35),IF(ABS(AQ35-D36)&lt;=0.01,"PASS","FAIL"),"FAIL"),IF(NOT(ISNUMBER(AQ35)),IF(AQ35=D36,"PASS","FAIL"),"FAIL")),"FAIL")</f>
        <v/>
      </c>
      <c r="G36" s="16">
        <f>AR35</f>
        <v/>
      </c>
      <c r="H36" s="30" t="inlineStr">
        <is>
          <t>OK</t>
        </is>
      </c>
      <c r="I36" s="15">
        <f>IF(AR35=H36,"PASS","FAIL")</f>
        <v/>
      </c>
    </row>
    <row r="37">
      <c r="B37" s="8" t="inlineStr">
        <is>
          <t>Total Contribution Margin</t>
        </is>
      </c>
      <c r="C37" s="52">
        <f>AS35</f>
        <v/>
      </c>
      <c r="D37" s="53" t="n">
        <v>1444318.181818182</v>
      </c>
      <c r="E37" s="51">
        <f>IF(ISNUMBER(D37),IF(ISNUMBER(AS35),ABS(AS35-D37),"N/A"),"N/A")</f>
        <v/>
      </c>
      <c r="F37" s="15">
        <f>IFERROR(IF(ISNUMBER(D37),IF(ISNUMBER(AS35),IF(ABS(AS35-D37)&lt;=0.01,"PASS","FAIL"),"FAIL"),IF(NOT(ISNUMBER(AS35)),IF(AS35=D37,"PASS","FAIL"),"FAIL")),"FAIL")</f>
        <v/>
      </c>
      <c r="G37" s="16">
        <f>AT35</f>
        <v/>
      </c>
      <c r="H37" s="30" t="inlineStr">
        <is>
          <t>OK</t>
        </is>
      </c>
      <c r="I37" s="15">
        <f>IF(AT35=H37,"PASS","FAIL")</f>
        <v/>
      </c>
    </row>
    <row r="38">
      <c r="B38" s="8" t="inlineStr">
        <is>
          <t>Operating Profit</t>
        </is>
      </c>
      <c r="C38" s="52">
        <f>AU35</f>
        <v/>
      </c>
      <c r="D38" s="53" t="n">
        <v>-555681.8181818184</v>
      </c>
      <c r="E38" s="51">
        <f>IF(ISNUMBER(D38),IF(ISNUMBER(AU35),ABS(AU35-D38),"N/A"),"N/A")</f>
        <v/>
      </c>
      <c r="F38" s="15">
        <f>IFERROR(IF(ISNUMBER(D38),IF(ISNUMBER(AU35),IF(ABS(AU35-D38)&lt;=0.01,"PASS","FAIL"),"FAIL"),IF(NOT(ISNUMBER(AU35)),IF(AU35=D38,"PASS","FAIL"),"FAIL")),"FAIL")</f>
        <v/>
      </c>
      <c r="G38" s="16">
        <f>AV35</f>
        <v/>
      </c>
      <c r="H38" s="30" t="inlineStr">
        <is>
          <t>OK</t>
        </is>
      </c>
      <c r="I38" s="15">
        <f>IF(AV35=H38,"PASS","FAIL")</f>
        <v/>
      </c>
    </row>
    <row r="39">
      <c r="B39" s="8" t="inlineStr">
        <is>
          <t>Operating Profit Rate</t>
        </is>
      </c>
      <c r="C39" s="54">
        <f>AW35</f>
        <v/>
      </c>
      <c r="D39" s="55" t="n">
        <v>-0.1746428571428572</v>
      </c>
      <c r="E39" s="51">
        <f>IF(ISNUMBER(D39),IF(ISNUMBER(AW35),ABS(AW35-D39),"N/A"),"N/A")</f>
        <v/>
      </c>
      <c r="F39" s="15">
        <f>IFERROR(IF(ISNUMBER(D39),IF(ISNUMBER(AW35),IF(ABS(AW35-D39)&lt;=1e-06,"PASS","FAIL"),"FAIL"),IF(NOT(ISNUMBER(AW35)),IF(AW35=D39,"PASS","FAIL"),"FAIL")),"FAIL")</f>
        <v/>
      </c>
      <c r="G39" s="16">
        <f>AX35</f>
        <v/>
      </c>
      <c r="H39" s="30" t="inlineStr">
        <is>
          <t>OK</t>
        </is>
      </c>
      <c r="I39" s="15">
        <f>IF(AX35=H39,"PASS","FAIL")</f>
        <v/>
      </c>
    </row>
    <row r="40">
      <c r="B40" s="8" t="inlineStr">
        <is>
          <t>Break-Even Quantity (Q_BEP)</t>
        </is>
      </c>
      <c r="C40" s="25">
        <f>AY35</f>
        <v/>
      </c>
      <c r="D40" s="21" t="n">
        <v>138.4736428009442</v>
      </c>
      <c r="E40" s="51">
        <f>IF(ISNUMBER(D40),IF(ISNUMBER(AY35),ABS(AY35-D40),"N/A"),"N/A")</f>
        <v/>
      </c>
      <c r="F40" s="15">
        <f>IFERROR(IF(ISNUMBER(D40),IF(ISNUMBER(AY35),IF(ABS(AY35-D40)&lt;=0.01,"PASS","FAIL"),"FAIL"),IF(NOT(ISNUMBER(AY35)),IF(AY35=D40,"PASS","FAIL"),"FAIL")),"FAIL")</f>
        <v/>
      </c>
      <c r="G40" s="16">
        <f>AZ35</f>
        <v/>
      </c>
      <c r="H40" s="30" t="inlineStr">
        <is>
          <t>OK</t>
        </is>
      </c>
      <c r="I40" s="15">
        <f>IF(AZ35=H40,"PASS","FAIL")</f>
        <v/>
      </c>
    </row>
    <row r="41">
      <c r="B41" s="8" t="inlineStr">
        <is>
          <t>Margin of Safety Quantity</t>
        </is>
      </c>
      <c r="C41" s="25">
        <f>BA35</f>
        <v/>
      </c>
      <c r="D41" s="21" t="n">
        <v>-38.47364280094416</v>
      </c>
      <c r="E41" s="51">
        <f>IF(ISNUMBER(D41),IF(ISNUMBER(BA35),ABS(BA35-D41),"N/A"),"N/A")</f>
        <v/>
      </c>
      <c r="F41" s="15">
        <f>IFERROR(IF(ISNUMBER(D41),IF(ISNUMBER(BA35),IF(ABS(BA35-D41)&lt;=0.01,"PASS","FAIL"),"FAIL"),IF(NOT(ISNUMBER(BA35)),IF(BA35=D41,"PASS","FAIL"),"FAIL")),"FAIL")</f>
        <v/>
      </c>
      <c r="G41" s="16">
        <f>BB35</f>
        <v/>
      </c>
      <c r="H41" s="30" t="inlineStr">
        <is>
          <t>OK</t>
        </is>
      </c>
      <c r="I41" s="15">
        <f>IF(BB35=H41,"PASS","FAIL")</f>
        <v/>
      </c>
    </row>
    <row r="42">
      <c r="B42" s="8" t="inlineStr">
        <is>
          <t>Margin of Safety Rate</t>
        </is>
      </c>
      <c r="C42" s="54">
        <f>BC35</f>
        <v/>
      </c>
      <c r="D42" s="55" t="n">
        <v>-0.3847364280094416</v>
      </c>
      <c r="E42" s="51">
        <f>IF(ISNUMBER(D42),IF(ISNUMBER(BC35),ABS(BC35-D42),"N/A"),"N/A")</f>
        <v/>
      </c>
      <c r="F42" s="15">
        <f>IFERROR(IF(ISNUMBER(D42),IF(ISNUMBER(BC35),IF(ABS(BC35-D42)&lt;=1e-06,"PASS","FAIL"),"FAIL"),IF(NOT(ISNUMBER(BC35)),IF(BC35=D42,"PASS","FAIL"),"FAIL")),"FAIL")</f>
        <v/>
      </c>
      <c r="G42" s="16">
        <f>BD35</f>
        <v/>
      </c>
      <c r="H42" s="30" t="inlineStr">
        <is>
          <t>OK</t>
        </is>
      </c>
      <c r="I42" s="15">
        <f>IF(BD35=H42,"PASS","FAIL")</f>
        <v/>
      </c>
    </row>
    <row r="43">
      <c r="B43" s="8" t="inlineStr">
        <is>
          <t>Module Status</t>
        </is>
      </c>
      <c r="C43" s="16">
        <f>BE35</f>
        <v/>
      </c>
      <c r="D43" s="30" t="inlineStr">
        <is>
          <t>OK</t>
        </is>
      </c>
      <c r="F43" s="15">
        <f>IF(BE35=D43,"PASS","FAIL")</f>
        <v/>
      </c>
    </row>
    <row r="44">
      <c r="B44" s="8" t="inlineStr">
        <is>
          <t>Analysis Period Basis</t>
        </is>
      </c>
      <c r="C44" s="16">
        <f>BF35</f>
        <v/>
      </c>
      <c r="D44" s="30" t="inlineStr">
        <is>
          <t>per_month</t>
        </is>
      </c>
      <c r="F44" s="15">
        <f>IF(BF35=D44,"PASS","FAIL")</f>
        <v/>
      </c>
    </row>
    <row r="45">
      <c r="B45" s="8" t="inlineStr">
        <is>
          <t>Self-Check: |MoS qty × CMu − Operating Profit| ≤ tol</t>
        </is>
      </c>
      <c r="C45" s="36">
        <f>IF(OR(NOT(ISNUMBER(BA35)),NOT(ISNUMBER(AN35)),NOT(ISNUMBER(AU35))),"SKIP",IF(ABS(BA35*AN35-AU35)&lt;=0.01,"PASS","FAIL"))</f>
        <v/>
      </c>
      <c r="D45" s="34" t="n"/>
      <c r="F45" s="15">
        <f>IF(C45="FAIL","FAIL","PASS")</f>
        <v/>
      </c>
    </row>
    <row r="47" ht="20" customHeight="1">
      <c r="B47" s="2" t="inlineStr">
        <is>
          <t>V4. Plan exactly at break-even</t>
        </is>
      </c>
      <c r="C47" s="7" t="n"/>
      <c r="D47" s="7" t="n"/>
      <c r="E47" s="7" t="n"/>
      <c r="F47" s="7" t="n"/>
      <c r="G47" s="7" t="n"/>
      <c r="H47" s="7" t="n"/>
      <c r="I47" s="7" t="n"/>
    </row>
    <row r="48">
      <c r="B48" s="4" t="inlineStr">
        <is>
          <t>Metric</t>
        </is>
      </c>
      <c r="C48" s="4" t="inlineStr">
        <is>
          <t>Excel Result</t>
        </is>
      </c>
      <c r="D48" s="4" t="inlineStr">
        <is>
          <t>Python Reference</t>
        </is>
      </c>
      <c r="E48" s="4" t="inlineStr">
        <is>
          <t>Difference</t>
        </is>
      </c>
      <c r="F48" s="4" t="inlineStr">
        <is>
          <t>PASS / FAIL</t>
        </is>
      </c>
      <c r="G48" s="4" t="inlineStr">
        <is>
          <t>Excel Status</t>
        </is>
      </c>
      <c r="H48" s="4" t="inlineStr">
        <is>
          <t>Python Status</t>
        </is>
      </c>
      <c r="I48" s="4" t="inlineStr">
        <is>
          <t>Status PASS</t>
        </is>
      </c>
    </row>
    <row r="49">
      <c r="B49" s="8" t="inlineStr">
        <is>
          <t>Planned Quantity (units)</t>
        </is>
      </c>
      <c r="C49" s="25">
        <f>AO49</f>
        <v/>
      </c>
      <c r="D49" s="21" t="n">
        <v>100</v>
      </c>
      <c r="E49" s="51">
        <f>IF(ISNUMBER(D49),IF(ISNUMBER(AO49),ABS(AO49-D49),"N/A"),"N/A")</f>
        <v/>
      </c>
      <c r="F49" s="15">
        <f>IFERROR(IF(ISNUMBER(D49),IF(ISNUMBER(AO49),IF(ABS(AO49-D49)&lt;=0.01,"PASS","FAIL"),"FAIL"),IF(NOT(ISNUMBER(AO49)),IF(AO49=D49,"PASS","FAIL"),"FAIL")),"FAIL")</f>
        <v/>
      </c>
      <c r="G49" s="16">
        <f>AP49</f>
        <v/>
      </c>
      <c r="H49" s="30" t="inlineStr">
        <is>
          <t>OK</t>
        </is>
      </c>
      <c r="I49" s="15">
        <f>IF(AP49=H49,"PASS","FAIL")</f>
        <v/>
      </c>
      <c r="M49" t="n">
        <v>1000</v>
      </c>
      <c r="N49" t="b">
        <v>0</v>
      </c>
      <c r="P49" t="n">
        <v>400</v>
      </c>
      <c r="Q49" t="n">
        <v>0</v>
      </c>
      <c r="R49" t="b">
        <v>0</v>
      </c>
      <c r="S49" t="n">
        <v>0</v>
      </c>
      <c r="T49" t="n">
        <v>0</v>
      </c>
      <c r="U49" t="n">
        <v>60000</v>
      </c>
      <c r="V49" t="inlineStr">
        <is>
          <t>per_month</t>
        </is>
      </c>
      <c r="W49" t="inlineStr">
        <is>
          <t>component</t>
        </is>
      </c>
      <c r="X49" t="inlineStr">
        <is>
          <t>consistent</t>
        </is>
      </c>
      <c r="Y49" t="n">
        <v>1</v>
      </c>
      <c r="Z49" t="inlineStr">
        <is>
          <t>present</t>
        </is>
      </c>
      <c r="AA49" t="n">
        <v>100</v>
      </c>
      <c r="AB49" t="inlineStr">
        <is>
          <t>per_month</t>
        </is>
      </c>
      <c r="AD49">
        <f>IFERROR(IF(ISBLANK($M$49),"UNKNOWN",IF(ISBLANK($N$49),"UNKNOWN",IF($N$49=FALSE,$M$49,IF(ISBLANK($O$49),"UNKNOWN",$M$49/(1+$O$49))))),"ERROR")</f>
        <v/>
      </c>
      <c r="AE49">
        <f>IFERROR(IF(ISBLANK($M$49),"UNKNOWN",IF(ISBLANK($N$49),"UNKNOWN",IF($N$49=TRUE,$M$49,IF(ISBLANK($O$49),"UNKNOWN",$M$49*(1+$O$49))))),"ERROR")</f>
        <v/>
      </c>
      <c r="AF49">
        <f>IF($Y$49&gt;1,"ERROR",IFERROR(IF(AD49="ERROR","ERROR",IF(OR(NOT(ISNUMBER(AD49)),ISBLANK($P$49),ISBLANK($Q$49),ISBLANK($S$49),ISBLANK($T$49)),"UNKNOWN",IF($T$49&gt;0,IF(AE49="ERROR","ERROR",IF(NOT(ISNUMBER(AE49)),"UNKNOWN",AD49-$P$49-$Q$49-$S$49*AD49-$T$49*AE49)),AD49-$P$49-$Q$49-$S$49*AD49))),"ERROR"))</f>
        <v/>
      </c>
      <c r="AG49">
        <f>IF($Y$49&gt;1,"ERROR",IFERROR(IF($W$49="invalid_direct","ERROR",IF($X$49="inconsistent","ERROR",IF($W$49="none",0,IF(OR($W$49="unresolved",$W$49="blended_only"),"UNKNOWN",IF(ISBLANK($U$49),"UNKNOWN",IF($U$49&lt;0,"ERROR",$U$49)))))),"ERROR"))</f>
        <v/>
      </c>
      <c r="AH49">
        <f>IF($Y$49&gt;1,"",IF(OR($W$49="invalid_direct",$X$49="inconsistent"),"",IF($W$49="none","",IF(OR($W$49="unresolved",$W$49="blended_only"),"",IF(ISBLANK($U$49),"",IF($U$49&lt;0,"",$V$49))))))</f>
        <v/>
      </c>
      <c r="AI49">
        <f>IF($Y$49&gt;1,"ERROR",IFERROR(IF(OR(AF49="ERROR",AG49="ERROR"),"ERROR",IF(OR(NOT(ISNUMBER(AF49)),NOT(ISNUMBER(AG49))),"UNKNOWN",IF(AF49&lt;=0,"NOT_APPLICABLE",AG49/AF49))),"ERROR"))</f>
        <v/>
      </c>
      <c r="AJ49">
        <f>IF($Y$49&gt;1,"MULTI_COMPONENT_BEP_NOT_SUPPORTED",IF($W$49="invalid_direct","INVALID_ALLOCATION_CONFIGURATION",IF($X$49="inconsistent","INCONSISTENT_FIXED_COST_BASIS",IF(AND($W$49="component",NOT(ISBLANK($U$49)),$U$49&lt;0),"INVALID_NEGATIVE_COST",IF(AF49="ERROR","CALCULATION_ERROR",IF($W$49="blended_only","FIXED_COST_BLENDED_ONLY_NOT_ALLOCATED",IF($W$49="unresolved","UNSUPPORTED_SHARED_COST_ALLOCATION",IF(NOT(ISNUMBER(AF49)),"MISSING_DEPENDENCY",IF(AND($W$49="component",ISBLANK($U$49)),"MISSING_DEPENDENCY",IF(AND(AF49=0,AG49=0),"BREAK_EVEN_UNDEFINED_ZERO_MARGIN_ZERO_FIXED_COST",IF(AF49=0,"BREAK_EVEN_UNDEFINED_ZERO_MARGIN",IF(AF49&lt;0,"BREAK_EVEN_UNDEFINED_NEGATIVE_MARGIN","NONE"))))))))))))</f>
        <v/>
      </c>
      <c r="AK49">
        <f>IF(AND(NOT(ISBLANK($AA$49)),$AA$49&lt;0),"ERROR",IF(AND($AB$49&lt;&gt;"",$AB$49&lt;&gt;"per_month"),"ERROR",IF(OR(ISBLANK($AA$49),$AB$49=""),"UNKNOWN",$AA$49)))</f>
        <v/>
      </c>
      <c r="AL49">
        <f>IF(AND(ISNUMBER(AG49),AH49&lt;&gt;"",AH49&lt;&gt;"per_month"),"ERROR",AG49)</f>
        <v/>
      </c>
      <c r="AM49">
        <f>IF(ISBLANK($AC$49),"none",IF(AND(ISNUMBER($AC$49),$AC$49&gt;0),"valid","invalid"))</f>
        <v/>
      </c>
      <c r="AN49">
        <f>IF(AM49="invalid","ERROR",IF(AND(AM49="valid",$R$49=TRUE,ISNUMBER(AF49)),AF49+$Q$49*(1-1/$AC$49),AF49))</f>
        <v/>
      </c>
      <c r="AO49">
        <f>IF($Z$49="absent","NOT_RUN",IF($Y$49&gt;1,"ERROR",AK49))</f>
        <v/>
      </c>
      <c r="AP49">
        <f>IF(ISNUMBER(AO49),"OK",AO49)</f>
        <v/>
      </c>
      <c r="AQ49">
        <f>IF($Z$49="absent","NOT_RUN",IF($Y$49&gt;1,"ERROR",IFERROR(IF(OR(AK49="ERROR",AD49="ERROR"),"ERROR",IF(OR(NOT(ISNUMBER(AK49)),NOT(ISNUMBER(AD49))),"UNKNOWN",AD49*AK49)),"ERROR")))</f>
        <v/>
      </c>
      <c r="AR49">
        <f>IF(ISNUMBER(AQ49),"OK",AQ49)</f>
        <v/>
      </c>
      <c r="AS49">
        <f>IF($Z$49="absent","NOT_RUN",IF($Y$49&gt;1,"ERROR",IFERROR(IF(OR(AK49="ERROR",AN49="ERROR"),"ERROR",IF(OR(NOT(ISNUMBER(AK49)),NOT(ISNUMBER(AN49))),"UNKNOWN",AN49*AK49)),"ERROR")))</f>
        <v/>
      </c>
      <c r="AT49">
        <f>IF(ISNUMBER(AS49),IF(AND($R$49=TRUE,AM49="none"),"ESTIMATED","OK"),AS49)</f>
        <v/>
      </c>
      <c r="AU49">
        <f>IF($Z$49="absent","NOT_RUN",IF($Y$49&gt;1,"ERROR",IFERROR(IF(OR(AK49="ERROR",AN49="ERROR",AL49="ERROR"),"ERROR",IF(OR(NOT(ISNUMBER(AK49)),NOT(ISNUMBER(AN49)),NOT(ISNUMBER(AL49))),"UNKNOWN",AN49*AK49-AL49)),"ERROR")))</f>
        <v/>
      </c>
      <c r="AV49">
        <f>IF(ISNUMBER(AU49),IF(AND($R$49=TRUE,AM49="none"),"ESTIMATED","OK"),AU49)</f>
        <v/>
      </c>
      <c r="AW49">
        <f>IF($Z$49="absent","NOT_RUN",IF($Y$49&gt;1,"ERROR",IFERROR(IF(OR(AU49="ERROR",AQ49="ERROR"),"ERROR",IF(OR(NOT(ISNUMBER(AU49)),NOT(ISNUMBER(AQ49))),"UNKNOWN",IF(AQ49=0,"NOT_APPLICABLE",AU49/AQ49))),"ERROR")))</f>
        <v/>
      </c>
      <c r="AX49">
        <f>IF(ISNUMBER(AW49),IF(AND($R$49=TRUE,AM49="none"),"ESTIMATED","OK"),AW49)</f>
        <v/>
      </c>
      <c r="AY49">
        <f>IF($Z$49="absent","NOT_RUN",IF($Y$49&gt;1,"ERROR",IFERROR(IF(OR(AN49="ERROR",AL49="ERROR"),"ERROR",IF(OR(NOT(ISNUMBER(AN49)),NOT(ISNUMBER(AL49))),"UNKNOWN",IF(AN49&lt;=0,"NOT_APPLICABLE",AL49/AN49))),"ERROR")))</f>
        <v/>
      </c>
      <c r="AZ49">
        <f>IF(ISNUMBER(AY49),IF(AND($R$49=TRUE,AM49="none"),"ESTIMATED","OK"),AY49)</f>
        <v/>
      </c>
      <c r="BA49">
        <f>IF($Z$49="absent","NOT_RUN",IF($Y$49&gt;1,"ERROR",IFERROR(IF(OR(AK49="ERROR",AN49="ERROR",AL49="ERROR"),"ERROR",IF(OR(NOT(ISNUMBER(AK49)),NOT(ISNUMBER(AN49)),NOT(ISNUMBER(AL49))),"UNKNOWN",IF(AN49&lt;=0,"NOT_APPLICABLE",AK49-AY49))),"ERROR")))</f>
        <v/>
      </c>
      <c r="BB49">
        <f>IF(ISNUMBER(BA49),IF(AND($R$49=TRUE,AM49="none"),"ESTIMATED","OK"),BA49)</f>
        <v/>
      </c>
      <c r="BC49">
        <f>IF($Z$49="absent","NOT_RUN",IF($Y$49&gt;1,"ERROR",IFERROR(IF(OR(AK49="ERROR",AN49="ERROR",AL49="ERROR"),"ERROR",IF(OR(NOT(ISNUMBER(AK49)),NOT(ISNUMBER(AN49)),NOT(ISNUMBER(AL49))),"UNKNOWN",IF(OR(AN49&lt;=0,AK49=0),"NOT_APPLICABLE",(AK49-AY49)/AK49))),"ERROR")))</f>
        <v/>
      </c>
      <c r="BD49">
        <f>IF(ISNUMBER(BC49),IF(AND($R$49=TRUE,AM49="none"),"ESTIMATED","OK"),BC49)</f>
        <v/>
      </c>
      <c r="BE49">
        <f>IF($Z$49="absent","NOT_RUN",IF(OR(AP49="ERROR",AR49="ERROR",AT49="ERROR",AV49="ERROR",AX49="ERROR",AZ49="ERROR",BB49="ERROR",BD49="ERROR"),"ERROR",IF(OR(AP49="UNKNOWN",AR49="UNKNOWN",AT49="UNKNOWN",AV49="UNKNOWN",AX49="UNKNOWN",AZ49="UNKNOWN",BB49="UNKNOWN",BD49="UNKNOWN"),"INCOMPLETE","OK")))</f>
        <v/>
      </c>
      <c r="BF49">
        <f>IF($Z$49="absent","",AH49)</f>
        <v/>
      </c>
    </row>
    <row r="50">
      <c r="B50" s="8" t="inlineStr">
        <is>
          <t>Total Net Sales ex VAT</t>
        </is>
      </c>
      <c r="C50" s="52">
        <f>AQ49</f>
        <v/>
      </c>
      <c r="D50" s="53" t="n">
        <v>100000</v>
      </c>
      <c r="E50" s="51">
        <f>IF(ISNUMBER(D50),IF(ISNUMBER(AQ49),ABS(AQ49-D50),"N/A"),"N/A")</f>
        <v/>
      </c>
      <c r="F50" s="15">
        <f>IFERROR(IF(ISNUMBER(D50),IF(ISNUMBER(AQ49),IF(ABS(AQ49-D50)&lt;=0.01,"PASS","FAIL"),"FAIL"),IF(NOT(ISNUMBER(AQ49)),IF(AQ49=D50,"PASS","FAIL"),"FAIL")),"FAIL")</f>
        <v/>
      </c>
      <c r="G50" s="16">
        <f>AR49</f>
        <v/>
      </c>
      <c r="H50" s="30" t="inlineStr">
        <is>
          <t>OK</t>
        </is>
      </c>
      <c r="I50" s="15">
        <f>IF(AR49=H50,"PASS","FAIL")</f>
        <v/>
      </c>
    </row>
    <row r="51">
      <c r="B51" s="8" t="inlineStr">
        <is>
          <t>Total Contribution Margin</t>
        </is>
      </c>
      <c r="C51" s="52">
        <f>AS49</f>
        <v/>
      </c>
      <c r="D51" s="53" t="n">
        <v>60000</v>
      </c>
      <c r="E51" s="51">
        <f>IF(ISNUMBER(D51),IF(ISNUMBER(AS49),ABS(AS49-D51),"N/A"),"N/A")</f>
        <v/>
      </c>
      <c r="F51" s="15">
        <f>IFERROR(IF(ISNUMBER(D51),IF(ISNUMBER(AS49),IF(ABS(AS49-D51)&lt;=0.01,"PASS","FAIL"),"FAIL"),IF(NOT(ISNUMBER(AS49)),IF(AS49=D51,"PASS","FAIL"),"FAIL")),"FAIL")</f>
        <v/>
      </c>
      <c r="G51" s="16">
        <f>AT49</f>
        <v/>
      </c>
      <c r="H51" s="30" t="inlineStr">
        <is>
          <t>OK</t>
        </is>
      </c>
      <c r="I51" s="15">
        <f>IF(AT49=H51,"PASS","FAIL")</f>
        <v/>
      </c>
    </row>
    <row r="52">
      <c r="B52" s="8" t="inlineStr">
        <is>
          <t>Operating Profit</t>
        </is>
      </c>
      <c r="C52" s="52">
        <f>AU49</f>
        <v/>
      </c>
      <c r="D52" s="53" t="n">
        <v>0</v>
      </c>
      <c r="E52" s="51">
        <f>IF(ISNUMBER(D52),IF(ISNUMBER(AU49),ABS(AU49-D52),"N/A"),"N/A")</f>
        <v/>
      </c>
      <c r="F52" s="15">
        <f>IFERROR(IF(ISNUMBER(D52),IF(ISNUMBER(AU49),IF(ABS(AU49-D52)&lt;=0.01,"PASS","FAIL"),"FAIL"),IF(NOT(ISNUMBER(AU49)),IF(AU49=D52,"PASS","FAIL"),"FAIL")),"FAIL")</f>
        <v/>
      </c>
      <c r="G52" s="16">
        <f>AV49</f>
        <v/>
      </c>
      <c r="H52" s="30" t="inlineStr">
        <is>
          <t>OK</t>
        </is>
      </c>
      <c r="I52" s="15">
        <f>IF(AV49=H52,"PASS","FAIL")</f>
        <v/>
      </c>
    </row>
    <row r="53">
      <c r="B53" s="8" t="inlineStr">
        <is>
          <t>Operating Profit Rate</t>
        </is>
      </c>
      <c r="C53" s="54">
        <f>AW49</f>
        <v/>
      </c>
      <c r="D53" s="55" t="n">
        <v>0</v>
      </c>
      <c r="E53" s="51">
        <f>IF(ISNUMBER(D53),IF(ISNUMBER(AW49),ABS(AW49-D53),"N/A"),"N/A")</f>
        <v/>
      </c>
      <c r="F53" s="15">
        <f>IFERROR(IF(ISNUMBER(D53),IF(ISNUMBER(AW49),IF(ABS(AW49-D53)&lt;=1e-06,"PASS","FAIL"),"FAIL"),IF(NOT(ISNUMBER(AW49)),IF(AW49=D53,"PASS","FAIL"),"FAIL")),"FAIL")</f>
        <v/>
      </c>
      <c r="G53" s="16">
        <f>AX49</f>
        <v/>
      </c>
      <c r="H53" s="30" t="inlineStr">
        <is>
          <t>OK</t>
        </is>
      </c>
      <c r="I53" s="15">
        <f>IF(AX49=H53,"PASS","FAIL")</f>
        <v/>
      </c>
    </row>
    <row r="54">
      <c r="B54" s="8" t="inlineStr">
        <is>
          <t>Break-Even Quantity (Q_BEP)</t>
        </is>
      </c>
      <c r="C54" s="25">
        <f>AY49</f>
        <v/>
      </c>
      <c r="D54" s="21" t="n">
        <v>100</v>
      </c>
      <c r="E54" s="51">
        <f>IF(ISNUMBER(D54),IF(ISNUMBER(AY49),ABS(AY49-D54),"N/A"),"N/A")</f>
        <v/>
      </c>
      <c r="F54" s="15">
        <f>IFERROR(IF(ISNUMBER(D54),IF(ISNUMBER(AY49),IF(ABS(AY49-D54)&lt;=0.01,"PASS","FAIL"),"FAIL"),IF(NOT(ISNUMBER(AY49)),IF(AY49=D54,"PASS","FAIL"),"FAIL")),"FAIL")</f>
        <v/>
      </c>
      <c r="G54" s="16">
        <f>AZ49</f>
        <v/>
      </c>
      <c r="H54" s="30" t="inlineStr">
        <is>
          <t>OK</t>
        </is>
      </c>
      <c r="I54" s="15">
        <f>IF(AZ49=H54,"PASS","FAIL")</f>
        <v/>
      </c>
    </row>
    <row r="55">
      <c r="B55" s="8" t="inlineStr">
        <is>
          <t>Margin of Safety Quantity</t>
        </is>
      </c>
      <c r="C55" s="25">
        <f>BA49</f>
        <v/>
      </c>
      <c r="D55" s="21" t="n">
        <v>0</v>
      </c>
      <c r="E55" s="51">
        <f>IF(ISNUMBER(D55),IF(ISNUMBER(BA49),ABS(BA49-D55),"N/A"),"N/A")</f>
        <v/>
      </c>
      <c r="F55" s="15">
        <f>IFERROR(IF(ISNUMBER(D55),IF(ISNUMBER(BA49),IF(ABS(BA49-D55)&lt;=0.01,"PASS","FAIL"),"FAIL"),IF(NOT(ISNUMBER(BA49)),IF(BA49=D55,"PASS","FAIL"),"FAIL")),"FAIL")</f>
        <v/>
      </c>
      <c r="G55" s="16">
        <f>BB49</f>
        <v/>
      </c>
      <c r="H55" s="30" t="inlineStr">
        <is>
          <t>OK</t>
        </is>
      </c>
      <c r="I55" s="15">
        <f>IF(BB49=H55,"PASS","FAIL")</f>
        <v/>
      </c>
    </row>
    <row r="56">
      <c r="B56" s="8" t="inlineStr">
        <is>
          <t>Margin of Safety Rate</t>
        </is>
      </c>
      <c r="C56" s="54">
        <f>BC49</f>
        <v/>
      </c>
      <c r="D56" s="55" t="n">
        <v>0</v>
      </c>
      <c r="E56" s="51">
        <f>IF(ISNUMBER(D56),IF(ISNUMBER(BC49),ABS(BC49-D56),"N/A"),"N/A")</f>
        <v/>
      </c>
      <c r="F56" s="15">
        <f>IFERROR(IF(ISNUMBER(D56),IF(ISNUMBER(BC49),IF(ABS(BC49-D56)&lt;=1e-06,"PASS","FAIL"),"FAIL"),IF(NOT(ISNUMBER(BC49)),IF(BC49=D56,"PASS","FAIL"),"FAIL")),"FAIL")</f>
        <v/>
      </c>
      <c r="G56" s="16">
        <f>BD49</f>
        <v/>
      </c>
      <c r="H56" s="30" t="inlineStr">
        <is>
          <t>OK</t>
        </is>
      </c>
      <c r="I56" s="15">
        <f>IF(BD49=H56,"PASS","FAIL")</f>
        <v/>
      </c>
    </row>
    <row r="57">
      <c r="B57" s="8" t="inlineStr">
        <is>
          <t>Module Status</t>
        </is>
      </c>
      <c r="C57" s="16">
        <f>BE49</f>
        <v/>
      </c>
      <c r="D57" s="30" t="inlineStr">
        <is>
          <t>OK</t>
        </is>
      </c>
      <c r="F57" s="15">
        <f>IF(BE49=D57,"PASS","FAIL")</f>
        <v/>
      </c>
    </row>
    <row r="58">
      <c r="B58" s="8" t="inlineStr">
        <is>
          <t>Analysis Period Basis</t>
        </is>
      </c>
      <c r="C58" s="16">
        <f>BF49</f>
        <v/>
      </c>
      <c r="D58" s="30" t="inlineStr">
        <is>
          <t>per_month</t>
        </is>
      </c>
      <c r="F58" s="15">
        <f>IF(BF49=D58,"PASS","FAIL")</f>
        <v/>
      </c>
    </row>
    <row r="59">
      <c r="B59" s="8" t="inlineStr">
        <is>
          <t>Self-Check: |MoS qty × CMu − Operating Profit| ≤ tol</t>
        </is>
      </c>
      <c r="C59" s="36">
        <f>IF(OR(NOT(ISNUMBER(BA49)),NOT(ISNUMBER(AN49)),NOT(ISNUMBER(AU49))),"SKIP",IF(ABS(BA49*AN49-AU49)&lt;=0.01,"PASS","FAIL"))</f>
        <v/>
      </c>
      <c r="D59" s="34" t="n"/>
      <c r="F59" s="15">
        <f>IF(C59="FAIL","FAIL","PASS")</f>
        <v/>
      </c>
    </row>
    <row r="61" ht="20" customHeight="1">
      <c r="B61" s="2" t="inlineStr">
        <is>
          <t>V5. Zero planned quantity (valid, rates NOT_APPLICABLE)</t>
        </is>
      </c>
      <c r="C61" s="7" t="n"/>
      <c r="D61" s="7" t="n"/>
      <c r="E61" s="7" t="n"/>
      <c r="F61" s="7" t="n"/>
      <c r="G61" s="7" t="n"/>
      <c r="H61" s="7" t="n"/>
      <c r="I61" s="7" t="n"/>
    </row>
    <row r="62">
      <c r="B62" s="4" t="inlineStr">
        <is>
          <t>Metric</t>
        </is>
      </c>
      <c r="C62" s="4" t="inlineStr">
        <is>
          <t>Excel Result</t>
        </is>
      </c>
      <c r="D62" s="4" t="inlineStr">
        <is>
          <t>Python Reference</t>
        </is>
      </c>
      <c r="E62" s="4" t="inlineStr">
        <is>
          <t>Difference</t>
        </is>
      </c>
      <c r="F62" s="4" t="inlineStr">
        <is>
          <t>PASS / FAIL</t>
        </is>
      </c>
      <c r="G62" s="4" t="inlineStr">
        <is>
          <t>Excel Status</t>
        </is>
      </c>
      <c r="H62" s="4" t="inlineStr">
        <is>
          <t>Python Status</t>
        </is>
      </c>
      <c r="I62" s="4" t="inlineStr">
        <is>
          <t>Status PASS</t>
        </is>
      </c>
    </row>
    <row r="63">
      <c r="B63" s="8" t="inlineStr">
        <is>
          <t>Planned Quantity (units)</t>
        </is>
      </c>
      <c r="C63" s="25">
        <f>AO63</f>
        <v/>
      </c>
      <c r="D63" s="21" t="n">
        <v>0</v>
      </c>
      <c r="E63" s="51">
        <f>IF(ISNUMBER(D63),IF(ISNUMBER(AO63),ABS(AO63-D63),"N/A"),"N/A")</f>
        <v/>
      </c>
      <c r="F63" s="15">
        <f>IFERROR(IF(ISNUMBER(D63),IF(ISNUMBER(AO63),IF(ABS(AO63-D63)&lt;=0.01,"PASS","FAIL"),"FAIL"),IF(NOT(ISNUMBER(AO63)),IF(AO63=D63,"PASS","FAIL"),"FAIL")),"FAIL")</f>
        <v/>
      </c>
      <c r="G63" s="16">
        <f>AP63</f>
        <v/>
      </c>
      <c r="H63" s="30" t="inlineStr">
        <is>
          <t>OK</t>
        </is>
      </c>
      <c r="I63" s="15">
        <f>IF(AP63=H63,"PASS","FAIL")</f>
        <v/>
      </c>
      <c r="M63" t="n">
        <v>35000</v>
      </c>
      <c r="N63" t="b">
        <v>1</v>
      </c>
      <c r="O63" t="n">
        <v>0.1</v>
      </c>
      <c r="P63" t="n">
        <v>13500</v>
      </c>
      <c r="Q63" t="n">
        <v>3000</v>
      </c>
      <c r="R63" t="b">
        <v>0</v>
      </c>
      <c r="S63" t="n">
        <v>0</v>
      </c>
      <c r="T63" t="n">
        <v>0.025</v>
      </c>
      <c r="U63" t="n">
        <v>2000000</v>
      </c>
      <c r="V63" t="inlineStr">
        <is>
          <t>per_month</t>
        </is>
      </c>
      <c r="W63" t="inlineStr">
        <is>
          <t>component</t>
        </is>
      </c>
      <c r="X63" t="inlineStr">
        <is>
          <t>consistent</t>
        </is>
      </c>
      <c r="Y63" t="n">
        <v>1</v>
      </c>
      <c r="Z63" t="inlineStr">
        <is>
          <t>present</t>
        </is>
      </c>
      <c r="AA63" t="n">
        <v>0</v>
      </c>
      <c r="AB63" t="inlineStr">
        <is>
          <t>per_month</t>
        </is>
      </c>
      <c r="AD63">
        <f>IFERROR(IF(ISBLANK($M$63),"UNKNOWN",IF(ISBLANK($N$63),"UNKNOWN",IF($N$63=FALSE,$M$63,IF(ISBLANK($O$63),"UNKNOWN",$M$63/(1+$O$63))))),"ERROR")</f>
        <v/>
      </c>
      <c r="AE63">
        <f>IFERROR(IF(ISBLANK($M$63),"UNKNOWN",IF(ISBLANK($N$63),"UNKNOWN",IF($N$63=TRUE,$M$63,IF(ISBLANK($O$63),"UNKNOWN",$M$63*(1+$O$63))))),"ERROR")</f>
        <v/>
      </c>
      <c r="AF63">
        <f>IF($Y$63&gt;1,"ERROR",IFERROR(IF(AD63="ERROR","ERROR",IF(OR(NOT(ISNUMBER(AD63)),ISBLANK($P$63),ISBLANK($Q$63),ISBLANK($S$63),ISBLANK($T$63)),"UNKNOWN",IF($T$63&gt;0,IF(AE63="ERROR","ERROR",IF(NOT(ISNUMBER(AE63)),"UNKNOWN",AD63-$P$63-$Q$63-$S$63*AD63-$T$63*AE63)),AD63-$P$63-$Q$63-$S$63*AD63))),"ERROR"))</f>
        <v/>
      </c>
      <c r="AG63">
        <f>IF($Y$63&gt;1,"ERROR",IFERROR(IF($W$63="invalid_direct","ERROR",IF($X$63="inconsistent","ERROR",IF($W$63="none",0,IF(OR($W$63="unresolved",$W$63="blended_only"),"UNKNOWN",IF(ISBLANK($U$63),"UNKNOWN",IF($U$63&lt;0,"ERROR",$U$63)))))),"ERROR"))</f>
        <v/>
      </c>
      <c r="AH63">
        <f>IF($Y$63&gt;1,"",IF(OR($W$63="invalid_direct",$X$63="inconsistent"),"",IF($W$63="none","",IF(OR($W$63="unresolved",$W$63="blended_only"),"",IF(ISBLANK($U$63),"",IF($U$63&lt;0,"",$V$63))))))</f>
        <v/>
      </c>
      <c r="AI63">
        <f>IF($Y$63&gt;1,"ERROR",IFERROR(IF(OR(AF63="ERROR",AG63="ERROR"),"ERROR",IF(OR(NOT(ISNUMBER(AF63)),NOT(ISNUMBER(AG63))),"UNKNOWN",IF(AF63&lt;=0,"NOT_APPLICABLE",AG63/AF63))),"ERROR"))</f>
        <v/>
      </c>
      <c r="AJ63">
        <f>IF($Y$63&gt;1,"MULTI_COMPONENT_BEP_NOT_SUPPORTED",IF($W$63="invalid_direct","INVALID_ALLOCATION_CONFIGURATION",IF($X$63="inconsistent","INCONSISTENT_FIXED_COST_BASIS",IF(AND($W$63="component",NOT(ISBLANK($U$63)),$U$63&lt;0),"INVALID_NEGATIVE_COST",IF(AF63="ERROR","CALCULATION_ERROR",IF($W$63="blended_only","FIXED_COST_BLENDED_ONLY_NOT_ALLOCATED",IF($W$63="unresolved","UNSUPPORTED_SHARED_COST_ALLOCATION",IF(NOT(ISNUMBER(AF63)),"MISSING_DEPENDENCY",IF(AND($W$63="component",ISBLANK($U$63)),"MISSING_DEPENDENCY",IF(AND(AF63=0,AG63=0),"BREAK_EVEN_UNDEFINED_ZERO_MARGIN_ZERO_FIXED_COST",IF(AF63=0,"BREAK_EVEN_UNDEFINED_ZERO_MARGIN",IF(AF63&lt;0,"BREAK_EVEN_UNDEFINED_NEGATIVE_MARGIN","NONE"))))))))))))</f>
        <v/>
      </c>
      <c r="AK63">
        <f>IF(AND(NOT(ISBLANK($AA$63)),$AA$63&lt;0),"ERROR",IF(AND($AB$63&lt;&gt;"",$AB$63&lt;&gt;"per_month"),"ERROR",IF(OR(ISBLANK($AA$63),$AB$63=""),"UNKNOWN",$AA$63)))</f>
        <v/>
      </c>
      <c r="AL63">
        <f>IF(AND(ISNUMBER(AG63),AH63&lt;&gt;"",AH63&lt;&gt;"per_month"),"ERROR",AG63)</f>
        <v/>
      </c>
      <c r="AM63">
        <f>IF(ISBLANK($AC$63),"none",IF(AND(ISNUMBER($AC$63),$AC$63&gt;0),"valid","invalid"))</f>
        <v/>
      </c>
      <c r="AN63">
        <f>IF(AM63="invalid","ERROR",IF(AND(AM63="valid",$R$63=TRUE,ISNUMBER(AF63)),AF63+$Q$63*(1-1/$AC$63),AF63))</f>
        <v/>
      </c>
      <c r="AO63">
        <f>IF($Z$63="absent","NOT_RUN",IF($Y$63&gt;1,"ERROR",AK63))</f>
        <v/>
      </c>
      <c r="AP63">
        <f>IF(ISNUMBER(AO63),"OK",AO63)</f>
        <v/>
      </c>
      <c r="AQ63">
        <f>IF($Z$63="absent","NOT_RUN",IF($Y$63&gt;1,"ERROR",IFERROR(IF(OR(AK63="ERROR",AD63="ERROR"),"ERROR",IF(OR(NOT(ISNUMBER(AK63)),NOT(ISNUMBER(AD63))),"UNKNOWN",AD63*AK63)),"ERROR")))</f>
        <v/>
      </c>
      <c r="AR63">
        <f>IF(ISNUMBER(AQ63),"OK",AQ63)</f>
        <v/>
      </c>
      <c r="AS63">
        <f>IF($Z$63="absent","NOT_RUN",IF($Y$63&gt;1,"ERROR",IFERROR(IF(OR(AK63="ERROR",AN63="ERROR"),"ERROR",IF(OR(NOT(ISNUMBER(AK63)),NOT(ISNUMBER(AN63))),"UNKNOWN",AN63*AK63)),"ERROR")))</f>
        <v/>
      </c>
      <c r="AT63">
        <f>IF(ISNUMBER(AS63),IF(AND($R$63=TRUE,AM63="none"),"ESTIMATED","OK"),AS63)</f>
        <v/>
      </c>
      <c r="AU63">
        <f>IF($Z$63="absent","NOT_RUN",IF($Y$63&gt;1,"ERROR",IFERROR(IF(OR(AK63="ERROR",AN63="ERROR",AL63="ERROR"),"ERROR",IF(OR(NOT(ISNUMBER(AK63)),NOT(ISNUMBER(AN63)),NOT(ISNUMBER(AL63))),"UNKNOWN",AN63*AK63-AL63)),"ERROR")))</f>
        <v/>
      </c>
      <c r="AV63">
        <f>IF(ISNUMBER(AU63),IF(AND($R$63=TRUE,AM63="none"),"ESTIMATED","OK"),AU63)</f>
        <v/>
      </c>
      <c r="AW63">
        <f>IF($Z$63="absent","NOT_RUN",IF($Y$63&gt;1,"ERROR",IFERROR(IF(OR(AU63="ERROR",AQ63="ERROR"),"ERROR",IF(OR(NOT(ISNUMBER(AU63)),NOT(ISNUMBER(AQ63))),"UNKNOWN",IF(AQ63=0,"NOT_APPLICABLE",AU63/AQ63))),"ERROR")))</f>
        <v/>
      </c>
      <c r="AX63">
        <f>IF(ISNUMBER(AW63),IF(AND($R$63=TRUE,AM63="none"),"ESTIMATED","OK"),AW63)</f>
        <v/>
      </c>
      <c r="AY63">
        <f>IF($Z$63="absent","NOT_RUN",IF($Y$63&gt;1,"ERROR",IFERROR(IF(OR(AN63="ERROR",AL63="ERROR"),"ERROR",IF(OR(NOT(ISNUMBER(AN63)),NOT(ISNUMBER(AL63))),"UNKNOWN",IF(AN63&lt;=0,"NOT_APPLICABLE",AL63/AN63))),"ERROR")))</f>
        <v/>
      </c>
      <c r="AZ63">
        <f>IF(ISNUMBER(AY63),IF(AND($R$63=TRUE,AM63="none"),"ESTIMATED","OK"),AY63)</f>
        <v/>
      </c>
      <c r="BA63">
        <f>IF($Z$63="absent","NOT_RUN",IF($Y$63&gt;1,"ERROR",IFERROR(IF(OR(AK63="ERROR",AN63="ERROR",AL63="ERROR"),"ERROR",IF(OR(NOT(ISNUMBER(AK63)),NOT(ISNUMBER(AN63)),NOT(ISNUMBER(AL63))),"UNKNOWN",IF(AN63&lt;=0,"NOT_APPLICABLE",AK63-AY63))),"ERROR")))</f>
        <v/>
      </c>
      <c r="BB63">
        <f>IF(ISNUMBER(BA63),IF(AND($R$63=TRUE,AM63="none"),"ESTIMATED","OK"),BA63)</f>
        <v/>
      </c>
      <c r="BC63">
        <f>IF($Z$63="absent","NOT_RUN",IF($Y$63&gt;1,"ERROR",IFERROR(IF(OR(AK63="ERROR",AN63="ERROR",AL63="ERROR"),"ERROR",IF(OR(NOT(ISNUMBER(AK63)),NOT(ISNUMBER(AN63)),NOT(ISNUMBER(AL63))),"UNKNOWN",IF(OR(AN63&lt;=0,AK63=0),"NOT_APPLICABLE",(AK63-AY63)/AK63))),"ERROR")))</f>
        <v/>
      </c>
      <c r="BD63">
        <f>IF(ISNUMBER(BC63),IF(AND($R$63=TRUE,AM63="none"),"ESTIMATED","OK"),BC63)</f>
        <v/>
      </c>
      <c r="BE63">
        <f>IF($Z$63="absent","NOT_RUN",IF(OR(AP63="ERROR",AR63="ERROR",AT63="ERROR",AV63="ERROR",AX63="ERROR",AZ63="ERROR",BB63="ERROR",BD63="ERROR"),"ERROR",IF(OR(AP63="UNKNOWN",AR63="UNKNOWN",AT63="UNKNOWN",AV63="UNKNOWN",AX63="UNKNOWN",AZ63="UNKNOWN",BB63="UNKNOWN",BD63="UNKNOWN"),"INCOMPLETE","OK")))</f>
        <v/>
      </c>
      <c r="BF63">
        <f>IF($Z$63="absent","",AH63)</f>
        <v/>
      </c>
    </row>
    <row r="64">
      <c r="B64" s="8" t="inlineStr">
        <is>
          <t>Total Net Sales ex VAT</t>
        </is>
      </c>
      <c r="C64" s="52">
        <f>AQ63</f>
        <v/>
      </c>
      <c r="D64" s="53" t="n">
        <v>0</v>
      </c>
      <c r="E64" s="51">
        <f>IF(ISNUMBER(D64),IF(ISNUMBER(AQ63),ABS(AQ63-D64),"N/A"),"N/A")</f>
        <v/>
      </c>
      <c r="F64" s="15">
        <f>IFERROR(IF(ISNUMBER(D64),IF(ISNUMBER(AQ63),IF(ABS(AQ63-D64)&lt;=0.01,"PASS","FAIL"),"FAIL"),IF(NOT(ISNUMBER(AQ63)),IF(AQ63=D64,"PASS","FAIL"),"FAIL")),"FAIL")</f>
        <v/>
      </c>
      <c r="G64" s="16">
        <f>AR63</f>
        <v/>
      </c>
      <c r="H64" s="30" t="inlineStr">
        <is>
          <t>OK</t>
        </is>
      </c>
      <c r="I64" s="15">
        <f>IF(AR63=H64,"PASS","FAIL")</f>
        <v/>
      </c>
    </row>
    <row r="65">
      <c r="B65" s="8" t="inlineStr">
        <is>
          <t>Total Contribution Margin</t>
        </is>
      </c>
      <c r="C65" s="52">
        <f>AS63</f>
        <v/>
      </c>
      <c r="D65" s="53" t="n">
        <v>0</v>
      </c>
      <c r="E65" s="51">
        <f>IF(ISNUMBER(D65),IF(ISNUMBER(AS63),ABS(AS63-D65),"N/A"),"N/A")</f>
        <v/>
      </c>
      <c r="F65" s="15">
        <f>IFERROR(IF(ISNUMBER(D65),IF(ISNUMBER(AS63),IF(ABS(AS63-D65)&lt;=0.01,"PASS","FAIL"),"FAIL"),IF(NOT(ISNUMBER(AS63)),IF(AS63=D65,"PASS","FAIL"),"FAIL")),"FAIL")</f>
        <v/>
      </c>
      <c r="G65" s="16">
        <f>AT63</f>
        <v/>
      </c>
      <c r="H65" s="30" t="inlineStr">
        <is>
          <t>OK</t>
        </is>
      </c>
      <c r="I65" s="15">
        <f>IF(AT63=H65,"PASS","FAIL")</f>
        <v/>
      </c>
    </row>
    <row r="66">
      <c r="B66" s="8" t="inlineStr">
        <is>
          <t>Operating Profit</t>
        </is>
      </c>
      <c r="C66" s="52">
        <f>AU63</f>
        <v/>
      </c>
      <c r="D66" s="53" t="n">
        <v>-2000000</v>
      </c>
      <c r="E66" s="51">
        <f>IF(ISNUMBER(D66),IF(ISNUMBER(AU63),ABS(AU63-D66),"N/A"),"N/A")</f>
        <v/>
      </c>
      <c r="F66" s="15">
        <f>IFERROR(IF(ISNUMBER(D66),IF(ISNUMBER(AU63),IF(ABS(AU63-D66)&lt;=0.01,"PASS","FAIL"),"FAIL"),IF(NOT(ISNUMBER(AU63)),IF(AU63=D66,"PASS","FAIL"),"FAIL")),"FAIL")</f>
        <v/>
      </c>
      <c r="G66" s="16">
        <f>AV63</f>
        <v/>
      </c>
      <c r="H66" s="30" t="inlineStr">
        <is>
          <t>OK</t>
        </is>
      </c>
      <c r="I66" s="15">
        <f>IF(AV63=H66,"PASS","FAIL")</f>
        <v/>
      </c>
    </row>
    <row r="67">
      <c r="B67" s="8" t="inlineStr">
        <is>
          <t>Operating Profit Rate</t>
        </is>
      </c>
      <c r="C67" s="54">
        <f>AW63</f>
        <v/>
      </c>
      <c r="D67" s="30" t="inlineStr">
        <is>
          <t>NOT_APPLICABLE</t>
        </is>
      </c>
      <c r="E67" s="51">
        <f>IF(ISNUMBER(D67),IF(ISNUMBER(AW63),ABS(AW63-D67),"N/A"),"N/A")</f>
        <v/>
      </c>
      <c r="F67" s="15">
        <f>IFERROR(IF(ISNUMBER(D67),IF(ISNUMBER(AW63),IF(ABS(AW63-D67)&lt;=1e-06,"PASS","FAIL"),"FAIL"),IF(NOT(ISNUMBER(AW63)),IF(AW63=D67,"PASS","FAIL"),"FAIL")),"FAIL")</f>
        <v/>
      </c>
      <c r="G67" s="16">
        <f>AX63</f>
        <v/>
      </c>
      <c r="H67" s="30" t="inlineStr">
        <is>
          <t>NOT_APPLICABLE</t>
        </is>
      </c>
      <c r="I67" s="15">
        <f>IF(AX63=H67,"PASS","FAIL")</f>
        <v/>
      </c>
    </row>
    <row r="68">
      <c r="B68" s="8" t="inlineStr">
        <is>
          <t>Break-Even Quantity (Q_BEP)</t>
        </is>
      </c>
      <c r="C68" s="25">
        <f>AY63</f>
        <v/>
      </c>
      <c r="D68" s="21" t="n">
        <v>138.4736428009442</v>
      </c>
      <c r="E68" s="51">
        <f>IF(ISNUMBER(D68),IF(ISNUMBER(AY63),ABS(AY63-D68),"N/A"),"N/A")</f>
        <v/>
      </c>
      <c r="F68" s="15">
        <f>IFERROR(IF(ISNUMBER(D68),IF(ISNUMBER(AY63),IF(ABS(AY63-D68)&lt;=0.01,"PASS","FAIL"),"FAIL"),IF(NOT(ISNUMBER(AY63)),IF(AY63=D68,"PASS","FAIL"),"FAIL")),"FAIL")</f>
        <v/>
      </c>
      <c r="G68" s="16">
        <f>AZ63</f>
        <v/>
      </c>
      <c r="H68" s="30" t="inlineStr">
        <is>
          <t>OK</t>
        </is>
      </c>
      <c r="I68" s="15">
        <f>IF(AZ63=H68,"PASS","FAIL")</f>
        <v/>
      </c>
    </row>
    <row r="69">
      <c r="B69" s="8" t="inlineStr">
        <is>
          <t>Margin of Safety Quantity</t>
        </is>
      </c>
      <c r="C69" s="25">
        <f>BA63</f>
        <v/>
      </c>
      <c r="D69" s="21" t="n">
        <v>-138.4736428009442</v>
      </c>
      <c r="E69" s="51">
        <f>IF(ISNUMBER(D69),IF(ISNUMBER(BA63),ABS(BA63-D69),"N/A"),"N/A")</f>
        <v/>
      </c>
      <c r="F69" s="15">
        <f>IFERROR(IF(ISNUMBER(D69),IF(ISNUMBER(BA63),IF(ABS(BA63-D69)&lt;=0.01,"PASS","FAIL"),"FAIL"),IF(NOT(ISNUMBER(BA63)),IF(BA63=D69,"PASS","FAIL"),"FAIL")),"FAIL")</f>
        <v/>
      </c>
      <c r="G69" s="16">
        <f>BB63</f>
        <v/>
      </c>
      <c r="H69" s="30" t="inlineStr">
        <is>
          <t>OK</t>
        </is>
      </c>
      <c r="I69" s="15">
        <f>IF(BB63=H69,"PASS","FAIL")</f>
        <v/>
      </c>
    </row>
    <row r="70">
      <c r="B70" s="8" t="inlineStr">
        <is>
          <t>Margin of Safety Rate</t>
        </is>
      </c>
      <c r="C70" s="54">
        <f>BC63</f>
        <v/>
      </c>
      <c r="D70" s="30" t="inlineStr">
        <is>
          <t>NOT_APPLICABLE</t>
        </is>
      </c>
      <c r="E70" s="51">
        <f>IF(ISNUMBER(D70),IF(ISNUMBER(BC63),ABS(BC63-D70),"N/A"),"N/A")</f>
        <v/>
      </c>
      <c r="F70" s="15">
        <f>IFERROR(IF(ISNUMBER(D70),IF(ISNUMBER(BC63),IF(ABS(BC63-D70)&lt;=1e-06,"PASS","FAIL"),"FAIL"),IF(NOT(ISNUMBER(BC63)),IF(BC63=D70,"PASS","FAIL"),"FAIL")),"FAIL")</f>
        <v/>
      </c>
      <c r="G70" s="16">
        <f>BD63</f>
        <v/>
      </c>
      <c r="H70" s="30" t="inlineStr">
        <is>
          <t>NOT_APPLICABLE</t>
        </is>
      </c>
      <c r="I70" s="15">
        <f>IF(BD63=H70,"PASS","FAIL")</f>
        <v/>
      </c>
    </row>
    <row r="71">
      <c r="B71" s="8" t="inlineStr">
        <is>
          <t>Module Status</t>
        </is>
      </c>
      <c r="C71" s="16">
        <f>BE63</f>
        <v/>
      </c>
      <c r="D71" s="30" t="inlineStr">
        <is>
          <t>OK</t>
        </is>
      </c>
      <c r="F71" s="15">
        <f>IF(BE63=D71,"PASS","FAIL")</f>
        <v/>
      </c>
    </row>
    <row r="72">
      <c r="B72" s="8" t="inlineStr">
        <is>
          <t>Analysis Period Basis</t>
        </is>
      </c>
      <c r="C72" s="16">
        <f>BF63</f>
        <v/>
      </c>
      <c r="D72" s="30" t="inlineStr">
        <is>
          <t>per_month</t>
        </is>
      </c>
      <c r="F72" s="15">
        <f>IF(BF63=D72,"PASS","FAIL")</f>
        <v/>
      </c>
    </row>
    <row r="73">
      <c r="B73" s="8" t="inlineStr">
        <is>
          <t>Self-Check: |MoS qty × CMu − Operating Profit| ≤ tol</t>
        </is>
      </c>
      <c r="C73" s="36">
        <f>IF(OR(NOT(ISNUMBER(BA63)),NOT(ISNUMBER(AN63)),NOT(ISNUMBER(AU63))),"SKIP",IF(ABS(BA63*AN63-AU63)&lt;=0.01,"PASS","FAIL"))</f>
        <v/>
      </c>
      <c r="D73" s="34" t="n"/>
      <c r="F73" s="15">
        <f>IF(C73="FAIL","FAIL","PASS")</f>
        <v/>
      </c>
    </row>
    <row r="75" ht="20" customHeight="1">
      <c r="B75" s="2" t="inlineStr">
        <is>
          <t>V6. Non-integer planned quantity</t>
        </is>
      </c>
      <c r="C75" s="7" t="n"/>
      <c r="D75" s="7" t="n"/>
      <c r="E75" s="7" t="n"/>
      <c r="F75" s="7" t="n"/>
      <c r="G75" s="7" t="n"/>
      <c r="H75" s="7" t="n"/>
      <c r="I75" s="7" t="n"/>
    </row>
    <row r="76">
      <c r="B76" s="4" t="inlineStr">
        <is>
          <t>Metric</t>
        </is>
      </c>
      <c r="C76" s="4" t="inlineStr">
        <is>
          <t>Excel Result</t>
        </is>
      </c>
      <c r="D76" s="4" t="inlineStr">
        <is>
          <t>Python Reference</t>
        </is>
      </c>
      <c r="E76" s="4" t="inlineStr">
        <is>
          <t>Difference</t>
        </is>
      </c>
      <c r="F76" s="4" t="inlineStr">
        <is>
          <t>PASS / FAIL</t>
        </is>
      </c>
      <c r="G76" s="4" t="inlineStr">
        <is>
          <t>Excel Status</t>
        </is>
      </c>
      <c r="H76" s="4" t="inlineStr">
        <is>
          <t>Python Status</t>
        </is>
      </c>
      <c r="I76" s="4" t="inlineStr">
        <is>
          <t>Status PASS</t>
        </is>
      </c>
    </row>
    <row r="77">
      <c r="B77" s="8" t="inlineStr">
        <is>
          <t>Planned Quantity (units)</t>
        </is>
      </c>
      <c r="C77" s="25">
        <f>AO77</f>
        <v/>
      </c>
      <c r="D77" s="21" t="n">
        <v>123.5</v>
      </c>
      <c r="E77" s="51">
        <f>IF(ISNUMBER(D77),IF(ISNUMBER(AO77),ABS(AO77-D77),"N/A"),"N/A")</f>
        <v/>
      </c>
      <c r="F77" s="15">
        <f>IFERROR(IF(ISNUMBER(D77),IF(ISNUMBER(AO77),IF(ABS(AO77-D77)&lt;=0.01,"PASS","FAIL"),"FAIL"),IF(NOT(ISNUMBER(AO77)),IF(AO77=D77,"PASS","FAIL"),"FAIL")),"FAIL")</f>
        <v/>
      </c>
      <c r="G77" s="16">
        <f>AP77</f>
        <v/>
      </c>
      <c r="H77" s="30" t="inlineStr">
        <is>
          <t>OK</t>
        </is>
      </c>
      <c r="I77" s="15">
        <f>IF(AP77=H77,"PASS","FAIL")</f>
        <v/>
      </c>
      <c r="M77" t="n">
        <v>35000</v>
      </c>
      <c r="N77" t="b">
        <v>1</v>
      </c>
      <c r="O77" t="n">
        <v>0.1</v>
      </c>
      <c r="P77" t="n">
        <v>13500</v>
      </c>
      <c r="Q77" t="n">
        <v>3000</v>
      </c>
      <c r="R77" t="b">
        <v>0</v>
      </c>
      <c r="S77" t="n">
        <v>0</v>
      </c>
      <c r="T77" t="n">
        <v>0.025</v>
      </c>
      <c r="U77" t="n">
        <v>2000000</v>
      </c>
      <c r="V77" t="inlineStr">
        <is>
          <t>per_month</t>
        </is>
      </c>
      <c r="W77" t="inlineStr">
        <is>
          <t>component</t>
        </is>
      </c>
      <c r="X77" t="inlineStr">
        <is>
          <t>consistent</t>
        </is>
      </c>
      <c r="Y77" t="n">
        <v>1</v>
      </c>
      <c r="Z77" t="inlineStr">
        <is>
          <t>present</t>
        </is>
      </c>
      <c r="AA77" t="n">
        <v>123.5</v>
      </c>
      <c r="AB77" t="inlineStr">
        <is>
          <t>per_month</t>
        </is>
      </c>
      <c r="AD77">
        <f>IFERROR(IF(ISBLANK($M$77),"UNKNOWN",IF(ISBLANK($N$77),"UNKNOWN",IF($N$77=FALSE,$M$77,IF(ISBLANK($O$77),"UNKNOWN",$M$77/(1+$O$77))))),"ERROR")</f>
        <v/>
      </c>
      <c r="AE77">
        <f>IFERROR(IF(ISBLANK($M$77),"UNKNOWN",IF(ISBLANK($N$77),"UNKNOWN",IF($N$77=TRUE,$M$77,IF(ISBLANK($O$77),"UNKNOWN",$M$77*(1+$O$77))))),"ERROR")</f>
        <v/>
      </c>
      <c r="AF77">
        <f>IF($Y$77&gt;1,"ERROR",IFERROR(IF(AD77="ERROR","ERROR",IF(OR(NOT(ISNUMBER(AD77)),ISBLANK($P$77),ISBLANK($Q$77),ISBLANK($S$77),ISBLANK($T$77)),"UNKNOWN",IF($T$77&gt;0,IF(AE77="ERROR","ERROR",IF(NOT(ISNUMBER(AE77)),"UNKNOWN",AD77-$P$77-$Q$77-$S$77*AD77-$T$77*AE77)),AD77-$P$77-$Q$77-$S$77*AD77))),"ERROR"))</f>
        <v/>
      </c>
      <c r="AG77">
        <f>IF($Y$77&gt;1,"ERROR",IFERROR(IF($W$77="invalid_direct","ERROR",IF($X$77="inconsistent","ERROR",IF($W$77="none",0,IF(OR($W$77="unresolved",$W$77="blended_only"),"UNKNOWN",IF(ISBLANK($U$77),"UNKNOWN",IF($U$77&lt;0,"ERROR",$U$77)))))),"ERROR"))</f>
        <v/>
      </c>
      <c r="AH77">
        <f>IF($Y$77&gt;1,"",IF(OR($W$77="invalid_direct",$X$77="inconsistent"),"",IF($W$77="none","",IF(OR($W$77="unresolved",$W$77="blended_only"),"",IF(ISBLANK($U$77),"",IF($U$77&lt;0,"",$V$77))))))</f>
        <v/>
      </c>
      <c r="AI77">
        <f>IF($Y$77&gt;1,"ERROR",IFERROR(IF(OR(AF77="ERROR",AG77="ERROR"),"ERROR",IF(OR(NOT(ISNUMBER(AF77)),NOT(ISNUMBER(AG77))),"UNKNOWN",IF(AF77&lt;=0,"NOT_APPLICABLE",AG77/AF77))),"ERROR"))</f>
        <v/>
      </c>
      <c r="AJ77">
        <f>IF($Y$77&gt;1,"MULTI_COMPONENT_BEP_NOT_SUPPORTED",IF($W$77="invalid_direct","INVALID_ALLOCATION_CONFIGURATION",IF($X$77="inconsistent","INCONSISTENT_FIXED_COST_BASIS",IF(AND($W$77="component",NOT(ISBLANK($U$77)),$U$77&lt;0),"INVALID_NEGATIVE_COST",IF(AF77="ERROR","CALCULATION_ERROR",IF($W$77="blended_only","FIXED_COST_BLENDED_ONLY_NOT_ALLOCATED",IF($W$77="unresolved","UNSUPPORTED_SHARED_COST_ALLOCATION",IF(NOT(ISNUMBER(AF77)),"MISSING_DEPENDENCY",IF(AND($W$77="component",ISBLANK($U$77)),"MISSING_DEPENDENCY",IF(AND(AF77=0,AG77=0),"BREAK_EVEN_UNDEFINED_ZERO_MARGIN_ZERO_FIXED_COST",IF(AF77=0,"BREAK_EVEN_UNDEFINED_ZERO_MARGIN",IF(AF77&lt;0,"BREAK_EVEN_UNDEFINED_NEGATIVE_MARGIN","NONE"))))))))))))</f>
        <v/>
      </c>
      <c r="AK77">
        <f>IF(AND(NOT(ISBLANK($AA$77)),$AA$77&lt;0),"ERROR",IF(AND($AB$77&lt;&gt;"",$AB$77&lt;&gt;"per_month"),"ERROR",IF(OR(ISBLANK($AA$77),$AB$77=""),"UNKNOWN",$AA$77)))</f>
        <v/>
      </c>
      <c r="AL77">
        <f>IF(AND(ISNUMBER(AG77),AH77&lt;&gt;"",AH77&lt;&gt;"per_month"),"ERROR",AG77)</f>
        <v/>
      </c>
      <c r="AM77">
        <f>IF(ISBLANK($AC$77),"none",IF(AND(ISNUMBER($AC$77),$AC$77&gt;0),"valid","invalid"))</f>
        <v/>
      </c>
      <c r="AN77">
        <f>IF(AM77="invalid","ERROR",IF(AND(AM77="valid",$R$77=TRUE,ISNUMBER(AF77)),AF77+$Q$77*(1-1/$AC$77),AF77))</f>
        <v/>
      </c>
      <c r="AO77">
        <f>IF($Z$77="absent","NOT_RUN",IF($Y$77&gt;1,"ERROR",AK77))</f>
        <v/>
      </c>
      <c r="AP77">
        <f>IF(ISNUMBER(AO77),"OK",AO77)</f>
        <v/>
      </c>
      <c r="AQ77">
        <f>IF($Z$77="absent","NOT_RUN",IF($Y$77&gt;1,"ERROR",IFERROR(IF(OR(AK77="ERROR",AD77="ERROR"),"ERROR",IF(OR(NOT(ISNUMBER(AK77)),NOT(ISNUMBER(AD77))),"UNKNOWN",AD77*AK77)),"ERROR")))</f>
        <v/>
      </c>
      <c r="AR77">
        <f>IF(ISNUMBER(AQ77),"OK",AQ77)</f>
        <v/>
      </c>
      <c r="AS77">
        <f>IF($Z$77="absent","NOT_RUN",IF($Y$77&gt;1,"ERROR",IFERROR(IF(OR(AK77="ERROR",AN77="ERROR"),"ERROR",IF(OR(NOT(ISNUMBER(AK77)),NOT(ISNUMBER(AN77))),"UNKNOWN",AN77*AK77)),"ERROR")))</f>
        <v/>
      </c>
      <c r="AT77">
        <f>IF(ISNUMBER(AS77),IF(AND($R$77=TRUE,AM77="none"),"ESTIMATED","OK"),AS77)</f>
        <v/>
      </c>
      <c r="AU77">
        <f>IF($Z$77="absent","NOT_RUN",IF($Y$77&gt;1,"ERROR",IFERROR(IF(OR(AK77="ERROR",AN77="ERROR",AL77="ERROR"),"ERROR",IF(OR(NOT(ISNUMBER(AK77)),NOT(ISNUMBER(AN77)),NOT(ISNUMBER(AL77))),"UNKNOWN",AN77*AK77-AL77)),"ERROR")))</f>
        <v/>
      </c>
      <c r="AV77">
        <f>IF(ISNUMBER(AU77),IF(AND($R$77=TRUE,AM77="none"),"ESTIMATED","OK"),AU77)</f>
        <v/>
      </c>
      <c r="AW77">
        <f>IF($Z$77="absent","NOT_RUN",IF($Y$77&gt;1,"ERROR",IFERROR(IF(OR(AU77="ERROR",AQ77="ERROR"),"ERROR",IF(OR(NOT(ISNUMBER(AU77)),NOT(ISNUMBER(AQ77))),"UNKNOWN",IF(AQ77=0,"NOT_APPLICABLE",AU77/AQ77))),"ERROR")))</f>
        <v/>
      </c>
      <c r="AX77">
        <f>IF(ISNUMBER(AW77),IF(AND($R$77=TRUE,AM77="none"),"ESTIMATED","OK"),AW77)</f>
        <v/>
      </c>
      <c r="AY77">
        <f>IF($Z$77="absent","NOT_RUN",IF($Y$77&gt;1,"ERROR",IFERROR(IF(OR(AN77="ERROR",AL77="ERROR"),"ERROR",IF(OR(NOT(ISNUMBER(AN77)),NOT(ISNUMBER(AL77))),"UNKNOWN",IF(AN77&lt;=0,"NOT_APPLICABLE",AL77/AN77))),"ERROR")))</f>
        <v/>
      </c>
      <c r="AZ77">
        <f>IF(ISNUMBER(AY77),IF(AND($R$77=TRUE,AM77="none"),"ESTIMATED","OK"),AY77)</f>
        <v/>
      </c>
      <c r="BA77">
        <f>IF($Z$77="absent","NOT_RUN",IF($Y$77&gt;1,"ERROR",IFERROR(IF(OR(AK77="ERROR",AN77="ERROR",AL77="ERROR"),"ERROR",IF(OR(NOT(ISNUMBER(AK77)),NOT(ISNUMBER(AN77)),NOT(ISNUMBER(AL77))),"UNKNOWN",IF(AN77&lt;=0,"NOT_APPLICABLE",AK77-AY77))),"ERROR")))</f>
        <v/>
      </c>
      <c r="BB77">
        <f>IF(ISNUMBER(BA77),IF(AND($R$77=TRUE,AM77="none"),"ESTIMATED","OK"),BA77)</f>
        <v/>
      </c>
      <c r="BC77">
        <f>IF($Z$77="absent","NOT_RUN",IF($Y$77&gt;1,"ERROR",IFERROR(IF(OR(AK77="ERROR",AN77="ERROR",AL77="ERROR"),"ERROR",IF(OR(NOT(ISNUMBER(AK77)),NOT(ISNUMBER(AN77)),NOT(ISNUMBER(AL77))),"UNKNOWN",IF(OR(AN77&lt;=0,AK77=0),"NOT_APPLICABLE",(AK77-AY77)/AK77))),"ERROR")))</f>
        <v/>
      </c>
      <c r="BD77">
        <f>IF(ISNUMBER(BC77),IF(AND($R$77=TRUE,AM77="none"),"ESTIMATED","OK"),BC77)</f>
        <v/>
      </c>
      <c r="BE77">
        <f>IF($Z$77="absent","NOT_RUN",IF(OR(AP77="ERROR",AR77="ERROR",AT77="ERROR",AV77="ERROR",AX77="ERROR",AZ77="ERROR",BB77="ERROR",BD77="ERROR"),"ERROR",IF(OR(AP77="UNKNOWN",AR77="UNKNOWN",AT77="UNKNOWN",AV77="UNKNOWN",AX77="UNKNOWN",AZ77="UNKNOWN",BB77="UNKNOWN",BD77="UNKNOWN"),"INCOMPLETE","OK")))</f>
        <v/>
      </c>
      <c r="BF77">
        <f>IF($Z$77="absent","",AH77)</f>
        <v/>
      </c>
    </row>
    <row r="78">
      <c r="B78" s="8" t="inlineStr">
        <is>
          <t>Total Net Sales ex VAT</t>
        </is>
      </c>
      <c r="C78" s="52">
        <f>AQ77</f>
        <v/>
      </c>
      <c r="D78" s="53" t="n">
        <v>3929545.454545454</v>
      </c>
      <c r="E78" s="51">
        <f>IF(ISNUMBER(D78),IF(ISNUMBER(AQ77),ABS(AQ77-D78),"N/A"),"N/A")</f>
        <v/>
      </c>
      <c r="F78" s="15">
        <f>IFERROR(IF(ISNUMBER(D78),IF(ISNUMBER(AQ77),IF(ABS(AQ77-D78)&lt;=0.01,"PASS","FAIL"),"FAIL"),IF(NOT(ISNUMBER(AQ77)),IF(AQ77=D78,"PASS","FAIL"),"FAIL")),"FAIL")</f>
        <v/>
      </c>
      <c r="G78" s="16">
        <f>AR77</f>
        <v/>
      </c>
      <c r="H78" s="30" t="inlineStr">
        <is>
          <t>OK</t>
        </is>
      </c>
      <c r="I78" s="15">
        <f>IF(AR77=H78,"PASS","FAIL")</f>
        <v/>
      </c>
    </row>
    <row r="79">
      <c r="B79" s="8" t="inlineStr">
        <is>
          <t>Total Contribution Margin</t>
        </is>
      </c>
      <c r="C79" s="52">
        <f>AS77</f>
        <v/>
      </c>
      <c r="D79" s="53" t="n">
        <v>1783732.954545454</v>
      </c>
      <c r="E79" s="51">
        <f>IF(ISNUMBER(D79),IF(ISNUMBER(AS77),ABS(AS77-D79),"N/A"),"N/A")</f>
        <v/>
      </c>
      <c r="F79" s="15">
        <f>IFERROR(IF(ISNUMBER(D79),IF(ISNUMBER(AS77),IF(ABS(AS77-D79)&lt;=0.01,"PASS","FAIL"),"FAIL"),IF(NOT(ISNUMBER(AS77)),IF(AS77=D79,"PASS","FAIL"),"FAIL")),"FAIL")</f>
        <v/>
      </c>
      <c r="G79" s="16">
        <f>AT77</f>
        <v/>
      </c>
      <c r="H79" s="30" t="inlineStr">
        <is>
          <t>OK</t>
        </is>
      </c>
      <c r="I79" s="15">
        <f>IF(AT77=H79,"PASS","FAIL")</f>
        <v/>
      </c>
    </row>
    <row r="80">
      <c r="B80" s="8" t="inlineStr">
        <is>
          <t>Operating Profit</t>
        </is>
      </c>
      <c r="C80" s="52">
        <f>AU77</f>
        <v/>
      </c>
      <c r="D80" s="53" t="n">
        <v>-216267.0454545456</v>
      </c>
      <c r="E80" s="51">
        <f>IF(ISNUMBER(D80),IF(ISNUMBER(AU77),ABS(AU77-D80),"N/A"),"N/A")</f>
        <v/>
      </c>
      <c r="F80" s="15">
        <f>IFERROR(IF(ISNUMBER(D80),IF(ISNUMBER(AU77),IF(ABS(AU77-D80)&lt;=0.01,"PASS","FAIL"),"FAIL"),IF(NOT(ISNUMBER(AU77)),IF(AU77=D80,"PASS","FAIL"),"FAIL")),"FAIL")</f>
        <v/>
      </c>
      <c r="G80" s="16">
        <f>AV77</f>
        <v/>
      </c>
      <c r="H80" s="30" t="inlineStr">
        <is>
          <t>OK</t>
        </is>
      </c>
      <c r="I80" s="15">
        <f>IF(AV77=H80,"PASS","FAIL")</f>
        <v/>
      </c>
    </row>
    <row r="81">
      <c r="B81" s="8" t="inlineStr">
        <is>
          <t>Operating Profit Rate</t>
        </is>
      </c>
      <c r="C81" s="54">
        <f>AW77</f>
        <v/>
      </c>
      <c r="D81" s="55" t="n">
        <v>-0.05503614806246391</v>
      </c>
      <c r="E81" s="51">
        <f>IF(ISNUMBER(D81),IF(ISNUMBER(AW77),ABS(AW77-D81),"N/A"),"N/A")</f>
        <v/>
      </c>
      <c r="F81" s="15">
        <f>IFERROR(IF(ISNUMBER(D81),IF(ISNUMBER(AW77),IF(ABS(AW77-D81)&lt;=1e-06,"PASS","FAIL"),"FAIL"),IF(NOT(ISNUMBER(AW77)),IF(AW77=D81,"PASS","FAIL"),"FAIL")),"FAIL")</f>
        <v/>
      </c>
      <c r="G81" s="16">
        <f>AX77</f>
        <v/>
      </c>
      <c r="H81" s="30" t="inlineStr">
        <is>
          <t>OK</t>
        </is>
      </c>
      <c r="I81" s="15">
        <f>IF(AX77=H81,"PASS","FAIL")</f>
        <v/>
      </c>
    </row>
    <row r="82">
      <c r="B82" s="8" t="inlineStr">
        <is>
          <t>Break-Even Quantity (Q_BEP)</t>
        </is>
      </c>
      <c r="C82" s="25">
        <f>AY77</f>
        <v/>
      </c>
      <c r="D82" s="21" t="n">
        <v>138.4736428009442</v>
      </c>
      <c r="E82" s="51">
        <f>IF(ISNUMBER(D82),IF(ISNUMBER(AY77),ABS(AY77-D82),"N/A"),"N/A")</f>
        <v/>
      </c>
      <c r="F82" s="15">
        <f>IFERROR(IF(ISNUMBER(D82),IF(ISNUMBER(AY77),IF(ABS(AY77-D82)&lt;=0.01,"PASS","FAIL"),"FAIL"),IF(NOT(ISNUMBER(AY77)),IF(AY77=D82,"PASS","FAIL"),"FAIL")),"FAIL")</f>
        <v/>
      </c>
      <c r="G82" s="16">
        <f>AZ77</f>
        <v/>
      </c>
      <c r="H82" s="30" t="inlineStr">
        <is>
          <t>OK</t>
        </is>
      </c>
      <c r="I82" s="15">
        <f>IF(AZ77=H82,"PASS","FAIL")</f>
        <v/>
      </c>
    </row>
    <row r="83">
      <c r="B83" s="8" t="inlineStr">
        <is>
          <t>Margin of Safety Quantity</t>
        </is>
      </c>
      <c r="C83" s="25">
        <f>BA77</f>
        <v/>
      </c>
      <c r="D83" s="21" t="n">
        <v>-14.97364280094416</v>
      </c>
      <c r="E83" s="51">
        <f>IF(ISNUMBER(D83),IF(ISNUMBER(BA77),ABS(BA77-D83),"N/A"),"N/A")</f>
        <v/>
      </c>
      <c r="F83" s="15">
        <f>IFERROR(IF(ISNUMBER(D83),IF(ISNUMBER(BA77),IF(ABS(BA77-D83)&lt;=0.01,"PASS","FAIL"),"FAIL"),IF(NOT(ISNUMBER(BA77)),IF(BA77=D83,"PASS","FAIL"),"FAIL")),"FAIL")</f>
        <v/>
      </c>
      <c r="G83" s="16">
        <f>BB77</f>
        <v/>
      </c>
      <c r="H83" s="30" t="inlineStr">
        <is>
          <t>OK</t>
        </is>
      </c>
      <c r="I83" s="15">
        <f>IF(BB77=H83,"PASS","FAIL")</f>
        <v/>
      </c>
    </row>
    <row r="84">
      <c r="B84" s="8" t="inlineStr">
        <is>
          <t>Margin of Safety Rate</t>
        </is>
      </c>
      <c r="C84" s="54">
        <f>BC77</f>
        <v/>
      </c>
      <c r="D84" s="55" t="n">
        <v>-0.1212440712627058</v>
      </c>
      <c r="E84" s="51">
        <f>IF(ISNUMBER(D84),IF(ISNUMBER(BC77),ABS(BC77-D84),"N/A"),"N/A")</f>
        <v/>
      </c>
      <c r="F84" s="15">
        <f>IFERROR(IF(ISNUMBER(D84),IF(ISNUMBER(BC77),IF(ABS(BC77-D84)&lt;=1e-06,"PASS","FAIL"),"FAIL"),IF(NOT(ISNUMBER(BC77)),IF(BC77=D84,"PASS","FAIL"),"FAIL")),"FAIL")</f>
        <v/>
      </c>
      <c r="G84" s="16">
        <f>BD77</f>
        <v/>
      </c>
      <c r="H84" s="30" t="inlineStr">
        <is>
          <t>OK</t>
        </is>
      </c>
      <c r="I84" s="15">
        <f>IF(BD77=H84,"PASS","FAIL")</f>
        <v/>
      </c>
    </row>
    <row r="85">
      <c r="B85" s="8" t="inlineStr">
        <is>
          <t>Module Status</t>
        </is>
      </c>
      <c r="C85" s="16">
        <f>BE77</f>
        <v/>
      </c>
      <c r="D85" s="30" t="inlineStr">
        <is>
          <t>OK</t>
        </is>
      </c>
      <c r="F85" s="15">
        <f>IF(BE77=D85,"PASS","FAIL")</f>
        <v/>
      </c>
    </row>
    <row r="86">
      <c r="B86" s="8" t="inlineStr">
        <is>
          <t>Analysis Period Basis</t>
        </is>
      </c>
      <c r="C86" s="16">
        <f>BF77</f>
        <v/>
      </c>
      <c r="D86" s="30" t="inlineStr">
        <is>
          <t>per_month</t>
        </is>
      </c>
      <c r="F86" s="15">
        <f>IF(BF77=D86,"PASS","FAIL")</f>
        <v/>
      </c>
    </row>
    <row r="87">
      <c r="B87" s="8" t="inlineStr">
        <is>
          <t>Self-Check: |MoS qty × CMu − Operating Profit| ≤ tol</t>
        </is>
      </c>
      <c r="C87" s="36">
        <f>IF(OR(NOT(ISNUMBER(BA77)),NOT(ISNUMBER(AN77)),NOT(ISNUMBER(AU77))),"SKIP",IF(ABS(BA77*AN77-AU77)&lt;=0.01,"PASS","FAIL"))</f>
        <v/>
      </c>
      <c r="D87" s="34" t="n"/>
      <c r="F87" s="15">
        <f>IF(C87="FAIL","FAIL","PASS")</f>
        <v/>
      </c>
    </row>
    <row r="89" ht="20" customHeight="1">
      <c r="B89" s="2" t="inlineStr">
        <is>
          <t>V7. Planned quantity blank -&gt; UNKNOWN (break-even still computed)</t>
        </is>
      </c>
      <c r="C89" s="7" t="n"/>
      <c r="D89" s="7" t="n"/>
      <c r="E89" s="7" t="n"/>
      <c r="F89" s="7" t="n"/>
      <c r="G89" s="7" t="n"/>
      <c r="H89" s="7" t="n"/>
      <c r="I89" s="7" t="n"/>
    </row>
    <row r="90">
      <c r="B90" s="4" t="inlineStr">
        <is>
          <t>Metric</t>
        </is>
      </c>
      <c r="C90" s="4" t="inlineStr">
        <is>
          <t>Excel Result</t>
        </is>
      </c>
      <c r="D90" s="4" t="inlineStr">
        <is>
          <t>Python Reference</t>
        </is>
      </c>
      <c r="E90" s="4" t="inlineStr">
        <is>
          <t>Difference</t>
        </is>
      </c>
      <c r="F90" s="4" t="inlineStr">
        <is>
          <t>PASS / FAIL</t>
        </is>
      </c>
      <c r="G90" s="4" t="inlineStr">
        <is>
          <t>Excel Status</t>
        </is>
      </c>
      <c r="H90" s="4" t="inlineStr">
        <is>
          <t>Python Status</t>
        </is>
      </c>
      <c r="I90" s="4" t="inlineStr">
        <is>
          <t>Status PASS</t>
        </is>
      </c>
    </row>
    <row r="91">
      <c r="B91" s="8" t="inlineStr">
        <is>
          <t>Planned Quantity (units)</t>
        </is>
      </c>
      <c r="C91" s="25">
        <f>AO91</f>
        <v/>
      </c>
      <c r="D91" s="30" t="inlineStr">
        <is>
          <t>UNKNOWN</t>
        </is>
      </c>
      <c r="E91" s="51">
        <f>IF(ISNUMBER(D91),IF(ISNUMBER(AO91),ABS(AO91-D91),"N/A"),"N/A")</f>
        <v/>
      </c>
      <c r="F91" s="15">
        <f>IFERROR(IF(ISNUMBER(D91),IF(ISNUMBER(AO91),IF(ABS(AO91-D91)&lt;=0.01,"PASS","FAIL"),"FAIL"),IF(NOT(ISNUMBER(AO91)),IF(AO91=D91,"PASS","FAIL"),"FAIL")),"FAIL")</f>
        <v/>
      </c>
      <c r="G91" s="16">
        <f>AP91</f>
        <v/>
      </c>
      <c r="H91" s="30" t="inlineStr">
        <is>
          <t>UNKNOWN</t>
        </is>
      </c>
      <c r="I91" s="15">
        <f>IF(AP91=H91,"PASS","FAIL")</f>
        <v/>
      </c>
      <c r="M91" t="n">
        <v>35000</v>
      </c>
      <c r="N91" t="b">
        <v>1</v>
      </c>
      <c r="O91" t="n">
        <v>0.1</v>
      </c>
      <c r="P91" t="n">
        <v>13500</v>
      </c>
      <c r="Q91" t="n">
        <v>3000</v>
      </c>
      <c r="R91" t="b">
        <v>0</v>
      </c>
      <c r="S91" t="n">
        <v>0</v>
      </c>
      <c r="T91" t="n">
        <v>0.025</v>
      </c>
      <c r="U91" t="n">
        <v>2000000</v>
      </c>
      <c r="V91" t="inlineStr">
        <is>
          <t>per_month</t>
        </is>
      </c>
      <c r="W91" t="inlineStr">
        <is>
          <t>component</t>
        </is>
      </c>
      <c r="X91" t="inlineStr">
        <is>
          <t>consistent</t>
        </is>
      </c>
      <c r="Y91" t="n">
        <v>1</v>
      </c>
      <c r="Z91" t="inlineStr">
        <is>
          <t>present</t>
        </is>
      </c>
      <c r="AB91" t="inlineStr">
        <is>
          <t>per_month</t>
        </is>
      </c>
      <c r="AD91">
        <f>IFERROR(IF(ISBLANK($M$91),"UNKNOWN",IF(ISBLANK($N$91),"UNKNOWN",IF($N$91=FALSE,$M$91,IF(ISBLANK($O$91),"UNKNOWN",$M$91/(1+$O$91))))),"ERROR")</f>
        <v/>
      </c>
      <c r="AE91">
        <f>IFERROR(IF(ISBLANK($M$91),"UNKNOWN",IF(ISBLANK($N$91),"UNKNOWN",IF($N$91=TRUE,$M$91,IF(ISBLANK($O$91),"UNKNOWN",$M$91*(1+$O$91))))),"ERROR")</f>
        <v/>
      </c>
      <c r="AF91">
        <f>IF($Y$91&gt;1,"ERROR",IFERROR(IF(AD91="ERROR","ERROR",IF(OR(NOT(ISNUMBER(AD91)),ISBLANK($P$91),ISBLANK($Q$91),ISBLANK($S$91),ISBLANK($T$91)),"UNKNOWN",IF($T$91&gt;0,IF(AE91="ERROR","ERROR",IF(NOT(ISNUMBER(AE91)),"UNKNOWN",AD91-$P$91-$Q$91-$S$91*AD91-$T$91*AE91)),AD91-$P$91-$Q$91-$S$91*AD91))),"ERROR"))</f>
        <v/>
      </c>
      <c r="AG91">
        <f>IF($Y$91&gt;1,"ERROR",IFERROR(IF($W$91="invalid_direct","ERROR",IF($X$91="inconsistent","ERROR",IF($W$91="none",0,IF(OR($W$91="unresolved",$W$91="blended_only"),"UNKNOWN",IF(ISBLANK($U$91),"UNKNOWN",IF($U$91&lt;0,"ERROR",$U$91)))))),"ERROR"))</f>
        <v/>
      </c>
      <c r="AH91">
        <f>IF($Y$91&gt;1,"",IF(OR($W$91="invalid_direct",$X$91="inconsistent"),"",IF($W$91="none","",IF(OR($W$91="unresolved",$W$91="blended_only"),"",IF(ISBLANK($U$91),"",IF($U$91&lt;0,"",$V$91))))))</f>
        <v/>
      </c>
      <c r="AI91">
        <f>IF($Y$91&gt;1,"ERROR",IFERROR(IF(OR(AF91="ERROR",AG91="ERROR"),"ERROR",IF(OR(NOT(ISNUMBER(AF91)),NOT(ISNUMBER(AG91))),"UNKNOWN",IF(AF91&lt;=0,"NOT_APPLICABLE",AG91/AF91))),"ERROR"))</f>
        <v/>
      </c>
      <c r="AJ91">
        <f>IF($Y$91&gt;1,"MULTI_COMPONENT_BEP_NOT_SUPPORTED",IF($W$91="invalid_direct","INVALID_ALLOCATION_CONFIGURATION",IF($X$91="inconsistent","INCONSISTENT_FIXED_COST_BASIS",IF(AND($W$91="component",NOT(ISBLANK($U$91)),$U$91&lt;0),"INVALID_NEGATIVE_COST",IF(AF91="ERROR","CALCULATION_ERROR",IF($W$91="blended_only","FIXED_COST_BLENDED_ONLY_NOT_ALLOCATED",IF($W$91="unresolved","UNSUPPORTED_SHARED_COST_ALLOCATION",IF(NOT(ISNUMBER(AF91)),"MISSING_DEPENDENCY",IF(AND($W$91="component",ISBLANK($U$91)),"MISSING_DEPENDENCY",IF(AND(AF91=0,AG91=0),"BREAK_EVEN_UNDEFINED_ZERO_MARGIN_ZERO_FIXED_COST",IF(AF91=0,"BREAK_EVEN_UNDEFINED_ZERO_MARGIN",IF(AF91&lt;0,"BREAK_EVEN_UNDEFINED_NEGATIVE_MARGIN","NONE"))))))))))))</f>
        <v/>
      </c>
      <c r="AK91">
        <f>IF(AND(NOT(ISBLANK($AA$91)),$AA$91&lt;0),"ERROR",IF(AND($AB$91&lt;&gt;"",$AB$91&lt;&gt;"per_month"),"ERROR",IF(OR(ISBLANK($AA$91),$AB$91=""),"UNKNOWN",$AA$91)))</f>
        <v/>
      </c>
      <c r="AL91">
        <f>IF(AND(ISNUMBER(AG91),AH91&lt;&gt;"",AH91&lt;&gt;"per_month"),"ERROR",AG91)</f>
        <v/>
      </c>
      <c r="AM91">
        <f>IF(ISBLANK($AC$91),"none",IF(AND(ISNUMBER($AC$91),$AC$91&gt;0),"valid","invalid"))</f>
        <v/>
      </c>
      <c r="AN91">
        <f>IF(AM91="invalid","ERROR",IF(AND(AM91="valid",$R$91=TRUE,ISNUMBER(AF91)),AF91+$Q$91*(1-1/$AC$91),AF91))</f>
        <v/>
      </c>
      <c r="AO91">
        <f>IF($Z$91="absent","NOT_RUN",IF($Y$91&gt;1,"ERROR",AK91))</f>
        <v/>
      </c>
      <c r="AP91">
        <f>IF(ISNUMBER(AO91),"OK",AO91)</f>
        <v/>
      </c>
      <c r="AQ91">
        <f>IF($Z$91="absent","NOT_RUN",IF($Y$91&gt;1,"ERROR",IFERROR(IF(OR(AK91="ERROR",AD91="ERROR"),"ERROR",IF(OR(NOT(ISNUMBER(AK91)),NOT(ISNUMBER(AD91))),"UNKNOWN",AD91*AK91)),"ERROR")))</f>
        <v/>
      </c>
      <c r="AR91">
        <f>IF(ISNUMBER(AQ91),"OK",AQ91)</f>
        <v/>
      </c>
      <c r="AS91">
        <f>IF($Z$91="absent","NOT_RUN",IF($Y$91&gt;1,"ERROR",IFERROR(IF(OR(AK91="ERROR",AN91="ERROR"),"ERROR",IF(OR(NOT(ISNUMBER(AK91)),NOT(ISNUMBER(AN91))),"UNKNOWN",AN91*AK91)),"ERROR")))</f>
        <v/>
      </c>
      <c r="AT91">
        <f>IF(ISNUMBER(AS91),IF(AND($R$91=TRUE,AM91="none"),"ESTIMATED","OK"),AS91)</f>
        <v/>
      </c>
      <c r="AU91">
        <f>IF($Z$91="absent","NOT_RUN",IF($Y$91&gt;1,"ERROR",IFERROR(IF(OR(AK91="ERROR",AN91="ERROR",AL91="ERROR"),"ERROR",IF(OR(NOT(ISNUMBER(AK91)),NOT(ISNUMBER(AN91)),NOT(ISNUMBER(AL91))),"UNKNOWN",AN91*AK91-AL91)),"ERROR")))</f>
        <v/>
      </c>
      <c r="AV91">
        <f>IF(ISNUMBER(AU91),IF(AND($R$91=TRUE,AM91="none"),"ESTIMATED","OK"),AU91)</f>
        <v/>
      </c>
      <c r="AW91">
        <f>IF($Z$91="absent","NOT_RUN",IF($Y$91&gt;1,"ERROR",IFERROR(IF(OR(AU91="ERROR",AQ91="ERROR"),"ERROR",IF(OR(NOT(ISNUMBER(AU91)),NOT(ISNUMBER(AQ91))),"UNKNOWN",IF(AQ91=0,"NOT_APPLICABLE",AU91/AQ91))),"ERROR")))</f>
        <v/>
      </c>
      <c r="AX91">
        <f>IF(ISNUMBER(AW91),IF(AND($R$91=TRUE,AM91="none"),"ESTIMATED","OK"),AW91)</f>
        <v/>
      </c>
      <c r="AY91">
        <f>IF($Z$91="absent","NOT_RUN",IF($Y$91&gt;1,"ERROR",IFERROR(IF(OR(AN91="ERROR",AL91="ERROR"),"ERROR",IF(OR(NOT(ISNUMBER(AN91)),NOT(ISNUMBER(AL91))),"UNKNOWN",IF(AN91&lt;=0,"NOT_APPLICABLE",AL91/AN91))),"ERROR")))</f>
        <v/>
      </c>
      <c r="AZ91">
        <f>IF(ISNUMBER(AY91),IF(AND($R$91=TRUE,AM91="none"),"ESTIMATED","OK"),AY91)</f>
        <v/>
      </c>
      <c r="BA91">
        <f>IF($Z$91="absent","NOT_RUN",IF($Y$91&gt;1,"ERROR",IFERROR(IF(OR(AK91="ERROR",AN91="ERROR",AL91="ERROR"),"ERROR",IF(OR(NOT(ISNUMBER(AK91)),NOT(ISNUMBER(AN91)),NOT(ISNUMBER(AL91))),"UNKNOWN",IF(AN91&lt;=0,"NOT_APPLICABLE",AK91-AY91))),"ERROR")))</f>
        <v/>
      </c>
      <c r="BB91">
        <f>IF(ISNUMBER(BA91),IF(AND($R$91=TRUE,AM91="none"),"ESTIMATED","OK"),BA91)</f>
        <v/>
      </c>
      <c r="BC91">
        <f>IF($Z$91="absent","NOT_RUN",IF($Y$91&gt;1,"ERROR",IFERROR(IF(OR(AK91="ERROR",AN91="ERROR",AL91="ERROR"),"ERROR",IF(OR(NOT(ISNUMBER(AK91)),NOT(ISNUMBER(AN91)),NOT(ISNUMBER(AL91))),"UNKNOWN",IF(OR(AN91&lt;=0,AK91=0),"NOT_APPLICABLE",(AK91-AY91)/AK91))),"ERROR")))</f>
        <v/>
      </c>
      <c r="BD91">
        <f>IF(ISNUMBER(BC91),IF(AND($R$91=TRUE,AM91="none"),"ESTIMATED","OK"),BC91)</f>
        <v/>
      </c>
      <c r="BE91">
        <f>IF($Z$91="absent","NOT_RUN",IF(OR(AP91="ERROR",AR91="ERROR",AT91="ERROR",AV91="ERROR",AX91="ERROR",AZ91="ERROR",BB91="ERROR",BD91="ERROR"),"ERROR",IF(OR(AP91="UNKNOWN",AR91="UNKNOWN",AT91="UNKNOWN",AV91="UNKNOWN",AX91="UNKNOWN",AZ91="UNKNOWN",BB91="UNKNOWN",BD91="UNKNOWN"),"INCOMPLETE","OK")))</f>
        <v/>
      </c>
      <c r="BF91">
        <f>IF($Z$91="absent","",AH91)</f>
        <v/>
      </c>
    </row>
    <row r="92">
      <c r="B92" s="8" t="inlineStr">
        <is>
          <t>Total Net Sales ex VAT</t>
        </is>
      </c>
      <c r="C92" s="52">
        <f>AQ91</f>
        <v/>
      </c>
      <c r="D92" s="30" t="inlineStr">
        <is>
          <t>UNKNOWN</t>
        </is>
      </c>
      <c r="E92" s="51">
        <f>IF(ISNUMBER(D92),IF(ISNUMBER(AQ91),ABS(AQ91-D92),"N/A"),"N/A")</f>
        <v/>
      </c>
      <c r="F92" s="15">
        <f>IFERROR(IF(ISNUMBER(D92),IF(ISNUMBER(AQ91),IF(ABS(AQ91-D92)&lt;=0.01,"PASS","FAIL"),"FAIL"),IF(NOT(ISNUMBER(AQ91)),IF(AQ91=D92,"PASS","FAIL"),"FAIL")),"FAIL")</f>
        <v/>
      </c>
      <c r="G92" s="16">
        <f>AR91</f>
        <v/>
      </c>
      <c r="H92" s="30" t="inlineStr">
        <is>
          <t>UNKNOWN</t>
        </is>
      </c>
      <c r="I92" s="15">
        <f>IF(AR91=H92,"PASS","FAIL")</f>
        <v/>
      </c>
    </row>
    <row r="93">
      <c r="B93" s="8" t="inlineStr">
        <is>
          <t>Total Contribution Margin</t>
        </is>
      </c>
      <c r="C93" s="52">
        <f>AS91</f>
        <v/>
      </c>
      <c r="D93" s="30" t="inlineStr">
        <is>
          <t>UNKNOWN</t>
        </is>
      </c>
      <c r="E93" s="51">
        <f>IF(ISNUMBER(D93),IF(ISNUMBER(AS91),ABS(AS91-D93),"N/A"),"N/A")</f>
        <v/>
      </c>
      <c r="F93" s="15">
        <f>IFERROR(IF(ISNUMBER(D93),IF(ISNUMBER(AS91),IF(ABS(AS91-D93)&lt;=0.01,"PASS","FAIL"),"FAIL"),IF(NOT(ISNUMBER(AS91)),IF(AS91=D93,"PASS","FAIL"),"FAIL")),"FAIL")</f>
        <v/>
      </c>
      <c r="G93" s="16">
        <f>AT91</f>
        <v/>
      </c>
      <c r="H93" s="30" t="inlineStr">
        <is>
          <t>UNKNOWN</t>
        </is>
      </c>
      <c r="I93" s="15">
        <f>IF(AT91=H93,"PASS","FAIL")</f>
        <v/>
      </c>
    </row>
    <row r="94">
      <c r="B94" s="8" t="inlineStr">
        <is>
          <t>Operating Profit</t>
        </is>
      </c>
      <c r="C94" s="52">
        <f>AU91</f>
        <v/>
      </c>
      <c r="D94" s="30" t="inlineStr">
        <is>
          <t>UNKNOWN</t>
        </is>
      </c>
      <c r="E94" s="51">
        <f>IF(ISNUMBER(D94),IF(ISNUMBER(AU91),ABS(AU91-D94),"N/A"),"N/A")</f>
        <v/>
      </c>
      <c r="F94" s="15">
        <f>IFERROR(IF(ISNUMBER(D94),IF(ISNUMBER(AU91),IF(ABS(AU91-D94)&lt;=0.01,"PASS","FAIL"),"FAIL"),IF(NOT(ISNUMBER(AU91)),IF(AU91=D94,"PASS","FAIL"),"FAIL")),"FAIL")</f>
        <v/>
      </c>
      <c r="G94" s="16">
        <f>AV91</f>
        <v/>
      </c>
      <c r="H94" s="30" t="inlineStr">
        <is>
          <t>UNKNOWN</t>
        </is>
      </c>
      <c r="I94" s="15">
        <f>IF(AV91=H94,"PASS","FAIL")</f>
        <v/>
      </c>
    </row>
    <row r="95">
      <c r="B95" s="8" t="inlineStr">
        <is>
          <t>Operating Profit Rate</t>
        </is>
      </c>
      <c r="C95" s="54">
        <f>AW91</f>
        <v/>
      </c>
      <c r="D95" s="30" t="inlineStr">
        <is>
          <t>UNKNOWN</t>
        </is>
      </c>
      <c r="E95" s="51">
        <f>IF(ISNUMBER(D95),IF(ISNUMBER(AW91),ABS(AW91-D95),"N/A"),"N/A")</f>
        <v/>
      </c>
      <c r="F95" s="15">
        <f>IFERROR(IF(ISNUMBER(D95),IF(ISNUMBER(AW91),IF(ABS(AW91-D95)&lt;=1e-06,"PASS","FAIL"),"FAIL"),IF(NOT(ISNUMBER(AW91)),IF(AW91=D95,"PASS","FAIL"),"FAIL")),"FAIL")</f>
        <v/>
      </c>
      <c r="G95" s="16">
        <f>AX91</f>
        <v/>
      </c>
      <c r="H95" s="30" t="inlineStr">
        <is>
          <t>UNKNOWN</t>
        </is>
      </c>
      <c r="I95" s="15">
        <f>IF(AX91=H95,"PASS","FAIL")</f>
        <v/>
      </c>
    </row>
    <row r="96">
      <c r="B96" s="8" t="inlineStr">
        <is>
          <t>Break-Even Quantity (Q_BEP)</t>
        </is>
      </c>
      <c r="C96" s="25">
        <f>AY91</f>
        <v/>
      </c>
      <c r="D96" s="21" t="n">
        <v>138.4736428009442</v>
      </c>
      <c r="E96" s="51">
        <f>IF(ISNUMBER(D96),IF(ISNUMBER(AY91),ABS(AY91-D96),"N/A"),"N/A")</f>
        <v/>
      </c>
      <c r="F96" s="15">
        <f>IFERROR(IF(ISNUMBER(D96),IF(ISNUMBER(AY91),IF(ABS(AY91-D96)&lt;=0.01,"PASS","FAIL"),"FAIL"),IF(NOT(ISNUMBER(AY91)),IF(AY91=D96,"PASS","FAIL"),"FAIL")),"FAIL")</f>
        <v/>
      </c>
      <c r="G96" s="16">
        <f>AZ91</f>
        <v/>
      </c>
      <c r="H96" s="30" t="inlineStr">
        <is>
          <t>OK</t>
        </is>
      </c>
      <c r="I96" s="15">
        <f>IF(AZ91=H96,"PASS","FAIL")</f>
        <v/>
      </c>
    </row>
    <row r="97">
      <c r="B97" s="8" t="inlineStr">
        <is>
          <t>Margin of Safety Quantity</t>
        </is>
      </c>
      <c r="C97" s="25">
        <f>BA91</f>
        <v/>
      </c>
      <c r="D97" s="30" t="inlineStr">
        <is>
          <t>UNKNOWN</t>
        </is>
      </c>
      <c r="E97" s="51">
        <f>IF(ISNUMBER(D97),IF(ISNUMBER(BA91),ABS(BA91-D97),"N/A"),"N/A")</f>
        <v/>
      </c>
      <c r="F97" s="15">
        <f>IFERROR(IF(ISNUMBER(D97),IF(ISNUMBER(BA91),IF(ABS(BA91-D97)&lt;=0.01,"PASS","FAIL"),"FAIL"),IF(NOT(ISNUMBER(BA91)),IF(BA91=D97,"PASS","FAIL"),"FAIL")),"FAIL")</f>
        <v/>
      </c>
      <c r="G97" s="16">
        <f>BB91</f>
        <v/>
      </c>
      <c r="H97" s="30" t="inlineStr">
        <is>
          <t>UNKNOWN</t>
        </is>
      </c>
      <c r="I97" s="15">
        <f>IF(BB91=H97,"PASS","FAIL")</f>
        <v/>
      </c>
    </row>
    <row r="98">
      <c r="B98" s="8" t="inlineStr">
        <is>
          <t>Margin of Safety Rate</t>
        </is>
      </c>
      <c r="C98" s="54">
        <f>BC91</f>
        <v/>
      </c>
      <c r="D98" s="30" t="inlineStr">
        <is>
          <t>UNKNOWN</t>
        </is>
      </c>
      <c r="E98" s="51">
        <f>IF(ISNUMBER(D98),IF(ISNUMBER(BC91),ABS(BC91-D98),"N/A"),"N/A")</f>
        <v/>
      </c>
      <c r="F98" s="15">
        <f>IFERROR(IF(ISNUMBER(D98),IF(ISNUMBER(BC91),IF(ABS(BC91-D98)&lt;=1e-06,"PASS","FAIL"),"FAIL"),IF(NOT(ISNUMBER(BC91)),IF(BC91=D98,"PASS","FAIL"),"FAIL")),"FAIL")</f>
        <v/>
      </c>
      <c r="G98" s="16">
        <f>BD91</f>
        <v/>
      </c>
      <c r="H98" s="30" t="inlineStr">
        <is>
          <t>UNKNOWN</t>
        </is>
      </c>
      <c r="I98" s="15">
        <f>IF(BD91=H98,"PASS","FAIL")</f>
        <v/>
      </c>
    </row>
    <row r="99">
      <c r="B99" s="8" t="inlineStr">
        <is>
          <t>Module Status</t>
        </is>
      </c>
      <c r="C99" s="16">
        <f>BE91</f>
        <v/>
      </c>
      <c r="D99" s="30" t="inlineStr">
        <is>
          <t>INCOMPLETE</t>
        </is>
      </c>
      <c r="F99" s="15">
        <f>IF(BE91=D99,"PASS","FAIL")</f>
        <v/>
      </c>
    </row>
    <row r="100">
      <c r="B100" s="8" t="inlineStr">
        <is>
          <t>Analysis Period Basis</t>
        </is>
      </c>
      <c r="C100" s="16">
        <f>BF91</f>
        <v/>
      </c>
      <c r="D100" s="30" t="inlineStr">
        <is>
          <t>per_month</t>
        </is>
      </c>
      <c r="F100" s="15">
        <f>IF(BF91=D100,"PASS","FAIL")</f>
        <v/>
      </c>
    </row>
    <row r="101">
      <c r="B101" s="8" t="inlineStr">
        <is>
          <t>Self-Check: |MoS qty × CMu − Operating Profit| ≤ tol</t>
        </is>
      </c>
      <c r="C101" s="36">
        <f>IF(OR(NOT(ISNUMBER(BA91)),NOT(ISNUMBER(AN91)),NOT(ISNUMBER(AU91))),"SKIP",IF(ABS(BA91*AN91-AU91)&lt;=0.01,"PASS","FAIL"))</f>
        <v/>
      </c>
      <c r="D101" s="34" t="n"/>
      <c r="F101" s="15">
        <f>IF(C101="FAIL","FAIL","PASS")</f>
        <v/>
      </c>
    </row>
    <row r="103" ht="20" customHeight="1">
      <c r="B103" s="2" t="inlineStr">
        <is>
          <t>V8. Negative planned quantity -&gt; ERROR</t>
        </is>
      </c>
      <c r="C103" s="7" t="n"/>
      <c r="D103" s="7" t="n"/>
      <c r="E103" s="7" t="n"/>
      <c r="F103" s="7" t="n"/>
      <c r="G103" s="7" t="n"/>
      <c r="H103" s="7" t="n"/>
      <c r="I103" s="7" t="n"/>
    </row>
    <row r="104">
      <c r="B104" s="4" t="inlineStr">
        <is>
          <t>Metric</t>
        </is>
      </c>
      <c r="C104" s="4" t="inlineStr">
        <is>
          <t>Excel Result</t>
        </is>
      </c>
      <c r="D104" s="4" t="inlineStr">
        <is>
          <t>Python Reference</t>
        </is>
      </c>
      <c r="E104" s="4" t="inlineStr">
        <is>
          <t>Difference</t>
        </is>
      </c>
      <c r="F104" s="4" t="inlineStr">
        <is>
          <t>PASS / FAIL</t>
        </is>
      </c>
      <c r="G104" s="4" t="inlineStr">
        <is>
          <t>Excel Status</t>
        </is>
      </c>
      <c r="H104" s="4" t="inlineStr">
        <is>
          <t>Python Status</t>
        </is>
      </c>
      <c r="I104" s="4" t="inlineStr">
        <is>
          <t>Status PASS</t>
        </is>
      </c>
    </row>
    <row r="105">
      <c r="B105" s="8" t="inlineStr">
        <is>
          <t>Planned Quantity (units)</t>
        </is>
      </c>
      <c r="C105" s="25">
        <f>AO105</f>
        <v/>
      </c>
      <c r="D105" s="30" t="inlineStr">
        <is>
          <t>ERROR</t>
        </is>
      </c>
      <c r="E105" s="51">
        <f>IF(ISNUMBER(D105),IF(ISNUMBER(AO105),ABS(AO105-D105),"N/A"),"N/A")</f>
        <v/>
      </c>
      <c r="F105" s="15">
        <f>IFERROR(IF(ISNUMBER(D105),IF(ISNUMBER(AO105),IF(ABS(AO105-D105)&lt;=0.01,"PASS","FAIL"),"FAIL"),IF(NOT(ISNUMBER(AO105)),IF(AO105=D105,"PASS","FAIL"),"FAIL")),"FAIL")</f>
        <v/>
      </c>
      <c r="G105" s="16">
        <f>AP105</f>
        <v/>
      </c>
      <c r="H105" s="30" t="inlineStr">
        <is>
          <t>ERROR</t>
        </is>
      </c>
      <c r="I105" s="15">
        <f>IF(AP105=H105,"PASS","FAIL")</f>
        <v/>
      </c>
      <c r="M105" t="n">
        <v>35000</v>
      </c>
      <c r="N105" t="b">
        <v>1</v>
      </c>
      <c r="O105" t="n">
        <v>0.1</v>
      </c>
      <c r="P105" t="n">
        <v>13500</v>
      </c>
      <c r="Q105" t="n">
        <v>3000</v>
      </c>
      <c r="R105" t="b">
        <v>0</v>
      </c>
      <c r="S105" t="n">
        <v>0</v>
      </c>
      <c r="T105" t="n">
        <v>0.025</v>
      </c>
      <c r="U105" t="n">
        <v>2000000</v>
      </c>
      <c r="V105" t="inlineStr">
        <is>
          <t>per_month</t>
        </is>
      </c>
      <c r="W105" t="inlineStr">
        <is>
          <t>component</t>
        </is>
      </c>
      <c r="X105" t="inlineStr">
        <is>
          <t>consistent</t>
        </is>
      </c>
      <c r="Y105" t="n">
        <v>1</v>
      </c>
      <c r="Z105" t="inlineStr">
        <is>
          <t>present</t>
        </is>
      </c>
      <c r="AA105" t="n">
        <v>-5</v>
      </c>
      <c r="AB105" t="inlineStr">
        <is>
          <t>per_month</t>
        </is>
      </c>
      <c r="AD105">
        <f>IFERROR(IF(ISBLANK($M$105),"UNKNOWN",IF(ISBLANK($N$105),"UNKNOWN",IF($N$105=FALSE,$M$105,IF(ISBLANK($O$105),"UNKNOWN",$M$105/(1+$O$105))))),"ERROR")</f>
        <v/>
      </c>
      <c r="AE105">
        <f>IFERROR(IF(ISBLANK($M$105),"UNKNOWN",IF(ISBLANK($N$105),"UNKNOWN",IF($N$105=TRUE,$M$105,IF(ISBLANK($O$105),"UNKNOWN",$M$105*(1+$O$105))))),"ERROR")</f>
        <v/>
      </c>
      <c r="AF105">
        <f>IF($Y$105&gt;1,"ERROR",IFERROR(IF(AD105="ERROR","ERROR",IF(OR(NOT(ISNUMBER(AD105)),ISBLANK($P$105),ISBLANK($Q$105),ISBLANK($S$105),ISBLANK($T$105)),"UNKNOWN",IF($T$105&gt;0,IF(AE105="ERROR","ERROR",IF(NOT(ISNUMBER(AE105)),"UNKNOWN",AD105-$P$105-$Q$105-$S$105*AD105-$T$105*AE105)),AD105-$P$105-$Q$105-$S$105*AD105))),"ERROR"))</f>
        <v/>
      </c>
      <c r="AG105">
        <f>IF($Y$105&gt;1,"ERROR",IFERROR(IF($W$105="invalid_direct","ERROR",IF($X$105="inconsistent","ERROR",IF($W$105="none",0,IF(OR($W$105="unresolved",$W$105="blended_only"),"UNKNOWN",IF(ISBLANK($U$105),"UNKNOWN",IF($U$105&lt;0,"ERROR",$U$105)))))),"ERROR"))</f>
        <v/>
      </c>
      <c r="AH105">
        <f>IF($Y$105&gt;1,"",IF(OR($W$105="invalid_direct",$X$105="inconsistent"),"",IF($W$105="none","",IF(OR($W$105="unresolved",$W$105="blended_only"),"",IF(ISBLANK($U$105),"",IF($U$105&lt;0,"",$V$105))))))</f>
        <v/>
      </c>
      <c r="AI105">
        <f>IF($Y$105&gt;1,"ERROR",IFERROR(IF(OR(AF105="ERROR",AG105="ERROR"),"ERROR",IF(OR(NOT(ISNUMBER(AF105)),NOT(ISNUMBER(AG105))),"UNKNOWN",IF(AF105&lt;=0,"NOT_APPLICABLE",AG105/AF105))),"ERROR"))</f>
        <v/>
      </c>
      <c r="AJ105">
        <f>IF($Y$105&gt;1,"MULTI_COMPONENT_BEP_NOT_SUPPORTED",IF($W$105="invalid_direct","INVALID_ALLOCATION_CONFIGURATION",IF($X$105="inconsistent","INCONSISTENT_FIXED_COST_BASIS",IF(AND($W$105="component",NOT(ISBLANK($U$105)),$U$105&lt;0),"INVALID_NEGATIVE_COST",IF(AF105="ERROR","CALCULATION_ERROR",IF($W$105="blended_only","FIXED_COST_BLENDED_ONLY_NOT_ALLOCATED",IF($W$105="unresolved","UNSUPPORTED_SHARED_COST_ALLOCATION",IF(NOT(ISNUMBER(AF105)),"MISSING_DEPENDENCY",IF(AND($W$105="component",ISBLANK($U$105)),"MISSING_DEPENDENCY",IF(AND(AF105=0,AG105=0),"BREAK_EVEN_UNDEFINED_ZERO_MARGIN_ZERO_FIXED_COST",IF(AF105=0,"BREAK_EVEN_UNDEFINED_ZERO_MARGIN",IF(AF105&lt;0,"BREAK_EVEN_UNDEFINED_NEGATIVE_MARGIN","NONE"))))))))))))</f>
        <v/>
      </c>
      <c r="AK105">
        <f>IF(AND(NOT(ISBLANK($AA$105)),$AA$105&lt;0),"ERROR",IF(AND($AB$105&lt;&gt;"",$AB$105&lt;&gt;"per_month"),"ERROR",IF(OR(ISBLANK($AA$105),$AB$105=""),"UNKNOWN",$AA$105)))</f>
        <v/>
      </c>
      <c r="AL105">
        <f>IF(AND(ISNUMBER(AG105),AH105&lt;&gt;"",AH105&lt;&gt;"per_month"),"ERROR",AG105)</f>
        <v/>
      </c>
      <c r="AM105">
        <f>IF(ISBLANK($AC$105),"none",IF(AND(ISNUMBER($AC$105),$AC$105&gt;0),"valid","invalid"))</f>
        <v/>
      </c>
      <c r="AN105">
        <f>IF(AM105="invalid","ERROR",IF(AND(AM105="valid",$R$105=TRUE,ISNUMBER(AF105)),AF105+$Q$105*(1-1/$AC$105),AF105))</f>
        <v/>
      </c>
      <c r="AO105">
        <f>IF($Z$105="absent","NOT_RUN",IF($Y$105&gt;1,"ERROR",AK105))</f>
        <v/>
      </c>
      <c r="AP105">
        <f>IF(ISNUMBER(AO105),"OK",AO105)</f>
        <v/>
      </c>
      <c r="AQ105">
        <f>IF($Z$105="absent","NOT_RUN",IF($Y$105&gt;1,"ERROR",IFERROR(IF(OR(AK105="ERROR",AD105="ERROR"),"ERROR",IF(OR(NOT(ISNUMBER(AK105)),NOT(ISNUMBER(AD105))),"UNKNOWN",AD105*AK105)),"ERROR")))</f>
        <v/>
      </c>
      <c r="AR105">
        <f>IF(ISNUMBER(AQ105),"OK",AQ105)</f>
        <v/>
      </c>
      <c r="AS105">
        <f>IF($Z$105="absent","NOT_RUN",IF($Y$105&gt;1,"ERROR",IFERROR(IF(OR(AK105="ERROR",AN105="ERROR"),"ERROR",IF(OR(NOT(ISNUMBER(AK105)),NOT(ISNUMBER(AN105))),"UNKNOWN",AN105*AK105)),"ERROR")))</f>
        <v/>
      </c>
      <c r="AT105">
        <f>IF(ISNUMBER(AS105),IF(AND($R$105=TRUE,AM105="none"),"ESTIMATED","OK"),AS105)</f>
        <v/>
      </c>
      <c r="AU105">
        <f>IF($Z$105="absent","NOT_RUN",IF($Y$105&gt;1,"ERROR",IFERROR(IF(OR(AK105="ERROR",AN105="ERROR",AL105="ERROR"),"ERROR",IF(OR(NOT(ISNUMBER(AK105)),NOT(ISNUMBER(AN105)),NOT(ISNUMBER(AL105))),"UNKNOWN",AN105*AK105-AL105)),"ERROR")))</f>
        <v/>
      </c>
      <c r="AV105">
        <f>IF(ISNUMBER(AU105),IF(AND($R$105=TRUE,AM105="none"),"ESTIMATED","OK"),AU105)</f>
        <v/>
      </c>
      <c r="AW105">
        <f>IF($Z$105="absent","NOT_RUN",IF($Y$105&gt;1,"ERROR",IFERROR(IF(OR(AU105="ERROR",AQ105="ERROR"),"ERROR",IF(OR(NOT(ISNUMBER(AU105)),NOT(ISNUMBER(AQ105))),"UNKNOWN",IF(AQ105=0,"NOT_APPLICABLE",AU105/AQ105))),"ERROR")))</f>
        <v/>
      </c>
      <c r="AX105">
        <f>IF(ISNUMBER(AW105),IF(AND($R$105=TRUE,AM105="none"),"ESTIMATED","OK"),AW105)</f>
        <v/>
      </c>
      <c r="AY105">
        <f>IF($Z$105="absent","NOT_RUN",IF($Y$105&gt;1,"ERROR",IFERROR(IF(OR(AN105="ERROR",AL105="ERROR"),"ERROR",IF(OR(NOT(ISNUMBER(AN105)),NOT(ISNUMBER(AL105))),"UNKNOWN",IF(AN105&lt;=0,"NOT_APPLICABLE",AL105/AN105))),"ERROR")))</f>
        <v/>
      </c>
      <c r="AZ105">
        <f>IF(ISNUMBER(AY105),IF(AND($R$105=TRUE,AM105="none"),"ESTIMATED","OK"),AY105)</f>
        <v/>
      </c>
      <c r="BA105">
        <f>IF($Z$105="absent","NOT_RUN",IF($Y$105&gt;1,"ERROR",IFERROR(IF(OR(AK105="ERROR",AN105="ERROR",AL105="ERROR"),"ERROR",IF(OR(NOT(ISNUMBER(AK105)),NOT(ISNUMBER(AN105)),NOT(ISNUMBER(AL105))),"UNKNOWN",IF(AN105&lt;=0,"NOT_APPLICABLE",AK105-AY105))),"ERROR")))</f>
        <v/>
      </c>
      <c r="BB105">
        <f>IF(ISNUMBER(BA105),IF(AND($R$105=TRUE,AM105="none"),"ESTIMATED","OK"),BA105)</f>
        <v/>
      </c>
      <c r="BC105">
        <f>IF($Z$105="absent","NOT_RUN",IF($Y$105&gt;1,"ERROR",IFERROR(IF(OR(AK105="ERROR",AN105="ERROR",AL105="ERROR"),"ERROR",IF(OR(NOT(ISNUMBER(AK105)),NOT(ISNUMBER(AN105)),NOT(ISNUMBER(AL105))),"UNKNOWN",IF(OR(AN105&lt;=0,AK105=0),"NOT_APPLICABLE",(AK105-AY105)/AK105))),"ERROR")))</f>
        <v/>
      </c>
      <c r="BD105">
        <f>IF(ISNUMBER(BC105),IF(AND($R$105=TRUE,AM105="none"),"ESTIMATED","OK"),BC105)</f>
        <v/>
      </c>
      <c r="BE105">
        <f>IF($Z$105="absent","NOT_RUN",IF(OR(AP105="ERROR",AR105="ERROR",AT105="ERROR",AV105="ERROR",AX105="ERROR",AZ105="ERROR",BB105="ERROR",BD105="ERROR"),"ERROR",IF(OR(AP105="UNKNOWN",AR105="UNKNOWN",AT105="UNKNOWN",AV105="UNKNOWN",AX105="UNKNOWN",AZ105="UNKNOWN",BB105="UNKNOWN",BD105="UNKNOWN"),"INCOMPLETE","OK")))</f>
        <v/>
      </c>
      <c r="BF105">
        <f>IF($Z$105="absent","",AH105)</f>
        <v/>
      </c>
    </row>
    <row r="106">
      <c r="B106" s="8" t="inlineStr">
        <is>
          <t>Total Net Sales ex VAT</t>
        </is>
      </c>
      <c r="C106" s="52">
        <f>AQ105</f>
        <v/>
      </c>
      <c r="D106" s="30" t="inlineStr">
        <is>
          <t>ERROR</t>
        </is>
      </c>
      <c r="E106" s="51">
        <f>IF(ISNUMBER(D106),IF(ISNUMBER(AQ105),ABS(AQ105-D106),"N/A"),"N/A")</f>
        <v/>
      </c>
      <c r="F106" s="15">
        <f>IFERROR(IF(ISNUMBER(D106),IF(ISNUMBER(AQ105),IF(ABS(AQ105-D106)&lt;=0.01,"PASS","FAIL"),"FAIL"),IF(NOT(ISNUMBER(AQ105)),IF(AQ105=D106,"PASS","FAIL"),"FAIL")),"FAIL")</f>
        <v/>
      </c>
      <c r="G106" s="16">
        <f>AR105</f>
        <v/>
      </c>
      <c r="H106" s="30" t="inlineStr">
        <is>
          <t>ERROR</t>
        </is>
      </c>
      <c r="I106" s="15">
        <f>IF(AR105=H106,"PASS","FAIL")</f>
        <v/>
      </c>
    </row>
    <row r="107">
      <c r="B107" s="8" t="inlineStr">
        <is>
          <t>Total Contribution Margin</t>
        </is>
      </c>
      <c r="C107" s="52">
        <f>AS105</f>
        <v/>
      </c>
      <c r="D107" s="30" t="inlineStr">
        <is>
          <t>ERROR</t>
        </is>
      </c>
      <c r="E107" s="51">
        <f>IF(ISNUMBER(D107),IF(ISNUMBER(AS105),ABS(AS105-D107),"N/A"),"N/A")</f>
        <v/>
      </c>
      <c r="F107" s="15">
        <f>IFERROR(IF(ISNUMBER(D107),IF(ISNUMBER(AS105),IF(ABS(AS105-D107)&lt;=0.01,"PASS","FAIL"),"FAIL"),IF(NOT(ISNUMBER(AS105)),IF(AS105=D107,"PASS","FAIL"),"FAIL")),"FAIL")</f>
        <v/>
      </c>
      <c r="G107" s="16">
        <f>AT105</f>
        <v/>
      </c>
      <c r="H107" s="30" t="inlineStr">
        <is>
          <t>ERROR</t>
        </is>
      </c>
      <c r="I107" s="15">
        <f>IF(AT105=H107,"PASS","FAIL")</f>
        <v/>
      </c>
    </row>
    <row r="108">
      <c r="B108" s="8" t="inlineStr">
        <is>
          <t>Operating Profit</t>
        </is>
      </c>
      <c r="C108" s="52">
        <f>AU105</f>
        <v/>
      </c>
      <c r="D108" s="30" t="inlineStr">
        <is>
          <t>ERROR</t>
        </is>
      </c>
      <c r="E108" s="51">
        <f>IF(ISNUMBER(D108),IF(ISNUMBER(AU105),ABS(AU105-D108),"N/A"),"N/A")</f>
        <v/>
      </c>
      <c r="F108" s="15">
        <f>IFERROR(IF(ISNUMBER(D108),IF(ISNUMBER(AU105),IF(ABS(AU105-D108)&lt;=0.01,"PASS","FAIL"),"FAIL"),IF(NOT(ISNUMBER(AU105)),IF(AU105=D108,"PASS","FAIL"),"FAIL")),"FAIL")</f>
        <v/>
      </c>
      <c r="G108" s="16">
        <f>AV105</f>
        <v/>
      </c>
      <c r="H108" s="30" t="inlineStr">
        <is>
          <t>ERROR</t>
        </is>
      </c>
      <c r="I108" s="15">
        <f>IF(AV105=H108,"PASS","FAIL")</f>
        <v/>
      </c>
    </row>
    <row r="109">
      <c r="B109" s="8" t="inlineStr">
        <is>
          <t>Operating Profit Rate</t>
        </is>
      </c>
      <c r="C109" s="54">
        <f>AW105</f>
        <v/>
      </c>
      <c r="D109" s="30" t="inlineStr">
        <is>
          <t>ERROR</t>
        </is>
      </c>
      <c r="E109" s="51">
        <f>IF(ISNUMBER(D109),IF(ISNUMBER(AW105),ABS(AW105-D109),"N/A"),"N/A")</f>
        <v/>
      </c>
      <c r="F109" s="15">
        <f>IFERROR(IF(ISNUMBER(D109),IF(ISNUMBER(AW105),IF(ABS(AW105-D109)&lt;=1e-06,"PASS","FAIL"),"FAIL"),IF(NOT(ISNUMBER(AW105)),IF(AW105=D109,"PASS","FAIL"),"FAIL")),"FAIL")</f>
        <v/>
      </c>
      <c r="G109" s="16">
        <f>AX105</f>
        <v/>
      </c>
      <c r="H109" s="30" t="inlineStr">
        <is>
          <t>ERROR</t>
        </is>
      </c>
      <c r="I109" s="15">
        <f>IF(AX105=H109,"PASS","FAIL")</f>
        <v/>
      </c>
    </row>
    <row r="110">
      <c r="B110" s="8" t="inlineStr">
        <is>
          <t>Break-Even Quantity (Q_BEP)</t>
        </is>
      </c>
      <c r="C110" s="25">
        <f>AY105</f>
        <v/>
      </c>
      <c r="D110" s="21" t="n">
        <v>138.4736428009442</v>
      </c>
      <c r="E110" s="51">
        <f>IF(ISNUMBER(D110),IF(ISNUMBER(AY105),ABS(AY105-D110),"N/A"),"N/A")</f>
        <v/>
      </c>
      <c r="F110" s="15">
        <f>IFERROR(IF(ISNUMBER(D110),IF(ISNUMBER(AY105),IF(ABS(AY105-D110)&lt;=0.01,"PASS","FAIL"),"FAIL"),IF(NOT(ISNUMBER(AY105)),IF(AY105=D110,"PASS","FAIL"),"FAIL")),"FAIL")</f>
        <v/>
      </c>
      <c r="G110" s="16">
        <f>AZ105</f>
        <v/>
      </c>
      <c r="H110" s="30" t="inlineStr">
        <is>
          <t>OK</t>
        </is>
      </c>
      <c r="I110" s="15">
        <f>IF(AZ105=H110,"PASS","FAIL")</f>
        <v/>
      </c>
    </row>
    <row r="111">
      <c r="B111" s="8" t="inlineStr">
        <is>
          <t>Margin of Safety Quantity</t>
        </is>
      </c>
      <c r="C111" s="25">
        <f>BA105</f>
        <v/>
      </c>
      <c r="D111" s="30" t="inlineStr">
        <is>
          <t>ERROR</t>
        </is>
      </c>
      <c r="E111" s="51">
        <f>IF(ISNUMBER(D111),IF(ISNUMBER(BA105),ABS(BA105-D111),"N/A"),"N/A")</f>
        <v/>
      </c>
      <c r="F111" s="15">
        <f>IFERROR(IF(ISNUMBER(D111),IF(ISNUMBER(BA105),IF(ABS(BA105-D111)&lt;=0.01,"PASS","FAIL"),"FAIL"),IF(NOT(ISNUMBER(BA105)),IF(BA105=D111,"PASS","FAIL"),"FAIL")),"FAIL")</f>
        <v/>
      </c>
      <c r="G111" s="16">
        <f>BB105</f>
        <v/>
      </c>
      <c r="H111" s="30" t="inlineStr">
        <is>
          <t>ERROR</t>
        </is>
      </c>
      <c r="I111" s="15">
        <f>IF(BB105=H111,"PASS","FAIL")</f>
        <v/>
      </c>
    </row>
    <row r="112">
      <c r="B112" s="8" t="inlineStr">
        <is>
          <t>Margin of Safety Rate</t>
        </is>
      </c>
      <c r="C112" s="54">
        <f>BC105</f>
        <v/>
      </c>
      <c r="D112" s="30" t="inlineStr">
        <is>
          <t>ERROR</t>
        </is>
      </c>
      <c r="E112" s="51">
        <f>IF(ISNUMBER(D112),IF(ISNUMBER(BC105),ABS(BC105-D112),"N/A"),"N/A")</f>
        <v/>
      </c>
      <c r="F112" s="15">
        <f>IFERROR(IF(ISNUMBER(D112),IF(ISNUMBER(BC105),IF(ABS(BC105-D112)&lt;=1e-06,"PASS","FAIL"),"FAIL"),IF(NOT(ISNUMBER(BC105)),IF(BC105=D112,"PASS","FAIL"),"FAIL")),"FAIL")</f>
        <v/>
      </c>
      <c r="G112" s="16">
        <f>BD105</f>
        <v/>
      </c>
      <c r="H112" s="30" t="inlineStr">
        <is>
          <t>ERROR</t>
        </is>
      </c>
      <c r="I112" s="15">
        <f>IF(BD105=H112,"PASS","FAIL")</f>
        <v/>
      </c>
    </row>
    <row r="113">
      <c r="B113" s="8" t="inlineStr">
        <is>
          <t>Module Status</t>
        </is>
      </c>
      <c r="C113" s="16">
        <f>BE105</f>
        <v/>
      </c>
      <c r="D113" s="30" t="inlineStr">
        <is>
          <t>ERROR</t>
        </is>
      </c>
      <c r="F113" s="15">
        <f>IF(BE105=D113,"PASS","FAIL")</f>
        <v/>
      </c>
    </row>
    <row r="114">
      <c r="B114" s="8" t="inlineStr">
        <is>
          <t>Analysis Period Basis</t>
        </is>
      </c>
      <c r="C114" s="16">
        <f>BF105</f>
        <v/>
      </c>
      <c r="D114" s="30" t="inlineStr">
        <is>
          <t>per_month</t>
        </is>
      </c>
      <c r="F114" s="15">
        <f>IF(BF105=D114,"PASS","FAIL")</f>
        <v/>
      </c>
    </row>
    <row r="115">
      <c r="B115" s="8" t="inlineStr">
        <is>
          <t>Self-Check: |MoS qty × CMu − Operating Profit| ≤ tol</t>
        </is>
      </c>
      <c r="C115" s="36">
        <f>IF(OR(NOT(ISNUMBER(BA105)),NOT(ISNUMBER(AN105)),NOT(ISNUMBER(AU105))),"SKIP",IF(ABS(BA105*AN105-AU105)&lt;=0.01,"PASS","FAIL"))</f>
        <v/>
      </c>
      <c r="D115" s="34" t="n"/>
      <c r="F115" s="15">
        <f>IF(C115="FAIL","FAIL","PASS")</f>
        <v/>
      </c>
    </row>
    <row r="117" ht="20" customHeight="1">
      <c r="B117" s="2" t="inlineStr">
        <is>
          <t>V9. Period basis blank -&gt; UNKNOWN (never assumed monthly)</t>
        </is>
      </c>
      <c r="C117" s="7" t="n"/>
      <c r="D117" s="7" t="n"/>
      <c r="E117" s="7" t="n"/>
      <c r="F117" s="7" t="n"/>
      <c r="G117" s="7" t="n"/>
      <c r="H117" s="7" t="n"/>
      <c r="I117" s="7" t="n"/>
    </row>
    <row r="118">
      <c r="B118" s="4" t="inlineStr">
        <is>
          <t>Metric</t>
        </is>
      </c>
      <c r="C118" s="4" t="inlineStr">
        <is>
          <t>Excel Result</t>
        </is>
      </c>
      <c r="D118" s="4" t="inlineStr">
        <is>
          <t>Python Reference</t>
        </is>
      </c>
      <c r="E118" s="4" t="inlineStr">
        <is>
          <t>Difference</t>
        </is>
      </c>
      <c r="F118" s="4" t="inlineStr">
        <is>
          <t>PASS / FAIL</t>
        </is>
      </c>
      <c r="G118" s="4" t="inlineStr">
        <is>
          <t>Excel Status</t>
        </is>
      </c>
      <c r="H118" s="4" t="inlineStr">
        <is>
          <t>Python Status</t>
        </is>
      </c>
      <c r="I118" s="4" t="inlineStr">
        <is>
          <t>Status PASS</t>
        </is>
      </c>
    </row>
    <row r="119">
      <c r="B119" s="8" t="inlineStr">
        <is>
          <t>Planned Quantity (units)</t>
        </is>
      </c>
      <c r="C119" s="25">
        <f>AO119</f>
        <v/>
      </c>
      <c r="D119" s="30" t="inlineStr">
        <is>
          <t>UNKNOWN</t>
        </is>
      </c>
      <c r="E119" s="51">
        <f>IF(ISNUMBER(D119),IF(ISNUMBER(AO119),ABS(AO119-D119),"N/A"),"N/A")</f>
        <v/>
      </c>
      <c r="F119" s="15">
        <f>IFERROR(IF(ISNUMBER(D119),IF(ISNUMBER(AO119),IF(ABS(AO119-D119)&lt;=0.01,"PASS","FAIL"),"FAIL"),IF(NOT(ISNUMBER(AO119)),IF(AO119=D119,"PASS","FAIL"),"FAIL")),"FAIL")</f>
        <v/>
      </c>
      <c r="G119" s="16">
        <f>AP119</f>
        <v/>
      </c>
      <c r="H119" s="30" t="inlineStr">
        <is>
          <t>UNKNOWN</t>
        </is>
      </c>
      <c r="I119" s="15">
        <f>IF(AP119=H119,"PASS","FAIL")</f>
        <v/>
      </c>
      <c r="M119" t="n">
        <v>35000</v>
      </c>
      <c r="N119" t="b">
        <v>1</v>
      </c>
      <c r="O119" t="n">
        <v>0.1</v>
      </c>
      <c r="P119" t="n">
        <v>13500</v>
      </c>
      <c r="Q119" t="n">
        <v>3000</v>
      </c>
      <c r="R119" t="b">
        <v>0</v>
      </c>
      <c r="S119" t="n">
        <v>0</v>
      </c>
      <c r="T119" t="n">
        <v>0.025</v>
      </c>
      <c r="U119" t="n">
        <v>2000000</v>
      </c>
      <c r="V119" t="inlineStr">
        <is>
          <t>per_month</t>
        </is>
      </c>
      <c r="W119" t="inlineStr">
        <is>
          <t>component</t>
        </is>
      </c>
      <c r="X119" t="inlineStr">
        <is>
          <t>consistent</t>
        </is>
      </c>
      <c r="Y119" t="n">
        <v>1</v>
      </c>
      <c r="Z119" t="inlineStr">
        <is>
          <t>present</t>
        </is>
      </c>
      <c r="AA119" t="n">
        <v>200</v>
      </c>
      <c r="AD119">
        <f>IFERROR(IF(ISBLANK($M$119),"UNKNOWN",IF(ISBLANK($N$119),"UNKNOWN",IF($N$119=FALSE,$M$119,IF(ISBLANK($O$119),"UNKNOWN",$M$119/(1+$O$119))))),"ERROR")</f>
        <v/>
      </c>
      <c r="AE119">
        <f>IFERROR(IF(ISBLANK($M$119),"UNKNOWN",IF(ISBLANK($N$119),"UNKNOWN",IF($N$119=TRUE,$M$119,IF(ISBLANK($O$119),"UNKNOWN",$M$119*(1+$O$119))))),"ERROR")</f>
        <v/>
      </c>
      <c r="AF119">
        <f>IF($Y$119&gt;1,"ERROR",IFERROR(IF(AD119="ERROR","ERROR",IF(OR(NOT(ISNUMBER(AD119)),ISBLANK($P$119),ISBLANK($Q$119),ISBLANK($S$119),ISBLANK($T$119)),"UNKNOWN",IF($T$119&gt;0,IF(AE119="ERROR","ERROR",IF(NOT(ISNUMBER(AE119)),"UNKNOWN",AD119-$P$119-$Q$119-$S$119*AD119-$T$119*AE119)),AD119-$P$119-$Q$119-$S$119*AD119))),"ERROR"))</f>
        <v/>
      </c>
      <c r="AG119">
        <f>IF($Y$119&gt;1,"ERROR",IFERROR(IF($W$119="invalid_direct","ERROR",IF($X$119="inconsistent","ERROR",IF($W$119="none",0,IF(OR($W$119="unresolved",$W$119="blended_only"),"UNKNOWN",IF(ISBLANK($U$119),"UNKNOWN",IF($U$119&lt;0,"ERROR",$U$119)))))),"ERROR"))</f>
        <v/>
      </c>
      <c r="AH119">
        <f>IF($Y$119&gt;1,"",IF(OR($W$119="invalid_direct",$X$119="inconsistent"),"",IF($W$119="none","",IF(OR($W$119="unresolved",$W$119="blended_only"),"",IF(ISBLANK($U$119),"",IF($U$119&lt;0,"",$V$119))))))</f>
        <v/>
      </c>
      <c r="AI119">
        <f>IF($Y$119&gt;1,"ERROR",IFERROR(IF(OR(AF119="ERROR",AG119="ERROR"),"ERROR",IF(OR(NOT(ISNUMBER(AF119)),NOT(ISNUMBER(AG119))),"UNKNOWN",IF(AF119&lt;=0,"NOT_APPLICABLE",AG119/AF119))),"ERROR"))</f>
        <v/>
      </c>
      <c r="AJ119">
        <f>IF($Y$119&gt;1,"MULTI_COMPONENT_BEP_NOT_SUPPORTED",IF($W$119="invalid_direct","INVALID_ALLOCATION_CONFIGURATION",IF($X$119="inconsistent","INCONSISTENT_FIXED_COST_BASIS",IF(AND($W$119="component",NOT(ISBLANK($U$119)),$U$119&lt;0),"INVALID_NEGATIVE_COST",IF(AF119="ERROR","CALCULATION_ERROR",IF($W$119="blended_only","FIXED_COST_BLENDED_ONLY_NOT_ALLOCATED",IF($W$119="unresolved","UNSUPPORTED_SHARED_COST_ALLOCATION",IF(NOT(ISNUMBER(AF119)),"MISSING_DEPENDENCY",IF(AND($W$119="component",ISBLANK($U$119)),"MISSING_DEPENDENCY",IF(AND(AF119=0,AG119=0),"BREAK_EVEN_UNDEFINED_ZERO_MARGIN_ZERO_FIXED_COST",IF(AF119=0,"BREAK_EVEN_UNDEFINED_ZERO_MARGIN",IF(AF119&lt;0,"BREAK_EVEN_UNDEFINED_NEGATIVE_MARGIN","NONE"))))))))))))</f>
        <v/>
      </c>
      <c r="AK119">
        <f>IF(AND(NOT(ISBLANK($AA$119)),$AA$119&lt;0),"ERROR",IF(AND($AB$119&lt;&gt;"",$AB$119&lt;&gt;"per_month"),"ERROR",IF(OR(ISBLANK($AA$119),$AB$119=""),"UNKNOWN",$AA$119)))</f>
        <v/>
      </c>
      <c r="AL119">
        <f>IF(AND(ISNUMBER(AG119),AH119&lt;&gt;"",AH119&lt;&gt;"per_month"),"ERROR",AG119)</f>
        <v/>
      </c>
      <c r="AM119">
        <f>IF(ISBLANK($AC$119),"none",IF(AND(ISNUMBER($AC$119),$AC$119&gt;0),"valid","invalid"))</f>
        <v/>
      </c>
      <c r="AN119">
        <f>IF(AM119="invalid","ERROR",IF(AND(AM119="valid",$R$119=TRUE,ISNUMBER(AF119)),AF119+$Q$119*(1-1/$AC$119),AF119))</f>
        <v/>
      </c>
      <c r="AO119">
        <f>IF($Z$119="absent","NOT_RUN",IF($Y$119&gt;1,"ERROR",AK119))</f>
        <v/>
      </c>
      <c r="AP119">
        <f>IF(ISNUMBER(AO119),"OK",AO119)</f>
        <v/>
      </c>
      <c r="AQ119">
        <f>IF($Z$119="absent","NOT_RUN",IF($Y$119&gt;1,"ERROR",IFERROR(IF(OR(AK119="ERROR",AD119="ERROR"),"ERROR",IF(OR(NOT(ISNUMBER(AK119)),NOT(ISNUMBER(AD119))),"UNKNOWN",AD119*AK119)),"ERROR")))</f>
        <v/>
      </c>
      <c r="AR119">
        <f>IF(ISNUMBER(AQ119),"OK",AQ119)</f>
        <v/>
      </c>
      <c r="AS119">
        <f>IF($Z$119="absent","NOT_RUN",IF($Y$119&gt;1,"ERROR",IFERROR(IF(OR(AK119="ERROR",AN119="ERROR"),"ERROR",IF(OR(NOT(ISNUMBER(AK119)),NOT(ISNUMBER(AN119))),"UNKNOWN",AN119*AK119)),"ERROR")))</f>
        <v/>
      </c>
      <c r="AT119">
        <f>IF(ISNUMBER(AS119),IF(AND($R$119=TRUE,AM119="none"),"ESTIMATED","OK"),AS119)</f>
        <v/>
      </c>
      <c r="AU119">
        <f>IF($Z$119="absent","NOT_RUN",IF($Y$119&gt;1,"ERROR",IFERROR(IF(OR(AK119="ERROR",AN119="ERROR",AL119="ERROR"),"ERROR",IF(OR(NOT(ISNUMBER(AK119)),NOT(ISNUMBER(AN119)),NOT(ISNUMBER(AL119))),"UNKNOWN",AN119*AK119-AL119)),"ERROR")))</f>
        <v/>
      </c>
      <c r="AV119">
        <f>IF(ISNUMBER(AU119),IF(AND($R$119=TRUE,AM119="none"),"ESTIMATED","OK"),AU119)</f>
        <v/>
      </c>
      <c r="AW119">
        <f>IF($Z$119="absent","NOT_RUN",IF($Y$119&gt;1,"ERROR",IFERROR(IF(OR(AU119="ERROR",AQ119="ERROR"),"ERROR",IF(OR(NOT(ISNUMBER(AU119)),NOT(ISNUMBER(AQ119))),"UNKNOWN",IF(AQ119=0,"NOT_APPLICABLE",AU119/AQ119))),"ERROR")))</f>
        <v/>
      </c>
      <c r="AX119">
        <f>IF(ISNUMBER(AW119),IF(AND($R$119=TRUE,AM119="none"),"ESTIMATED","OK"),AW119)</f>
        <v/>
      </c>
      <c r="AY119">
        <f>IF($Z$119="absent","NOT_RUN",IF($Y$119&gt;1,"ERROR",IFERROR(IF(OR(AN119="ERROR",AL119="ERROR"),"ERROR",IF(OR(NOT(ISNUMBER(AN119)),NOT(ISNUMBER(AL119))),"UNKNOWN",IF(AN119&lt;=0,"NOT_APPLICABLE",AL119/AN119))),"ERROR")))</f>
        <v/>
      </c>
      <c r="AZ119">
        <f>IF(ISNUMBER(AY119),IF(AND($R$119=TRUE,AM119="none"),"ESTIMATED","OK"),AY119)</f>
        <v/>
      </c>
      <c r="BA119">
        <f>IF($Z$119="absent","NOT_RUN",IF($Y$119&gt;1,"ERROR",IFERROR(IF(OR(AK119="ERROR",AN119="ERROR",AL119="ERROR"),"ERROR",IF(OR(NOT(ISNUMBER(AK119)),NOT(ISNUMBER(AN119)),NOT(ISNUMBER(AL119))),"UNKNOWN",IF(AN119&lt;=0,"NOT_APPLICABLE",AK119-AY119))),"ERROR")))</f>
        <v/>
      </c>
      <c r="BB119">
        <f>IF(ISNUMBER(BA119),IF(AND($R$119=TRUE,AM119="none"),"ESTIMATED","OK"),BA119)</f>
        <v/>
      </c>
      <c r="BC119">
        <f>IF($Z$119="absent","NOT_RUN",IF($Y$119&gt;1,"ERROR",IFERROR(IF(OR(AK119="ERROR",AN119="ERROR",AL119="ERROR"),"ERROR",IF(OR(NOT(ISNUMBER(AK119)),NOT(ISNUMBER(AN119)),NOT(ISNUMBER(AL119))),"UNKNOWN",IF(OR(AN119&lt;=0,AK119=0),"NOT_APPLICABLE",(AK119-AY119)/AK119))),"ERROR")))</f>
        <v/>
      </c>
      <c r="BD119">
        <f>IF(ISNUMBER(BC119),IF(AND($R$119=TRUE,AM119="none"),"ESTIMATED","OK"),BC119)</f>
        <v/>
      </c>
      <c r="BE119">
        <f>IF($Z$119="absent","NOT_RUN",IF(OR(AP119="ERROR",AR119="ERROR",AT119="ERROR",AV119="ERROR",AX119="ERROR",AZ119="ERROR",BB119="ERROR",BD119="ERROR"),"ERROR",IF(OR(AP119="UNKNOWN",AR119="UNKNOWN",AT119="UNKNOWN",AV119="UNKNOWN",AX119="UNKNOWN",AZ119="UNKNOWN",BB119="UNKNOWN",BD119="UNKNOWN"),"INCOMPLETE","OK")))</f>
        <v/>
      </c>
      <c r="BF119">
        <f>IF($Z$119="absent","",AH119)</f>
        <v/>
      </c>
    </row>
    <row r="120">
      <c r="B120" s="8" t="inlineStr">
        <is>
          <t>Total Net Sales ex VAT</t>
        </is>
      </c>
      <c r="C120" s="52">
        <f>AQ119</f>
        <v/>
      </c>
      <c r="D120" s="30" t="inlineStr">
        <is>
          <t>UNKNOWN</t>
        </is>
      </c>
      <c r="E120" s="51">
        <f>IF(ISNUMBER(D120),IF(ISNUMBER(AQ119),ABS(AQ119-D120),"N/A"),"N/A")</f>
        <v/>
      </c>
      <c r="F120" s="15">
        <f>IFERROR(IF(ISNUMBER(D120),IF(ISNUMBER(AQ119),IF(ABS(AQ119-D120)&lt;=0.01,"PASS","FAIL"),"FAIL"),IF(NOT(ISNUMBER(AQ119)),IF(AQ119=D120,"PASS","FAIL"),"FAIL")),"FAIL")</f>
        <v/>
      </c>
      <c r="G120" s="16">
        <f>AR119</f>
        <v/>
      </c>
      <c r="H120" s="30" t="inlineStr">
        <is>
          <t>UNKNOWN</t>
        </is>
      </c>
      <c r="I120" s="15">
        <f>IF(AR119=H120,"PASS","FAIL")</f>
        <v/>
      </c>
    </row>
    <row r="121">
      <c r="B121" s="8" t="inlineStr">
        <is>
          <t>Total Contribution Margin</t>
        </is>
      </c>
      <c r="C121" s="52">
        <f>AS119</f>
        <v/>
      </c>
      <c r="D121" s="30" t="inlineStr">
        <is>
          <t>UNKNOWN</t>
        </is>
      </c>
      <c r="E121" s="51">
        <f>IF(ISNUMBER(D121),IF(ISNUMBER(AS119),ABS(AS119-D121),"N/A"),"N/A")</f>
        <v/>
      </c>
      <c r="F121" s="15">
        <f>IFERROR(IF(ISNUMBER(D121),IF(ISNUMBER(AS119),IF(ABS(AS119-D121)&lt;=0.01,"PASS","FAIL"),"FAIL"),IF(NOT(ISNUMBER(AS119)),IF(AS119=D121,"PASS","FAIL"),"FAIL")),"FAIL")</f>
        <v/>
      </c>
      <c r="G121" s="16">
        <f>AT119</f>
        <v/>
      </c>
      <c r="H121" s="30" t="inlineStr">
        <is>
          <t>UNKNOWN</t>
        </is>
      </c>
      <c r="I121" s="15">
        <f>IF(AT119=H121,"PASS","FAIL")</f>
        <v/>
      </c>
    </row>
    <row r="122">
      <c r="B122" s="8" t="inlineStr">
        <is>
          <t>Operating Profit</t>
        </is>
      </c>
      <c r="C122" s="52">
        <f>AU119</f>
        <v/>
      </c>
      <c r="D122" s="30" t="inlineStr">
        <is>
          <t>UNKNOWN</t>
        </is>
      </c>
      <c r="E122" s="51">
        <f>IF(ISNUMBER(D122),IF(ISNUMBER(AU119),ABS(AU119-D122),"N/A"),"N/A")</f>
        <v/>
      </c>
      <c r="F122" s="15">
        <f>IFERROR(IF(ISNUMBER(D122),IF(ISNUMBER(AU119),IF(ABS(AU119-D122)&lt;=0.01,"PASS","FAIL"),"FAIL"),IF(NOT(ISNUMBER(AU119)),IF(AU119=D122,"PASS","FAIL"),"FAIL")),"FAIL")</f>
        <v/>
      </c>
      <c r="G122" s="16">
        <f>AV119</f>
        <v/>
      </c>
      <c r="H122" s="30" t="inlineStr">
        <is>
          <t>UNKNOWN</t>
        </is>
      </c>
      <c r="I122" s="15">
        <f>IF(AV119=H122,"PASS","FAIL")</f>
        <v/>
      </c>
    </row>
    <row r="123">
      <c r="B123" s="8" t="inlineStr">
        <is>
          <t>Operating Profit Rate</t>
        </is>
      </c>
      <c r="C123" s="54">
        <f>AW119</f>
        <v/>
      </c>
      <c r="D123" s="30" t="inlineStr">
        <is>
          <t>UNKNOWN</t>
        </is>
      </c>
      <c r="E123" s="51">
        <f>IF(ISNUMBER(D123),IF(ISNUMBER(AW119),ABS(AW119-D123),"N/A"),"N/A")</f>
        <v/>
      </c>
      <c r="F123" s="15">
        <f>IFERROR(IF(ISNUMBER(D123),IF(ISNUMBER(AW119),IF(ABS(AW119-D123)&lt;=1e-06,"PASS","FAIL"),"FAIL"),IF(NOT(ISNUMBER(AW119)),IF(AW119=D123,"PASS","FAIL"),"FAIL")),"FAIL")</f>
        <v/>
      </c>
      <c r="G123" s="16">
        <f>AX119</f>
        <v/>
      </c>
      <c r="H123" s="30" t="inlineStr">
        <is>
          <t>UNKNOWN</t>
        </is>
      </c>
      <c r="I123" s="15">
        <f>IF(AX119=H123,"PASS","FAIL")</f>
        <v/>
      </c>
    </row>
    <row r="124">
      <c r="B124" s="8" t="inlineStr">
        <is>
          <t>Break-Even Quantity (Q_BEP)</t>
        </is>
      </c>
      <c r="C124" s="25">
        <f>AY119</f>
        <v/>
      </c>
      <c r="D124" s="21" t="n">
        <v>138.4736428009442</v>
      </c>
      <c r="E124" s="51">
        <f>IF(ISNUMBER(D124),IF(ISNUMBER(AY119),ABS(AY119-D124),"N/A"),"N/A")</f>
        <v/>
      </c>
      <c r="F124" s="15">
        <f>IFERROR(IF(ISNUMBER(D124),IF(ISNUMBER(AY119),IF(ABS(AY119-D124)&lt;=0.01,"PASS","FAIL"),"FAIL"),IF(NOT(ISNUMBER(AY119)),IF(AY119=D124,"PASS","FAIL"),"FAIL")),"FAIL")</f>
        <v/>
      </c>
      <c r="G124" s="16">
        <f>AZ119</f>
        <v/>
      </c>
      <c r="H124" s="30" t="inlineStr">
        <is>
          <t>OK</t>
        </is>
      </c>
      <c r="I124" s="15">
        <f>IF(AZ119=H124,"PASS","FAIL")</f>
        <v/>
      </c>
    </row>
    <row r="125">
      <c r="B125" s="8" t="inlineStr">
        <is>
          <t>Margin of Safety Quantity</t>
        </is>
      </c>
      <c r="C125" s="25">
        <f>BA119</f>
        <v/>
      </c>
      <c r="D125" s="30" t="inlineStr">
        <is>
          <t>UNKNOWN</t>
        </is>
      </c>
      <c r="E125" s="51">
        <f>IF(ISNUMBER(D125),IF(ISNUMBER(BA119),ABS(BA119-D125),"N/A"),"N/A")</f>
        <v/>
      </c>
      <c r="F125" s="15">
        <f>IFERROR(IF(ISNUMBER(D125),IF(ISNUMBER(BA119),IF(ABS(BA119-D125)&lt;=0.01,"PASS","FAIL"),"FAIL"),IF(NOT(ISNUMBER(BA119)),IF(BA119=D125,"PASS","FAIL"),"FAIL")),"FAIL")</f>
        <v/>
      </c>
      <c r="G125" s="16">
        <f>BB119</f>
        <v/>
      </c>
      <c r="H125" s="30" t="inlineStr">
        <is>
          <t>UNKNOWN</t>
        </is>
      </c>
      <c r="I125" s="15">
        <f>IF(BB119=H125,"PASS","FAIL")</f>
        <v/>
      </c>
    </row>
    <row r="126">
      <c r="B126" s="8" t="inlineStr">
        <is>
          <t>Margin of Safety Rate</t>
        </is>
      </c>
      <c r="C126" s="54">
        <f>BC119</f>
        <v/>
      </c>
      <c r="D126" s="30" t="inlineStr">
        <is>
          <t>UNKNOWN</t>
        </is>
      </c>
      <c r="E126" s="51">
        <f>IF(ISNUMBER(D126),IF(ISNUMBER(BC119),ABS(BC119-D126),"N/A"),"N/A")</f>
        <v/>
      </c>
      <c r="F126" s="15">
        <f>IFERROR(IF(ISNUMBER(D126),IF(ISNUMBER(BC119),IF(ABS(BC119-D126)&lt;=1e-06,"PASS","FAIL"),"FAIL"),IF(NOT(ISNUMBER(BC119)),IF(BC119=D126,"PASS","FAIL"),"FAIL")),"FAIL")</f>
        <v/>
      </c>
      <c r="G126" s="16">
        <f>BD119</f>
        <v/>
      </c>
      <c r="H126" s="30" t="inlineStr">
        <is>
          <t>UNKNOWN</t>
        </is>
      </c>
      <c r="I126" s="15">
        <f>IF(BD119=H126,"PASS","FAIL")</f>
        <v/>
      </c>
    </row>
    <row r="127">
      <c r="B127" s="8" t="inlineStr">
        <is>
          <t>Module Status</t>
        </is>
      </c>
      <c r="C127" s="16">
        <f>BE119</f>
        <v/>
      </c>
      <c r="D127" s="30" t="inlineStr">
        <is>
          <t>INCOMPLETE</t>
        </is>
      </c>
      <c r="F127" s="15">
        <f>IF(BE119=D127,"PASS","FAIL")</f>
        <v/>
      </c>
    </row>
    <row r="128">
      <c r="B128" s="8" t="inlineStr">
        <is>
          <t>Analysis Period Basis</t>
        </is>
      </c>
      <c r="C128" s="16">
        <f>BF119</f>
        <v/>
      </c>
      <c r="D128" s="30" t="inlineStr">
        <is>
          <t>per_month</t>
        </is>
      </c>
      <c r="F128" s="15">
        <f>IF(BF119=D128,"PASS","FAIL")</f>
        <v/>
      </c>
    </row>
    <row r="129">
      <c r="B129" s="8" t="inlineStr">
        <is>
          <t>Self-Check: |MoS qty × CMu − Operating Profit| ≤ tol</t>
        </is>
      </c>
      <c r="C129" s="36">
        <f>IF(OR(NOT(ISNUMBER(BA119)),NOT(ISNUMBER(AN119)),NOT(ISNUMBER(AU119))),"SKIP",IF(ABS(BA119*AN119-AU119)&lt;=0.01,"PASS","FAIL"))</f>
        <v/>
      </c>
      <c r="D129" s="34" t="n"/>
      <c r="F129" s="15">
        <f>IF(C129="FAIL","FAIL","PASS")</f>
        <v/>
      </c>
    </row>
    <row r="131" ht="20" customHeight="1">
      <c r="B131" s="2" t="inlineStr">
        <is>
          <t>V10. Unsupported plan period -&gt; ERROR</t>
        </is>
      </c>
      <c r="C131" s="7" t="n"/>
      <c r="D131" s="7" t="n"/>
      <c r="E131" s="7" t="n"/>
      <c r="F131" s="7" t="n"/>
      <c r="G131" s="7" t="n"/>
      <c r="H131" s="7" t="n"/>
      <c r="I131" s="7" t="n"/>
    </row>
    <row r="132">
      <c r="B132" s="4" t="inlineStr">
        <is>
          <t>Metric</t>
        </is>
      </c>
      <c r="C132" s="4" t="inlineStr">
        <is>
          <t>Excel Result</t>
        </is>
      </c>
      <c r="D132" s="4" t="inlineStr">
        <is>
          <t>Python Reference</t>
        </is>
      </c>
      <c r="E132" s="4" t="inlineStr">
        <is>
          <t>Difference</t>
        </is>
      </c>
      <c r="F132" s="4" t="inlineStr">
        <is>
          <t>PASS / FAIL</t>
        </is>
      </c>
      <c r="G132" s="4" t="inlineStr">
        <is>
          <t>Excel Status</t>
        </is>
      </c>
      <c r="H132" s="4" t="inlineStr">
        <is>
          <t>Python Status</t>
        </is>
      </c>
      <c r="I132" s="4" t="inlineStr">
        <is>
          <t>Status PASS</t>
        </is>
      </c>
    </row>
    <row r="133">
      <c r="B133" s="8" t="inlineStr">
        <is>
          <t>Planned Quantity (units)</t>
        </is>
      </c>
      <c r="C133" s="25">
        <f>AO133</f>
        <v/>
      </c>
      <c r="D133" s="30" t="inlineStr">
        <is>
          <t>ERROR</t>
        </is>
      </c>
      <c r="E133" s="51">
        <f>IF(ISNUMBER(D133),IF(ISNUMBER(AO133),ABS(AO133-D133),"N/A"),"N/A")</f>
        <v/>
      </c>
      <c r="F133" s="15">
        <f>IFERROR(IF(ISNUMBER(D133),IF(ISNUMBER(AO133),IF(ABS(AO133-D133)&lt;=0.01,"PASS","FAIL"),"FAIL"),IF(NOT(ISNUMBER(AO133)),IF(AO133=D133,"PASS","FAIL"),"FAIL")),"FAIL")</f>
        <v/>
      </c>
      <c r="G133" s="16">
        <f>AP133</f>
        <v/>
      </c>
      <c r="H133" s="30" t="inlineStr">
        <is>
          <t>ERROR</t>
        </is>
      </c>
      <c r="I133" s="15">
        <f>IF(AP133=H133,"PASS","FAIL")</f>
        <v/>
      </c>
      <c r="M133" t="n">
        <v>35000</v>
      </c>
      <c r="N133" t="b">
        <v>1</v>
      </c>
      <c r="O133" t="n">
        <v>0.1</v>
      </c>
      <c r="P133" t="n">
        <v>13500</v>
      </c>
      <c r="Q133" t="n">
        <v>3000</v>
      </c>
      <c r="R133" t="b">
        <v>0</v>
      </c>
      <c r="S133" t="n">
        <v>0</v>
      </c>
      <c r="T133" t="n">
        <v>0.025</v>
      </c>
      <c r="U133" t="n">
        <v>2000000</v>
      </c>
      <c r="V133" t="inlineStr">
        <is>
          <t>per_month</t>
        </is>
      </c>
      <c r="W133" t="inlineStr">
        <is>
          <t>component</t>
        </is>
      </c>
      <c r="X133" t="inlineStr">
        <is>
          <t>consistent</t>
        </is>
      </c>
      <c r="Y133" t="n">
        <v>1</v>
      </c>
      <c r="Z133" t="inlineStr">
        <is>
          <t>present</t>
        </is>
      </c>
      <c r="AA133" t="n">
        <v>200</v>
      </c>
      <c r="AB133" t="inlineStr">
        <is>
          <t>per_year</t>
        </is>
      </c>
      <c r="AD133">
        <f>IFERROR(IF(ISBLANK($M$133),"UNKNOWN",IF(ISBLANK($N$133),"UNKNOWN",IF($N$133=FALSE,$M$133,IF(ISBLANK($O$133),"UNKNOWN",$M$133/(1+$O$133))))),"ERROR")</f>
        <v/>
      </c>
      <c r="AE133">
        <f>IFERROR(IF(ISBLANK($M$133),"UNKNOWN",IF(ISBLANK($N$133),"UNKNOWN",IF($N$133=TRUE,$M$133,IF(ISBLANK($O$133),"UNKNOWN",$M$133*(1+$O$133))))),"ERROR")</f>
        <v/>
      </c>
      <c r="AF133">
        <f>IF($Y$133&gt;1,"ERROR",IFERROR(IF(AD133="ERROR","ERROR",IF(OR(NOT(ISNUMBER(AD133)),ISBLANK($P$133),ISBLANK($Q$133),ISBLANK($S$133),ISBLANK($T$133)),"UNKNOWN",IF($T$133&gt;0,IF(AE133="ERROR","ERROR",IF(NOT(ISNUMBER(AE133)),"UNKNOWN",AD133-$P$133-$Q$133-$S$133*AD133-$T$133*AE133)),AD133-$P$133-$Q$133-$S$133*AD133))),"ERROR"))</f>
        <v/>
      </c>
      <c r="AG133">
        <f>IF($Y$133&gt;1,"ERROR",IFERROR(IF($W$133="invalid_direct","ERROR",IF($X$133="inconsistent","ERROR",IF($W$133="none",0,IF(OR($W$133="unresolved",$W$133="blended_only"),"UNKNOWN",IF(ISBLANK($U$133),"UNKNOWN",IF($U$133&lt;0,"ERROR",$U$133)))))),"ERROR"))</f>
        <v/>
      </c>
      <c r="AH133">
        <f>IF($Y$133&gt;1,"",IF(OR($W$133="invalid_direct",$X$133="inconsistent"),"",IF($W$133="none","",IF(OR($W$133="unresolved",$W$133="blended_only"),"",IF(ISBLANK($U$133),"",IF($U$133&lt;0,"",$V$133))))))</f>
        <v/>
      </c>
      <c r="AI133">
        <f>IF($Y$133&gt;1,"ERROR",IFERROR(IF(OR(AF133="ERROR",AG133="ERROR"),"ERROR",IF(OR(NOT(ISNUMBER(AF133)),NOT(ISNUMBER(AG133))),"UNKNOWN",IF(AF133&lt;=0,"NOT_APPLICABLE",AG133/AF133))),"ERROR"))</f>
        <v/>
      </c>
      <c r="AJ133">
        <f>IF($Y$133&gt;1,"MULTI_COMPONENT_BEP_NOT_SUPPORTED",IF($W$133="invalid_direct","INVALID_ALLOCATION_CONFIGURATION",IF($X$133="inconsistent","INCONSISTENT_FIXED_COST_BASIS",IF(AND($W$133="component",NOT(ISBLANK($U$133)),$U$133&lt;0),"INVALID_NEGATIVE_COST",IF(AF133="ERROR","CALCULATION_ERROR",IF($W$133="blended_only","FIXED_COST_BLENDED_ONLY_NOT_ALLOCATED",IF($W$133="unresolved","UNSUPPORTED_SHARED_COST_ALLOCATION",IF(NOT(ISNUMBER(AF133)),"MISSING_DEPENDENCY",IF(AND($W$133="component",ISBLANK($U$133)),"MISSING_DEPENDENCY",IF(AND(AF133=0,AG133=0),"BREAK_EVEN_UNDEFINED_ZERO_MARGIN_ZERO_FIXED_COST",IF(AF133=0,"BREAK_EVEN_UNDEFINED_ZERO_MARGIN",IF(AF133&lt;0,"BREAK_EVEN_UNDEFINED_NEGATIVE_MARGIN","NONE"))))))))))))</f>
        <v/>
      </c>
      <c r="AK133">
        <f>IF(AND(NOT(ISBLANK($AA$133)),$AA$133&lt;0),"ERROR",IF(AND($AB$133&lt;&gt;"",$AB$133&lt;&gt;"per_month"),"ERROR",IF(OR(ISBLANK($AA$133),$AB$133=""),"UNKNOWN",$AA$133)))</f>
        <v/>
      </c>
      <c r="AL133">
        <f>IF(AND(ISNUMBER(AG133),AH133&lt;&gt;"",AH133&lt;&gt;"per_month"),"ERROR",AG133)</f>
        <v/>
      </c>
      <c r="AM133">
        <f>IF(ISBLANK($AC$133),"none",IF(AND(ISNUMBER($AC$133),$AC$133&gt;0),"valid","invalid"))</f>
        <v/>
      </c>
      <c r="AN133">
        <f>IF(AM133="invalid","ERROR",IF(AND(AM133="valid",$R$133=TRUE,ISNUMBER(AF133)),AF133+$Q$133*(1-1/$AC$133),AF133))</f>
        <v/>
      </c>
      <c r="AO133">
        <f>IF($Z$133="absent","NOT_RUN",IF($Y$133&gt;1,"ERROR",AK133))</f>
        <v/>
      </c>
      <c r="AP133">
        <f>IF(ISNUMBER(AO133),"OK",AO133)</f>
        <v/>
      </c>
      <c r="AQ133">
        <f>IF($Z$133="absent","NOT_RUN",IF($Y$133&gt;1,"ERROR",IFERROR(IF(OR(AK133="ERROR",AD133="ERROR"),"ERROR",IF(OR(NOT(ISNUMBER(AK133)),NOT(ISNUMBER(AD133))),"UNKNOWN",AD133*AK133)),"ERROR")))</f>
        <v/>
      </c>
      <c r="AR133">
        <f>IF(ISNUMBER(AQ133),"OK",AQ133)</f>
        <v/>
      </c>
      <c r="AS133">
        <f>IF($Z$133="absent","NOT_RUN",IF($Y$133&gt;1,"ERROR",IFERROR(IF(OR(AK133="ERROR",AN133="ERROR"),"ERROR",IF(OR(NOT(ISNUMBER(AK133)),NOT(ISNUMBER(AN133))),"UNKNOWN",AN133*AK133)),"ERROR")))</f>
        <v/>
      </c>
      <c r="AT133">
        <f>IF(ISNUMBER(AS133),IF(AND($R$133=TRUE,AM133="none"),"ESTIMATED","OK"),AS133)</f>
        <v/>
      </c>
      <c r="AU133">
        <f>IF($Z$133="absent","NOT_RUN",IF($Y$133&gt;1,"ERROR",IFERROR(IF(OR(AK133="ERROR",AN133="ERROR",AL133="ERROR"),"ERROR",IF(OR(NOT(ISNUMBER(AK133)),NOT(ISNUMBER(AN133)),NOT(ISNUMBER(AL133))),"UNKNOWN",AN133*AK133-AL133)),"ERROR")))</f>
        <v/>
      </c>
      <c r="AV133">
        <f>IF(ISNUMBER(AU133),IF(AND($R$133=TRUE,AM133="none"),"ESTIMATED","OK"),AU133)</f>
        <v/>
      </c>
      <c r="AW133">
        <f>IF($Z$133="absent","NOT_RUN",IF($Y$133&gt;1,"ERROR",IFERROR(IF(OR(AU133="ERROR",AQ133="ERROR"),"ERROR",IF(OR(NOT(ISNUMBER(AU133)),NOT(ISNUMBER(AQ133))),"UNKNOWN",IF(AQ133=0,"NOT_APPLICABLE",AU133/AQ133))),"ERROR")))</f>
        <v/>
      </c>
      <c r="AX133">
        <f>IF(ISNUMBER(AW133),IF(AND($R$133=TRUE,AM133="none"),"ESTIMATED","OK"),AW133)</f>
        <v/>
      </c>
      <c r="AY133">
        <f>IF($Z$133="absent","NOT_RUN",IF($Y$133&gt;1,"ERROR",IFERROR(IF(OR(AN133="ERROR",AL133="ERROR"),"ERROR",IF(OR(NOT(ISNUMBER(AN133)),NOT(ISNUMBER(AL133))),"UNKNOWN",IF(AN133&lt;=0,"NOT_APPLICABLE",AL133/AN133))),"ERROR")))</f>
        <v/>
      </c>
      <c r="AZ133">
        <f>IF(ISNUMBER(AY133),IF(AND($R$133=TRUE,AM133="none"),"ESTIMATED","OK"),AY133)</f>
        <v/>
      </c>
      <c r="BA133">
        <f>IF($Z$133="absent","NOT_RUN",IF($Y$133&gt;1,"ERROR",IFERROR(IF(OR(AK133="ERROR",AN133="ERROR",AL133="ERROR"),"ERROR",IF(OR(NOT(ISNUMBER(AK133)),NOT(ISNUMBER(AN133)),NOT(ISNUMBER(AL133))),"UNKNOWN",IF(AN133&lt;=0,"NOT_APPLICABLE",AK133-AY133))),"ERROR")))</f>
        <v/>
      </c>
      <c r="BB133">
        <f>IF(ISNUMBER(BA133),IF(AND($R$133=TRUE,AM133="none"),"ESTIMATED","OK"),BA133)</f>
        <v/>
      </c>
      <c r="BC133">
        <f>IF($Z$133="absent","NOT_RUN",IF($Y$133&gt;1,"ERROR",IFERROR(IF(OR(AK133="ERROR",AN133="ERROR",AL133="ERROR"),"ERROR",IF(OR(NOT(ISNUMBER(AK133)),NOT(ISNUMBER(AN133)),NOT(ISNUMBER(AL133))),"UNKNOWN",IF(OR(AN133&lt;=0,AK133=0),"NOT_APPLICABLE",(AK133-AY133)/AK133))),"ERROR")))</f>
        <v/>
      </c>
      <c r="BD133">
        <f>IF(ISNUMBER(BC133),IF(AND($R$133=TRUE,AM133="none"),"ESTIMATED","OK"),BC133)</f>
        <v/>
      </c>
      <c r="BE133">
        <f>IF($Z$133="absent","NOT_RUN",IF(OR(AP133="ERROR",AR133="ERROR",AT133="ERROR",AV133="ERROR",AX133="ERROR",AZ133="ERROR",BB133="ERROR",BD133="ERROR"),"ERROR",IF(OR(AP133="UNKNOWN",AR133="UNKNOWN",AT133="UNKNOWN",AV133="UNKNOWN",AX133="UNKNOWN",AZ133="UNKNOWN",BB133="UNKNOWN",BD133="UNKNOWN"),"INCOMPLETE","OK")))</f>
        <v/>
      </c>
      <c r="BF133">
        <f>IF($Z$133="absent","",AH133)</f>
        <v/>
      </c>
    </row>
    <row r="134">
      <c r="B134" s="8" t="inlineStr">
        <is>
          <t>Total Net Sales ex VAT</t>
        </is>
      </c>
      <c r="C134" s="52">
        <f>AQ133</f>
        <v/>
      </c>
      <c r="D134" s="30" t="inlineStr">
        <is>
          <t>ERROR</t>
        </is>
      </c>
      <c r="E134" s="51">
        <f>IF(ISNUMBER(D134),IF(ISNUMBER(AQ133),ABS(AQ133-D134),"N/A"),"N/A")</f>
        <v/>
      </c>
      <c r="F134" s="15">
        <f>IFERROR(IF(ISNUMBER(D134),IF(ISNUMBER(AQ133),IF(ABS(AQ133-D134)&lt;=0.01,"PASS","FAIL"),"FAIL"),IF(NOT(ISNUMBER(AQ133)),IF(AQ133=D134,"PASS","FAIL"),"FAIL")),"FAIL")</f>
        <v/>
      </c>
      <c r="G134" s="16">
        <f>AR133</f>
        <v/>
      </c>
      <c r="H134" s="30" t="inlineStr">
        <is>
          <t>ERROR</t>
        </is>
      </c>
      <c r="I134" s="15">
        <f>IF(AR133=H134,"PASS","FAIL")</f>
        <v/>
      </c>
    </row>
    <row r="135">
      <c r="B135" s="8" t="inlineStr">
        <is>
          <t>Total Contribution Margin</t>
        </is>
      </c>
      <c r="C135" s="52">
        <f>AS133</f>
        <v/>
      </c>
      <c r="D135" s="30" t="inlineStr">
        <is>
          <t>ERROR</t>
        </is>
      </c>
      <c r="E135" s="51">
        <f>IF(ISNUMBER(D135),IF(ISNUMBER(AS133),ABS(AS133-D135),"N/A"),"N/A")</f>
        <v/>
      </c>
      <c r="F135" s="15">
        <f>IFERROR(IF(ISNUMBER(D135),IF(ISNUMBER(AS133),IF(ABS(AS133-D135)&lt;=0.01,"PASS","FAIL"),"FAIL"),IF(NOT(ISNUMBER(AS133)),IF(AS133=D135,"PASS","FAIL"),"FAIL")),"FAIL")</f>
        <v/>
      </c>
      <c r="G135" s="16">
        <f>AT133</f>
        <v/>
      </c>
      <c r="H135" s="30" t="inlineStr">
        <is>
          <t>ERROR</t>
        </is>
      </c>
      <c r="I135" s="15">
        <f>IF(AT133=H135,"PASS","FAIL")</f>
        <v/>
      </c>
    </row>
    <row r="136">
      <c r="B136" s="8" t="inlineStr">
        <is>
          <t>Operating Profit</t>
        </is>
      </c>
      <c r="C136" s="52">
        <f>AU133</f>
        <v/>
      </c>
      <c r="D136" s="30" t="inlineStr">
        <is>
          <t>ERROR</t>
        </is>
      </c>
      <c r="E136" s="51">
        <f>IF(ISNUMBER(D136),IF(ISNUMBER(AU133),ABS(AU133-D136),"N/A"),"N/A")</f>
        <v/>
      </c>
      <c r="F136" s="15">
        <f>IFERROR(IF(ISNUMBER(D136),IF(ISNUMBER(AU133),IF(ABS(AU133-D136)&lt;=0.01,"PASS","FAIL"),"FAIL"),IF(NOT(ISNUMBER(AU133)),IF(AU133=D136,"PASS","FAIL"),"FAIL")),"FAIL")</f>
        <v/>
      </c>
      <c r="G136" s="16">
        <f>AV133</f>
        <v/>
      </c>
      <c r="H136" s="30" t="inlineStr">
        <is>
          <t>ERROR</t>
        </is>
      </c>
      <c r="I136" s="15">
        <f>IF(AV133=H136,"PASS","FAIL")</f>
        <v/>
      </c>
    </row>
    <row r="137">
      <c r="B137" s="8" t="inlineStr">
        <is>
          <t>Operating Profit Rate</t>
        </is>
      </c>
      <c r="C137" s="54">
        <f>AW133</f>
        <v/>
      </c>
      <c r="D137" s="30" t="inlineStr">
        <is>
          <t>ERROR</t>
        </is>
      </c>
      <c r="E137" s="51">
        <f>IF(ISNUMBER(D137),IF(ISNUMBER(AW133),ABS(AW133-D137),"N/A"),"N/A")</f>
        <v/>
      </c>
      <c r="F137" s="15">
        <f>IFERROR(IF(ISNUMBER(D137),IF(ISNUMBER(AW133),IF(ABS(AW133-D137)&lt;=1e-06,"PASS","FAIL"),"FAIL"),IF(NOT(ISNUMBER(AW133)),IF(AW133=D137,"PASS","FAIL"),"FAIL")),"FAIL")</f>
        <v/>
      </c>
      <c r="G137" s="16">
        <f>AX133</f>
        <v/>
      </c>
      <c r="H137" s="30" t="inlineStr">
        <is>
          <t>ERROR</t>
        </is>
      </c>
      <c r="I137" s="15">
        <f>IF(AX133=H137,"PASS","FAIL")</f>
        <v/>
      </c>
    </row>
    <row r="138">
      <c r="B138" s="8" t="inlineStr">
        <is>
          <t>Break-Even Quantity (Q_BEP)</t>
        </is>
      </c>
      <c r="C138" s="25">
        <f>AY133</f>
        <v/>
      </c>
      <c r="D138" s="21" t="n">
        <v>138.4736428009442</v>
      </c>
      <c r="E138" s="51">
        <f>IF(ISNUMBER(D138),IF(ISNUMBER(AY133),ABS(AY133-D138),"N/A"),"N/A")</f>
        <v/>
      </c>
      <c r="F138" s="15">
        <f>IFERROR(IF(ISNUMBER(D138),IF(ISNUMBER(AY133),IF(ABS(AY133-D138)&lt;=0.01,"PASS","FAIL"),"FAIL"),IF(NOT(ISNUMBER(AY133)),IF(AY133=D138,"PASS","FAIL"),"FAIL")),"FAIL")</f>
        <v/>
      </c>
      <c r="G138" s="16">
        <f>AZ133</f>
        <v/>
      </c>
      <c r="H138" s="30" t="inlineStr">
        <is>
          <t>OK</t>
        </is>
      </c>
      <c r="I138" s="15">
        <f>IF(AZ133=H138,"PASS","FAIL")</f>
        <v/>
      </c>
    </row>
    <row r="139">
      <c r="B139" s="8" t="inlineStr">
        <is>
          <t>Margin of Safety Quantity</t>
        </is>
      </c>
      <c r="C139" s="25">
        <f>BA133</f>
        <v/>
      </c>
      <c r="D139" s="30" t="inlineStr">
        <is>
          <t>ERROR</t>
        </is>
      </c>
      <c r="E139" s="51">
        <f>IF(ISNUMBER(D139),IF(ISNUMBER(BA133),ABS(BA133-D139),"N/A"),"N/A")</f>
        <v/>
      </c>
      <c r="F139" s="15">
        <f>IFERROR(IF(ISNUMBER(D139),IF(ISNUMBER(BA133),IF(ABS(BA133-D139)&lt;=0.01,"PASS","FAIL"),"FAIL"),IF(NOT(ISNUMBER(BA133)),IF(BA133=D139,"PASS","FAIL"),"FAIL")),"FAIL")</f>
        <v/>
      </c>
      <c r="G139" s="16">
        <f>BB133</f>
        <v/>
      </c>
      <c r="H139" s="30" t="inlineStr">
        <is>
          <t>ERROR</t>
        </is>
      </c>
      <c r="I139" s="15">
        <f>IF(BB133=H139,"PASS","FAIL")</f>
        <v/>
      </c>
    </row>
    <row r="140">
      <c r="B140" s="8" t="inlineStr">
        <is>
          <t>Margin of Safety Rate</t>
        </is>
      </c>
      <c r="C140" s="54">
        <f>BC133</f>
        <v/>
      </c>
      <c r="D140" s="30" t="inlineStr">
        <is>
          <t>ERROR</t>
        </is>
      </c>
      <c r="E140" s="51">
        <f>IF(ISNUMBER(D140),IF(ISNUMBER(BC133),ABS(BC133-D140),"N/A"),"N/A")</f>
        <v/>
      </c>
      <c r="F140" s="15">
        <f>IFERROR(IF(ISNUMBER(D140),IF(ISNUMBER(BC133),IF(ABS(BC133-D140)&lt;=1e-06,"PASS","FAIL"),"FAIL"),IF(NOT(ISNUMBER(BC133)),IF(BC133=D140,"PASS","FAIL"),"FAIL")),"FAIL")</f>
        <v/>
      </c>
      <c r="G140" s="16">
        <f>BD133</f>
        <v/>
      </c>
      <c r="H140" s="30" t="inlineStr">
        <is>
          <t>ERROR</t>
        </is>
      </c>
      <c r="I140" s="15">
        <f>IF(BD133=H140,"PASS","FAIL")</f>
        <v/>
      </c>
    </row>
    <row r="141">
      <c r="B141" s="8" t="inlineStr">
        <is>
          <t>Module Status</t>
        </is>
      </c>
      <c r="C141" s="16">
        <f>BE133</f>
        <v/>
      </c>
      <c r="D141" s="30" t="inlineStr">
        <is>
          <t>ERROR</t>
        </is>
      </c>
      <c r="F141" s="15">
        <f>IF(BE133=D141,"PASS","FAIL")</f>
        <v/>
      </c>
    </row>
    <row r="142">
      <c r="B142" s="8" t="inlineStr">
        <is>
          <t>Analysis Period Basis</t>
        </is>
      </c>
      <c r="C142" s="16">
        <f>BF133</f>
        <v/>
      </c>
      <c r="D142" s="30" t="inlineStr">
        <is>
          <t>per_month</t>
        </is>
      </c>
      <c r="F142" s="15">
        <f>IF(BF133=D142,"PASS","FAIL")</f>
        <v/>
      </c>
    </row>
    <row r="143">
      <c r="B143" s="8" t="inlineStr">
        <is>
          <t>Self-Check: |MoS qty × CMu − Operating Profit| ≤ tol</t>
        </is>
      </c>
      <c r="C143" s="36">
        <f>IF(OR(NOT(ISNUMBER(BA133)),NOT(ISNUMBER(AN133)),NOT(ISNUMBER(AU133))),"SKIP",IF(ABS(BA133*AN133-AU133)&lt;=0.01,"PASS","FAIL"))</f>
        <v/>
      </c>
      <c r="D143" s="34" t="n"/>
      <c r="F143" s="15">
        <f>IF(C143="FAIL","FAIL","PASS")</f>
        <v/>
      </c>
    </row>
    <row r="145" ht="20" customHeight="1">
      <c r="B145" s="2" t="inlineStr">
        <is>
          <t>V11. CMu &lt; 0: loss, break-even NOT_APPLICABLE</t>
        </is>
      </c>
      <c r="C145" s="7" t="n"/>
      <c r="D145" s="7" t="n"/>
      <c r="E145" s="7" t="n"/>
      <c r="F145" s="7" t="n"/>
      <c r="G145" s="7" t="n"/>
      <c r="H145" s="7" t="n"/>
      <c r="I145" s="7" t="n"/>
    </row>
    <row r="146">
      <c r="B146" s="4" t="inlineStr">
        <is>
          <t>Metric</t>
        </is>
      </c>
      <c r="C146" s="4" t="inlineStr">
        <is>
          <t>Excel Result</t>
        </is>
      </c>
      <c r="D146" s="4" t="inlineStr">
        <is>
          <t>Python Reference</t>
        </is>
      </c>
      <c r="E146" s="4" t="inlineStr">
        <is>
          <t>Difference</t>
        </is>
      </c>
      <c r="F146" s="4" t="inlineStr">
        <is>
          <t>PASS / FAIL</t>
        </is>
      </c>
      <c r="G146" s="4" t="inlineStr">
        <is>
          <t>Excel Status</t>
        </is>
      </c>
      <c r="H146" s="4" t="inlineStr">
        <is>
          <t>Python Status</t>
        </is>
      </c>
      <c r="I146" s="4" t="inlineStr">
        <is>
          <t>Status PASS</t>
        </is>
      </c>
    </row>
    <row r="147">
      <c r="B147" s="8" t="inlineStr">
        <is>
          <t>Planned Quantity (units)</t>
        </is>
      </c>
      <c r="C147" s="25">
        <f>AO147</f>
        <v/>
      </c>
      <c r="D147" s="21" t="n">
        <v>10</v>
      </c>
      <c r="E147" s="51">
        <f>IF(ISNUMBER(D147),IF(ISNUMBER(AO147),ABS(AO147-D147),"N/A"),"N/A")</f>
        <v/>
      </c>
      <c r="F147" s="15">
        <f>IFERROR(IF(ISNUMBER(D147),IF(ISNUMBER(AO147),IF(ABS(AO147-D147)&lt;=0.01,"PASS","FAIL"),"FAIL"),IF(NOT(ISNUMBER(AO147)),IF(AO147=D147,"PASS","FAIL"),"FAIL")),"FAIL")</f>
        <v/>
      </c>
      <c r="G147" s="16">
        <f>AP147</f>
        <v/>
      </c>
      <c r="H147" s="30" t="inlineStr">
        <is>
          <t>OK</t>
        </is>
      </c>
      <c r="I147" s="15">
        <f>IF(AP147=H147,"PASS","FAIL")</f>
        <v/>
      </c>
      <c r="M147" t="n">
        <v>1000</v>
      </c>
      <c r="N147" t="b">
        <v>0</v>
      </c>
      <c r="P147" t="n">
        <v>1200</v>
      </c>
      <c r="Q147" t="n">
        <v>0</v>
      </c>
      <c r="R147" t="b">
        <v>0</v>
      </c>
      <c r="S147" t="n">
        <v>0</v>
      </c>
      <c r="T147" t="n">
        <v>0</v>
      </c>
      <c r="U147" t="n">
        <v>50000</v>
      </c>
      <c r="V147" t="inlineStr">
        <is>
          <t>per_month</t>
        </is>
      </c>
      <c r="W147" t="inlineStr">
        <is>
          <t>component</t>
        </is>
      </c>
      <c r="X147" t="inlineStr">
        <is>
          <t>consistent</t>
        </is>
      </c>
      <c r="Y147" t="n">
        <v>1</v>
      </c>
      <c r="Z147" t="inlineStr">
        <is>
          <t>present</t>
        </is>
      </c>
      <c r="AA147" t="n">
        <v>10</v>
      </c>
      <c r="AB147" t="inlineStr">
        <is>
          <t>per_month</t>
        </is>
      </c>
      <c r="AD147">
        <f>IFERROR(IF(ISBLANK($M$147),"UNKNOWN",IF(ISBLANK($N$147),"UNKNOWN",IF($N$147=FALSE,$M$147,IF(ISBLANK($O$147),"UNKNOWN",$M$147/(1+$O$147))))),"ERROR")</f>
        <v/>
      </c>
      <c r="AE147">
        <f>IFERROR(IF(ISBLANK($M$147),"UNKNOWN",IF(ISBLANK($N$147),"UNKNOWN",IF($N$147=TRUE,$M$147,IF(ISBLANK($O$147),"UNKNOWN",$M$147*(1+$O$147))))),"ERROR")</f>
        <v/>
      </c>
      <c r="AF147">
        <f>IF($Y$147&gt;1,"ERROR",IFERROR(IF(AD147="ERROR","ERROR",IF(OR(NOT(ISNUMBER(AD147)),ISBLANK($P$147),ISBLANK($Q$147),ISBLANK($S$147),ISBLANK($T$147)),"UNKNOWN",IF($T$147&gt;0,IF(AE147="ERROR","ERROR",IF(NOT(ISNUMBER(AE147)),"UNKNOWN",AD147-$P$147-$Q$147-$S$147*AD147-$T$147*AE147)),AD147-$P$147-$Q$147-$S$147*AD147))),"ERROR"))</f>
        <v/>
      </c>
      <c r="AG147">
        <f>IF($Y$147&gt;1,"ERROR",IFERROR(IF($W$147="invalid_direct","ERROR",IF($X$147="inconsistent","ERROR",IF($W$147="none",0,IF(OR($W$147="unresolved",$W$147="blended_only"),"UNKNOWN",IF(ISBLANK($U$147),"UNKNOWN",IF($U$147&lt;0,"ERROR",$U$147)))))),"ERROR"))</f>
        <v/>
      </c>
      <c r="AH147">
        <f>IF($Y$147&gt;1,"",IF(OR($W$147="invalid_direct",$X$147="inconsistent"),"",IF($W$147="none","",IF(OR($W$147="unresolved",$W$147="blended_only"),"",IF(ISBLANK($U$147),"",IF($U$147&lt;0,"",$V$147))))))</f>
        <v/>
      </c>
      <c r="AI147">
        <f>IF($Y$147&gt;1,"ERROR",IFERROR(IF(OR(AF147="ERROR",AG147="ERROR"),"ERROR",IF(OR(NOT(ISNUMBER(AF147)),NOT(ISNUMBER(AG147))),"UNKNOWN",IF(AF147&lt;=0,"NOT_APPLICABLE",AG147/AF147))),"ERROR"))</f>
        <v/>
      </c>
      <c r="AJ147">
        <f>IF($Y$147&gt;1,"MULTI_COMPONENT_BEP_NOT_SUPPORTED",IF($W$147="invalid_direct","INVALID_ALLOCATION_CONFIGURATION",IF($X$147="inconsistent","INCONSISTENT_FIXED_COST_BASIS",IF(AND($W$147="component",NOT(ISBLANK($U$147)),$U$147&lt;0),"INVALID_NEGATIVE_COST",IF(AF147="ERROR","CALCULATION_ERROR",IF($W$147="blended_only","FIXED_COST_BLENDED_ONLY_NOT_ALLOCATED",IF($W$147="unresolved","UNSUPPORTED_SHARED_COST_ALLOCATION",IF(NOT(ISNUMBER(AF147)),"MISSING_DEPENDENCY",IF(AND($W$147="component",ISBLANK($U$147)),"MISSING_DEPENDENCY",IF(AND(AF147=0,AG147=0),"BREAK_EVEN_UNDEFINED_ZERO_MARGIN_ZERO_FIXED_COST",IF(AF147=0,"BREAK_EVEN_UNDEFINED_ZERO_MARGIN",IF(AF147&lt;0,"BREAK_EVEN_UNDEFINED_NEGATIVE_MARGIN","NONE"))))))))))))</f>
        <v/>
      </c>
      <c r="AK147">
        <f>IF(AND(NOT(ISBLANK($AA$147)),$AA$147&lt;0),"ERROR",IF(AND($AB$147&lt;&gt;"",$AB$147&lt;&gt;"per_month"),"ERROR",IF(OR(ISBLANK($AA$147),$AB$147=""),"UNKNOWN",$AA$147)))</f>
        <v/>
      </c>
      <c r="AL147">
        <f>IF(AND(ISNUMBER(AG147),AH147&lt;&gt;"",AH147&lt;&gt;"per_month"),"ERROR",AG147)</f>
        <v/>
      </c>
      <c r="AM147">
        <f>IF(ISBLANK($AC$147),"none",IF(AND(ISNUMBER($AC$147),$AC$147&gt;0),"valid","invalid"))</f>
        <v/>
      </c>
      <c r="AN147">
        <f>IF(AM147="invalid","ERROR",IF(AND(AM147="valid",$R$147=TRUE,ISNUMBER(AF147)),AF147+$Q$147*(1-1/$AC$147),AF147))</f>
        <v/>
      </c>
      <c r="AO147">
        <f>IF($Z$147="absent","NOT_RUN",IF($Y$147&gt;1,"ERROR",AK147))</f>
        <v/>
      </c>
      <c r="AP147">
        <f>IF(ISNUMBER(AO147),"OK",AO147)</f>
        <v/>
      </c>
      <c r="AQ147">
        <f>IF($Z$147="absent","NOT_RUN",IF($Y$147&gt;1,"ERROR",IFERROR(IF(OR(AK147="ERROR",AD147="ERROR"),"ERROR",IF(OR(NOT(ISNUMBER(AK147)),NOT(ISNUMBER(AD147))),"UNKNOWN",AD147*AK147)),"ERROR")))</f>
        <v/>
      </c>
      <c r="AR147">
        <f>IF(ISNUMBER(AQ147),"OK",AQ147)</f>
        <v/>
      </c>
      <c r="AS147">
        <f>IF($Z$147="absent","NOT_RUN",IF($Y$147&gt;1,"ERROR",IFERROR(IF(OR(AK147="ERROR",AN147="ERROR"),"ERROR",IF(OR(NOT(ISNUMBER(AK147)),NOT(ISNUMBER(AN147))),"UNKNOWN",AN147*AK147)),"ERROR")))</f>
        <v/>
      </c>
      <c r="AT147">
        <f>IF(ISNUMBER(AS147),IF(AND($R$147=TRUE,AM147="none"),"ESTIMATED","OK"),AS147)</f>
        <v/>
      </c>
      <c r="AU147">
        <f>IF($Z$147="absent","NOT_RUN",IF($Y$147&gt;1,"ERROR",IFERROR(IF(OR(AK147="ERROR",AN147="ERROR",AL147="ERROR"),"ERROR",IF(OR(NOT(ISNUMBER(AK147)),NOT(ISNUMBER(AN147)),NOT(ISNUMBER(AL147))),"UNKNOWN",AN147*AK147-AL147)),"ERROR")))</f>
        <v/>
      </c>
      <c r="AV147">
        <f>IF(ISNUMBER(AU147),IF(AND($R$147=TRUE,AM147="none"),"ESTIMATED","OK"),AU147)</f>
        <v/>
      </c>
      <c r="AW147">
        <f>IF($Z$147="absent","NOT_RUN",IF($Y$147&gt;1,"ERROR",IFERROR(IF(OR(AU147="ERROR",AQ147="ERROR"),"ERROR",IF(OR(NOT(ISNUMBER(AU147)),NOT(ISNUMBER(AQ147))),"UNKNOWN",IF(AQ147=0,"NOT_APPLICABLE",AU147/AQ147))),"ERROR")))</f>
        <v/>
      </c>
      <c r="AX147">
        <f>IF(ISNUMBER(AW147),IF(AND($R$147=TRUE,AM147="none"),"ESTIMATED","OK"),AW147)</f>
        <v/>
      </c>
      <c r="AY147">
        <f>IF($Z$147="absent","NOT_RUN",IF($Y$147&gt;1,"ERROR",IFERROR(IF(OR(AN147="ERROR",AL147="ERROR"),"ERROR",IF(OR(NOT(ISNUMBER(AN147)),NOT(ISNUMBER(AL147))),"UNKNOWN",IF(AN147&lt;=0,"NOT_APPLICABLE",AL147/AN147))),"ERROR")))</f>
        <v/>
      </c>
      <c r="AZ147">
        <f>IF(ISNUMBER(AY147),IF(AND($R$147=TRUE,AM147="none"),"ESTIMATED","OK"),AY147)</f>
        <v/>
      </c>
      <c r="BA147">
        <f>IF($Z$147="absent","NOT_RUN",IF($Y$147&gt;1,"ERROR",IFERROR(IF(OR(AK147="ERROR",AN147="ERROR",AL147="ERROR"),"ERROR",IF(OR(NOT(ISNUMBER(AK147)),NOT(ISNUMBER(AN147)),NOT(ISNUMBER(AL147))),"UNKNOWN",IF(AN147&lt;=0,"NOT_APPLICABLE",AK147-AY147))),"ERROR")))</f>
        <v/>
      </c>
      <c r="BB147">
        <f>IF(ISNUMBER(BA147),IF(AND($R$147=TRUE,AM147="none"),"ESTIMATED","OK"),BA147)</f>
        <v/>
      </c>
      <c r="BC147">
        <f>IF($Z$147="absent","NOT_RUN",IF($Y$147&gt;1,"ERROR",IFERROR(IF(OR(AK147="ERROR",AN147="ERROR",AL147="ERROR"),"ERROR",IF(OR(NOT(ISNUMBER(AK147)),NOT(ISNUMBER(AN147)),NOT(ISNUMBER(AL147))),"UNKNOWN",IF(OR(AN147&lt;=0,AK147=0),"NOT_APPLICABLE",(AK147-AY147)/AK147))),"ERROR")))</f>
        <v/>
      </c>
      <c r="BD147">
        <f>IF(ISNUMBER(BC147),IF(AND($R$147=TRUE,AM147="none"),"ESTIMATED","OK"),BC147)</f>
        <v/>
      </c>
      <c r="BE147">
        <f>IF($Z$147="absent","NOT_RUN",IF(OR(AP147="ERROR",AR147="ERROR",AT147="ERROR",AV147="ERROR",AX147="ERROR",AZ147="ERROR",BB147="ERROR",BD147="ERROR"),"ERROR",IF(OR(AP147="UNKNOWN",AR147="UNKNOWN",AT147="UNKNOWN",AV147="UNKNOWN",AX147="UNKNOWN",AZ147="UNKNOWN",BB147="UNKNOWN",BD147="UNKNOWN"),"INCOMPLETE","OK")))</f>
        <v/>
      </c>
      <c r="BF147">
        <f>IF($Z$147="absent","",AH147)</f>
        <v/>
      </c>
    </row>
    <row r="148">
      <c r="B148" s="8" t="inlineStr">
        <is>
          <t>Total Net Sales ex VAT</t>
        </is>
      </c>
      <c r="C148" s="52">
        <f>AQ147</f>
        <v/>
      </c>
      <c r="D148" s="53" t="n">
        <v>10000</v>
      </c>
      <c r="E148" s="51">
        <f>IF(ISNUMBER(D148),IF(ISNUMBER(AQ147),ABS(AQ147-D148),"N/A"),"N/A")</f>
        <v/>
      </c>
      <c r="F148" s="15">
        <f>IFERROR(IF(ISNUMBER(D148),IF(ISNUMBER(AQ147),IF(ABS(AQ147-D148)&lt;=0.01,"PASS","FAIL"),"FAIL"),IF(NOT(ISNUMBER(AQ147)),IF(AQ147=D148,"PASS","FAIL"),"FAIL")),"FAIL")</f>
        <v/>
      </c>
      <c r="G148" s="16">
        <f>AR147</f>
        <v/>
      </c>
      <c r="H148" s="30" t="inlineStr">
        <is>
          <t>OK</t>
        </is>
      </c>
      <c r="I148" s="15">
        <f>IF(AR147=H148,"PASS","FAIL")</f>
        <v/>
      </c>
    </row>
    <row r="149">
      <c r="B149" s="8" t="inlineStr">
        <is>
          <t>Total Contribution Margin</t>
        </is>
      </c>
      <c r="C149" s="52">
        <f>AS147</f>
        <v/>
      </c>
      <c r="D149" s="53" t="n">
        <v>-2000</v>
      </c>
      <c r="E149" s="51">
        <f>IF(ISNUMBER(D149),IF(ISNUMBER(AS147),ABS(AS147-D149),"N/A"),"N/A")</f>
        <v/>
      </c>
      <c r="F149" s="15">
        <f>IFERROR(IF(ISNUMBER(D149),IF(ISNUMBER(AS147),IF(ABS(AS147-D149)&lt;=0.01,"PASS","FAIL"),"FAIL"),IF(NOT(ISNUMBER(AS147)),IF(AS147=D149,"PASS","FAIL"),"FAIL")),"FAIL")</f>
        <v/>
      </c>
      <c r="G149" s="16">
        <f>AT147</f>
        <v/>
      </c>
      <c r="H149" s="30" t="inlineStr">
        <is>
          <t>OK</t>
        </is>
      </c>
      <c r="I149" s="15">
        <f>IF(AT147=H149,"PASS","FAIL")</f>
        <v/>
      </c>
    </row>
    <row r="150">
      <c r="B150" s="8" t="inlineStr">
        <is>
          <t>Operating Profit</t>
        </is>
      </c>
      <c r="C150" s="52">
        <f>AU147</f>
        <v/>
      </c>
      <c r="D150" s="53" t="n">
        <v>-52000</v>
      </c>
      <c r="E150" s="51">
        <f>IF(ISNUMBER(D150),IF(ISNUMBER(AU147),ABS(AU147-D150),"N/A"),"N/A")</f>
        <v/>
      </c>
      <c r="F150" s="15">
        <f>IFERROR(IF(ISNUMBER(D150),IF(ISNUMBER(AU147),IF(ABS(AU147-D150)&lt;=0.01,"PASS","FAIL"),"FAIL"),IF(NOT(ISNUMBER(AU147)),IF(AU147=D150,"PASS","FAIL"),"FAIL")),"FAIL")</f>
        <v/>
      </c>
      <c r="G150" s="16">
        <f>AV147</f>
        <v/>
      </c>
      <c r="H150" s="30" t="inlineStr">
        <is>
          <t>OK</t>
        </is>
      </c>
      <c r="I150" s="15">
        <f>IF(AV147=H150,"PASS","FAIL")</f>
        <v/>
      </c>
    </row>
    <row r="151">
      <c r="B151" s="8" t="inlineStr">
        <is>
          <t>Operating Profit Rate</t>
        </is>
      </c>
      <c r="C151" s="54">
        <f>AW147</f>
        <v/>
      </c>
      <c r="D151" s="55" t="n">
        <v>-5.2</v>
      </c>
      <c r="E151" s="51">
        <f>IF(ISNUMBER(D151),IF(ISNUMBER(AW147),ABS(AW147-D151),"N/A"),"N/A")</f>
        <v/>
      </c>
      <c r="F151" s="15">
        <f>IFERROR(IF(ISNUMBER(D151),IF(ISNUMBER(AW147),IF(ABS(AW147-D151)&lt;=1e-06,"PASS","FAIL"),"FAIL"),IF(NOT(ISNUMBER(AW147)),IF(AW147=D151,"PASS","FAIL"),"FAIL")),"FAIL")</f>
        <v/>
      </c>
      <c r="G151" s="16">
        <f>AX147</f>
        <v/>
      </c>
      <c r="H151" s="30" t="inlineStr">
        <is>
          <t>OK</t>
        </is>
      </c>
      <c r="I151" s="15">
        <f>IF(AX147=H151,"PASS","FAIL")</f>
        <v/>
      </c>
    </row>
    <row r="152">
      <c r="B152" s="8" t="inlineStr">
        <is>
          <t>Break-Even Quantity (Q_BEP)</t>
        </is>
      </c>
      <c r="C152" s="25">
        <f>AY147</f>
        <v/>
      </c>
      <c r="D152" s="30" t="inlineStr">
        <is>
          <t>NOT_APPLICABLE</t>
        </is>
      </c>
      <c r="E152" s="51">
        <f>IF(ISNUMBER(D152),IF(ISNUMBER(AY147),ABS(AY147-D152),"N/A"),"N/A")</f>
        <v/>
      </c>
      <c r="F152" s="15">
        <f>IFERROR(IF(ISNUMBER(D152),IF(ISNUMBER(AY147),IF(ABS(AY147-D152)&lt;=0.01,"PASS","FAIL"),"FAIL"),IF(NOT(ISNUMBER(AY147)),IF(AY147=D152,"PASS","FAIL"),"FAIL")),"FAIL")</f>
        <v/>
      </c>
      <c r="G152" s="16">
        <f>AZ147</f>
        <v/>
      </c>
      <c r="H152" s="30" t="inlineStr">
        <is>
          <t>NOT_APPLICABLE</t>
        </is>
      </c>
      <c r="I152" s="15">
        <f>IF(AZ147=H152,"PASS","FAIL")</f>
        <v/>
      </c>
    </row>
    <row r="153">
      <c r="B153" s="8" t="inlineStr">
        <is>
          <t>Margin of Safety Quantity</t>
        </is>
      </c>
      <c r="C153" s="25">
        <f>BA147</f>
        <v/>
      </c>
      <c r="D153" s="30" t="inlineStr">
        <is>
          <t>NOT_APPLICABLE</t>
        </is>
      </c>
      <c r="E153" s="51">
        <f>IF(ISNUMBER(D153),IF(ISNUMBER(BA147),ABS(BA147-D153),"N/A"),"N/A")</f>
        <v/>
      </c>
      <c r="F153" s="15">
        <f>IFERROR(IF(ISNUMBER(D153),IF(ISNUMBER(BA147),IF(ABS(BA147-D153)&lt;=0.01,"PASS","FAIL"),"FAIL"),IF(NOT(ISNUMBER(BA147)),IF(BA147=D153,"PASS","FAIL"),"FAIL")),"FAIL")</f>
        <v/>
      </c>
      <c r="G153" s="16">
        <f>BB147</f>
        <v/>
      </c>
      <c r="H153" s="30" t="inlineStr">
        <is>
          <t>NOT_APPLICABLE</t>
        </is>
      </c>
      <c r="I153" s="15">
        <f>IF(BB147=H153,"PASS","FAIL")</f>
        <v/>
      </c>
    </row>
    <row r="154">
      <c r="B154" s="8" t="inlineStr">
        <is>
          <t>Margin of Safety Rate</t>
        </is>
      </c>
      <c r="C154" s="54">
        <f>BC147</f>
        <v/>
      </c>
      <c r="D154" s="30" t="inlineStr">
        <is>
          <t>NOT_APPLICABLE</t>
        </is>
      </c>
      <c r="E154" s="51">
        <f>IF(ISNUMBER(D154),IF(ISNUMBER(BC147),ABS(BC147-D154),"N/A"),"N/A")</f>
        <v/>
      </c>
      <c r="F154" s="15">
        <f>IFERROR(IF(ISNUMBER(D154),IF(ISNUMBER(BC147),IF(ABS(BC147-D154)&lt;=1e-06,"PASS","FAIL"),"FAIL"),IF(NOT(ISNUMBER(BC147)),IF(BC147=D154,"PASS","FAIL"),"FAIL")),"FAIL")</f>
        <v/>
      </c>
      <c r="G154" s="16">
        <f>BD147</f>
        <v/>
      </c>
      <c r="H154" s="30" t="inlineStr">
        <is>
          <t>NOT_APPLICABLE</t>
        </is>
      </c>
      <c r="I154" s="15">
        <f>IF(BD147=H154,"PASS","FAIL")</f>
        <v/>
      </c>
    </row>
    <row r="155">
      <c r="B155" s="8" t="inlineStr">
        <is>
          <t>Module Status</t>
        </is>
      </c>
      <c r="C155" s="16">
        <f>BE147</f>
        <v/>
      </c>
      <c r="D155" s="30" t="inlineStr">
        <is>
          <t>OK</t>
        </is>
      </c>
      <c r="F155" s="15">
        <f>IF(BE147=D155,"PASS","FAIL")</f>
        <v/>
      </c>
    </row>
    <row r="156">
      <c r="B156" s="8" t="inlineStr">
        <is>
          <t>Analysis Period Basis</t>
        </is>
      </c>
      <c r="C156" s="16">
        <f>BF147</f>
        <v/>
      </c>
      <c r="D156" s="30" t="inlineStr">
        <is>
          <t>per_month</t>
        </is>
      </c>
      <c r="F156" s="15">
        <f>IF(BF147=D156,"PASS","FAIL")</f>
        <v/>
      </c>
    </row>
    <row r="157">
      <c r="B157" s="8" t="inlineStr">
        <is>
          <t>Self-Check: |MoS qty × CMu − Operating Profit| ≤ tol</t>
        </is>
      </c>
      <c r="C157" s="36">
        <f>IF(OR(NOT(ISNUMBER(BA147)),NOT(ISNUMBER(AN147)),NOT(ISNUMBER(AU147))),"SKIP",IF(ABS(BA147*AN147-AU147)&lt;=0.01,"PASS","FAIL"))</f>
        <v/>
      </c>
      <c r="D157" s="34" t="n"/>
      <c r="F157" s="15">
        <f>IF(C157="FAIL","FAIL","PASS")</f>
        <v/>
      </c>
    </row>
    <row r="159" ht="20" customHeight="1">
      <c r="B159" s="2" t="inlineStr">
        <is>
          <t>V12. CMu = 0, FC &gt; 0</t>
        </is>
      </c>
      <c r="C159" s="7" t="n"/>
      <c r="D159" s="7" t="n"/>
      <c r="E159" s="7" t="n"/>
      <c r="F159" s="7" t="n"/>
      <c r="G159" s="7" t="n"/>
      <c r="H159" s="7" t="n"/>
      <c r="I159" s="7" t="n"/>
    </row>
    <row r="160">
      <c r="B160" s="4" t="inlineStr">
        <is>
          <t>Metric</t>
        </is>
      </c>
      <c r="C160" s="4" t="inlineStr">
        <is>
          <t>Excel Result</t>
        </is>
      </c>
      <c r="D160" s="4" t="inlineStr">
        <is>
          <t>Python Reference</t>
        </is>
      </c>
      <c r="E160" s="4" t="inlineStr">
        <is>
          <t>Difference</t>
        </is>
      </c>
      <c r="F160" s="4" t="inlineStr">
        <is>
          <t>PASS / FAIL</t>
        </is>
      </c>
      <c r="G160" s="4" t="inlineStr">
        <is>
          <t>Excel Status</t>
        </is>
      </c>
      <c r="H160" s="4" t="inlineStr">
        <is>
          <t>Python Status</t>
        </is>
      </c>
      <c r="I160" s="4" t="inlineStr">
        <is>
          <t>Status PASS</t>
        </is>
      </c>
    </row>
    <row r="161">
      <c r="B161" s="8" t="inlineStr">
        <is>
          <t>Planned Quantity (units)</t>
        </is>
      </c>
      <c r="C161" s="25">
        <f>AO161</f>
        <v/>
      </c>
      <c r="D161" s="21" t="n">
        <v>10</v>
      </c>
      <c r="E161" s="51">
        <f>IF(ISNUMBER(D161),IF(ISNUMBER(AO161),ABS(AO161-D161),"N/A"),"N/A")</f>
        <v/>
      </c>
      <c r="F161" s="15">
        <f>IFERROR(IF(ISNUMBER(D161),IF(ISNUMBER(AO161),IF(ABS(AO161-D161)&lt;=0.01,"PASS","FAIL"),"FAIL"),IF(NOT(ISNUMBER(AO161)),IF(AO161=D161,"PASS","FAIL"),"FAIL")),"FAIL")</f>
        <v/>
      </c>
      <c r="G161" s="16">
        <f>AP161</f>
        <v/>
      </c>
      <c r="H161" s="30" t="inlineStr">
        <is>
          <t>OK</t>
        </is>
      </c>
      <c r="I161" s="15">
        <f>IF(AP161=H161,"PASS","FAIL")</f>
        <v/>
      </c>
      <c r="M161" t="n">
        <v>1000</v>
      </c>
      <c r="N161" t="b">
        <v>0</v>
      </c>
      <c r="P161" t="n">
        <v>1000</v>
      </c>
      <c r="Q161" t="n">
        <v>0</v>
      </c>
      <c r="R161" t="b">
        <v>0</v>
      </c>
      <c r="S161" t="n">
        <v>0</v>
      </c>
      <c r="T161" t="n">
        <v>0</v>
      </c>
      <c r="U161" t="n">
        <v>50000</v>
      </c>
      <c r="V161" t="inlineStr">
        <is>
          <t>per_month</t>
        </is>
      </c>
      <c r="W161" t="inlineStr">
        <is>
          <t>component</t>
        </is>
      </c>
      <c r="X161" t="inlineStr">
        <is>
          <t>consistent</t>
        </is>
      </c>
      <c r="Y161" t="n">
        <v>1</v>
      </c>
      <c r="Z161" t="inlineStr">
        <is>
          <t>present</t>
        </is>
      </c>
      <c r="AA161" t="n">
        <v>10</v>
      </c>
      <c r="AB161" t="inlineStr">
        <is>
          <t>per_month</t>
        </is>
      </c>
      <c r="AD161">
        <f>IFERROR(IF(ISBLANK($M$161),"UNKNOWN",IF(ISBLANK($N$161),"UNKNOWN",IF($N$161=FALSE,$M$161,IF(ISBLANK($O$161),"UNKNOWN",$M$161/(1+$O$161))))),"ERROR")</f>
        <v/>
      </c>
      <c r="AE161">
        <f>IFERROR(IF(ISBLANK($M$161),"UNKNOWN",IF(ISBLANK($N$161),"UNKNOWN",IF($N$161=TRUE,$M$161,IF(ISBLANK($O$161),"UNKNOWN",$M$161*(1+$O$161))))),"ERROR")</f>
        <v/>
      </c>
      <c r="AF161">
        <f>IF($Y$161&gt;1,"ERROR",IFERROR(IF(AD161="ERROR","ERROR",IF(OR(NOT(ISNUMBER(AD161)),ISBLANK($P$161),ISBLANK($Q$161),ISBLANK($S$161),ISBLANK($T$161)),"UNKNOWN",IF($T$161&gt;0,IF(AE161="ERROR","ERROR",IF(NOT(ISNUMBER(AE161)),"UNKNOWN",AD161-$P$161-$Q$161-$S$161*AD161-$T$161*AE161)),AD161-$P$161-$Q$161-$S$161*AD161))),"ERROR"))</f>
        <v/>
      </c>
      <c r="AG161">
        <f>IF($Y$161&gt;1,"ERROR",IFERROR(IF($W$161="invalid_direct","ERROR",IF($X$161="inconsistent","ERROR",IF($W$161="none",0,IF(OR($W$161="unresolved",$W$161="blended_only"),"UNKNOWN",IF(ISBLANK($U$161),"UNKNOWN",IF($U$161&lt;0,"ERROR",$U$161)))))),"ERROR"))</f>
        <v/>
      </c>
      <c r="AH161">
        <f>IF($Y$161&gt;1,"",IF(OR($W$161="invalid_direct",$X$161="inconsistent"),"",IF($W$161="none","",IF(OR($W$161="unresolved",$W$161="blended_only"),"",IF(ISBLANK($U$161),"",IF($U$161&lt;0,"",$V$161))))))</f>
        <v/>
      </c>
      <c r="AI161">
        <f>IF($Y$161&gt;1,"ERROR",IFERROR(IF(OR(AF161="ERROR",AG161="ERROR"),"ERROR",IF(OR(NOT(ISNUMBER(AF161)),NOT(ISNUMBER(AG161))),"UNKNOWN",IF(AF161&lt;=0,"NOT_APPLICABLE",AG161/AF161))),"ERROR"))</f>
        <v/>
      </c>
      <c r="AJ161">
        <f>IF($Y$161&gt;1,"MULTI_COMPONENT_BEP_NOT_SUPPORTED",IF($W$161="invalid_direct","INVALID_ALLOCATION_CONFIGURATION",IF($X$161="inconsistent","INCONSISTENT_FIXED_COST_BASIS",IF(AND($W$161="component",NOT(ISBLANK($U$161)),$U$161&lt;0),"INVALID_NEGATIVE_COST",IF(AF161="ERROR","CALCULATION_ERROR",IF($W$161="blended_only","FIXED_COST_BLENDED_ONLY_NOT_ALLOCATED",IF($W$161="unresolved","UNSUPPORTED_SHARED_COST_ALLOCATION",IF(NOT(ISNUMBER(AF161)),"MISSING_DEPENDENCY",IF(AND($W$161="component",ISBLANK($U$161)),"MISSING_DEPENDENCY",IF(AND(AF161=0,AG161=0),"BREAK_EVEN_UNDEFINED_ZERO_MARGIN_ZERO_FIXED_COST",IF(AF161=0,"BREAK_EVEN_UNDEFINED_ZERO_MARGIN",IF(AF161&lt;0,"BREAK_EVEN_UNDEFINED_NEGATIVE_MARGIN","NONE"))))))))))))</f>
        <v/>
      </c>
      <c r="AK161">
        <f>IF(AND(NOT(ISBLANK($AA$161)),$AA$161&lt;0),"ERROR",IF(AND($AB$161&lt;&gt;"",$AB$161&lt;&gt;"per_month"),"ERROR",IF(OR(ISBLANK($AA$161),$AB$161=""),"UNKNOWN",$AA$161)))</f>
        <v/>
      </c>
      <c r="AL161">
        <f>IF(AND(ISNUMBER(AG161),AH161&lt;&gt;"",AH161&lt;&gt;"per_month"),"ERROR",AG161)</f>
        <v/>
      </c>
      <c r="AM161">
        <f>IF(ISBLANK($AC$161),"none",IF(AND(ISNUMBER($AC$161),$AC$161&gt;0),"valid","invalid"))</f>
        <v/>
      </c>
      <c r="AN161">
        <f>IF(AM161="invalid","ERROR",IF(AND(AM161="valid",$R$161=TRUE,ISNUMBER(AF161)),AF161+$Q$161*(1-1/$AC$161),AF161))</f>
        <v/>
      </c>
      <c r="AO161">
        <f>IF($Z$161="absent","NOT_RUN",IF($Y$161&gt;1,"ERROR",AK161))</f>
        <v/>
      </c>
      <c r="AP161">
        <f>IF(ISNUMBER(AO161),"OK",AO161)</f>
        <v/>
      </c>
      <c r="AQ161">
        <f>IF($Z$161="absent","NOT_RUN",IF($Y$161&gt;1,"ERROR",IFERROR(IF(OR(AK161="ERROR",AD161="ERROR"),"ERROR",IF(OR(NOT(ISNUMBER(AK161)),NOT(ISNUMBER(AD161))),"UNKNOWN",AD161*AK161)),"ERROR")))</f>
        <v/>
      </c>
      <c r="AR161">
        <f>IF(ISNUMBER(AQ161),"OK",AQ161)</f>
        <v/>
      </c>
      <c r="AS161">
        <f>IF($Z$161="absent","NOT_RUN",IF($Y$161&gt;1,"ERROR",IFERROR(IF(OR(AK161="ERROR",AN161="ERROR"),"ERROR",IF(OR(NOT(ISNUMBER(AK161)),NOT(ISNUMBER(AN161))),"UNKNOWN",AN161*AK161)),"ERROR")))</f>
        <v/>
      </c>
      <c r="AT161">
        <f>IF(ISNUMBER(AS161),IF(AND($R$161=TRUE,AM161="none"),"ESTIMATED","OK"),AS161)</f>
        <v/>
      </c>
      <c r="AU161">
        <f>IF($Z$161="absent","NOT_RUN",IF($Y$161&gt;1,"ERROR",IFERROR(IF(OR(AK161="ERROR",AN161="ERROR",AL161="ERROR"),"ERROR",IF(OR(NOT(ISNUMBER(AK161)),NOT(ISNUMBER(AN161)),NOT(ISNUMBER(AL161))),"UNKNOWN",AN161*AK161-AL161)),"ERROR")))</f>
        <v/>
      </c>
      <c r="AV161">
        <f>IF(ISNUMBER(AU161),IF(AND($R$161=TRUE,AM161="none"),"ESTIMATED","OK"),AU161)</f>
        <v/>
      </c>
      <c r="AW161">
        <f>IF($Z$161="absent","NOT_RUN",IF($Y$161&gt;1,"ERROR",IFERROR(IF(OR(AU161="ERROR",AQ161="ERROR"),"ERROR",IF(OR(NOT(ISNUMBER(AU161)),NOT(ISNUMBER(AQ161))),"UNKNOWN",IF(AQ161=0,"NOT_APPLICABLE",AU161/AQ161))),"ERROR")))</f>
        <v/>
      </c>
      <c r="AX161">
        <f>IF(ISNUMBER(AW161),IF(AND($R$161=TRUE,AM161="none"),"ESTIMATED","OK"),AW161)</f>
        <v/>
      </c>
      <c r="AY161">
        <f>IF($Z$161="absent","NOT_RUN",IF($Y$161&gt;1,"ERROR",IFERROR(IF(OR(AN161="ERROR",AL161="ERROR"),"ERROR",IF(OR(NOT(ISNUMBER(AN161)),NOT(ISNUMBER(AL161))),"UNKNOWN",IF(AN161&lt;=0,"NOT_APPLICABLE",AL161/AN161))),"ERROR")))</f>
        <v/>
      </c>
      <c r="AZ161">
        <f>IF(ISNUMBER(AY161),IF(AND($R$161=TRUE,AM161="none"),"ESTIMATED","OK"),AY161)</f>
        <v/>
      </c>
      <c r="BA161">
        <f>IF($Z$161="absent","NOT_RUN",IF($Y$161&gt;1,"ERROR",IFERROR(IF(OR(AK161="ERROR",AN161="ERROR",AL161="ERROR"),"ERROR",IF(OR(NOT(ISNUMBER(AK161)),NOT(ISNUMBER(AN161)),NOT(ISNUMBER(AL161))),"UNKNOWN",IF(AN161&lt;=0,"NOT_APPLICABLE",AK161-AY161))),"ERROR")))</f>
        <v/>
      </c>
      <c r="BB161">
        <f>IF(ISNUMBER(BA161),IF(AND($R$161=TRUE,AM161="none"),"ESTIMATED","OK"),BA161)</f>
        <v/>
      </c>
      <c r="BC161">
        <f>IF($Z$161="absent","NOT_RUN",IF($Y$161&gt;1,"ERROR",IFERROR(IF(OR(AK161="ERROR",AN161="ERROR",AL161="ERROR"),"ERROR",IF(OR(NOT(ISNUMBER(AK161)),NOT(ISNUMBER(AN161)),NOT(ISNUMBER(AL161))),"UNKNOWN",IF(OR(AN161&lt;=0,AK161=0),"NOT_APPLICABLE",(AK161-AY161)/AK161))),"ERROR")))</f>
        <v/>
      </c>
      <c r="BD161">
        <f>IF(ISNUMBER(BC161),IF(AND($R$161=TRUE,AM161="none"),"ESTIMATED","OK"),BC161)</f>
        <v/>
      </c>
      <c r="BE161">
        <f>IF($Z$161="absent","NOT_RUN",IF(OR(AP161="ERROR",AR161="ERROR",AT161="ERROR",AV161="ERROR",AX161="ERROR",AZ161="ERROR",BB161="ERROR",BD161="ERROR"),"ERROR",IF(OR(AP161="UNKNOWN",AR161="UNKNOWN",AT161="UNKNOWN",AV161="UNKNOWN",AX161="UNKNOWN",AZ161="UNKNOWN",BB161="UNKNOWN",BD161="UNKNOWN"),"INCOMPLETE","OK")))</f>
        <v/>
      </c>
      <c r="BF161">
        <f>IF($Z$161="absent","",AH161)</f>
        <v/>
      </c>
    </row>
    <row r="162">
      <c r="B162" s="8" t="inlineStr">
        <is>
          <t>Total Net Sales ex VAT</t>
        </is>
      </c>
      <c r="C162" s="52">
        <f>AQ161</f>
        <v/>
      </c>
      <c r="D162" s="53" t="n">
        <v>10000</v>
      </c>
      <c r="E162" s="51">
        <f>IF(ISNUMBER(D162),IF(ISNUMBER(AQ161),ABS(AQ161-D162),"N/A"),"N/A")</f>
        <v/>
      </c>
      <c r="F162" s="15">
        <f>IFERROR(IF(ISNUMBER(D162),IF(ISNUMBER(AQ161),IF(ABS(AQ161-D162)&lt;=0.01,"PASS","FAIL"),"FAIL"),IF(NOT(ISNUMBER(AQ161)),IF(AQ161=D162,"PASS","FAIL"),"FAIL")),"FAIL")</f>
        <v/>
      </c>
      <c r="G162" s="16">
        <f>AR161</f>
        <v/>
      </c>
      <c r="H162" s="30" t="inlineStr">
        <is>
          <t>OK</t>
        </is>
      </c>
      <c r="I162" s="15">
        <f>IF(AR161=H162,"PASS","FAIL")</f>
        <v/>
      </c>
    </row>
    <row r="163">
      <c r="B163" s="8" t="inlineStr">
        <is>
          <t>Total Contribution Margin</t>
        </is>
      </c>
      <c r="C163" s="52">
        <f>AS161</f>
        <v/>
      </c>
      <c r="D163" s="53" t="n">
        <v>0</v>
      </c>
      <c r="E163" s="51">
        <f>IF(ISNUMBER(D163),IF(ISNUMBER(AS161),ABS(AS161-D163),"N/A"),"N/A")</f>
        <v/>
      </c>
      <c r="F163" s="15">
        <f>IFERROR(IF(ISNUMBER(D163),IF(ISNUMBER(AS161),IF(ABS(AS161-D163)&lt;=0.01,"PASS","FAIL"),"FAIL"),IF(NOT(ISNUMBER(AS161)),IF(AS161=D163,"PASS","FAIL"),"FAIL")),"FAIL")</f>
        <v/>
      </c>
      <c r="G163" s="16">
        <f>AT161</f>
        <v/>
      </c>
      <c r="H163" s="30" t="inlineStr">
        <is>
          <t>OK</t>
        </is>
      </c>
      <c r="I163" s="15">
        <f>IF(AT161=H163,"PASS","FAIL")</f>
        <v/>
      </c>
    </row>
    <row r="164">
      <c r="B164" s="8" t="inlineStr">
        <is>
          <t>Operating Profit</t>
        </is>
      </c>
      <c r="C164" s="52">
        <f>AU161</f>
        <v/>
      </c>
      <c r="D164" s="53" t="n">
        <v>-50000</v>
      </c>
      <c r="E164" s="51">
        <f>IF(ISNUMBER(D164),IF(ISNUMBER(AU161),ABS(AU161-D164),"N/A"),"N/A")</f>
        <v/>
      </c>
      <c r="F164" s="15">
        <f>IFERROR(IF(ISNUMBER(D164),IF(ISNUMBER(AU161),IF(ABS(AU161-D164)&lt;=0.01,"PASS","FAIL"),"FAIL"),IF(NOT(ISNUMBER(AU161)),IF(AU161=D164,"PASS","FAIL"),"FAIL")),"FAIL")</f>
        <v/>
      </c>
      <c r="G164" s="16">
        <f>AV161</f>
        <v/>
      </c>
      <c r="H164" s="30" t="inlineStr">
        <is>
          <t>OK</t>
        </is>
      </c>
      <c r="I164" s="15">
        <f>IF(AV161=H164,"PASS","FAIL")</f>
        <v/>
      </c>
    </row>
    <row r="165">
      <c r="B165" s="8" t="inlineStr">
        <is>
          <t>Operating Profit Rate</t>
        </is>
      </c>
      <c r="C165" s="54">
        <f>AW161</f>
        <v/>
      </c>
      <c r="D165" s="55" t="n">
        <v>-5</v>
      </c>
      <c r="E165" s="51">
        <f>IF(ISNUMBER(D165),IF(ISNUMBER(AW161),ABS(AW161-D165),"N/A"),"N/A")</f>
        <v/>
      </c>
      <c r="F165" s="15">
        <f>IFERROR(IF(ISNUMBER(D165),IF(ISNUMBER(AW161),IF(ABS(AW161-D165)&lt;=1e-06,"PASS","FAIL"),"FAIL"),IF(NOT(ISNUMBER(AW161)),IF(AW161=D165,"PASS","FAIL"),"FAIL")),"FAIL")</f>
        <v/>
      </c>
      <c r="G165" s="16">
        <f>AX161</f>
        <v/>
      </c>
      <c r="H165" s="30" t="inlineStr">
        <is>
          <t>OK</t>
        </is>
      </c>
      <c r="I165" s="15">
        <f>IF(AX161=H165,"PASS","FAIL")</f>
        <v/>
      </c>
    </row>
    <row r="166">
      <c r="B166" s="8" t="inlineStr">
        <is>
          <t>Break-Even Quantity (Q_BEP)</t>
        </is>
      </c>
      <c r="C166" s="25">
        <f>AY161</f>
        <v/>
      </c>
      <c r="D166" s="30" t="inlineStr">
        <is>
          <t>NOT_APPLICABLE</t>
        </is>
      </c>
      <c r="E166" s="51">
        <f>IF(ISNUMBER(D166),IF(ISNUMBER(AY161),ABS(AY161-D166),"N/A"),"N/A")</f>
        <v/>
      </c>
      <c r="F166" s="15">
        <f>IFERROR(IF(ISNUMBER(D166),IF(ISNUMBER(AY161),IF(ABS(AY161-D166)&lt;=0.01,"PASS","FAIL"),"FAIL"),IF(NOT(ISNUMBER(AY161)),IF(AY161=D166,"PASS","FAIL"),"FAIL")),"FAIL")</f>
        <v/>
      </c>
      <c r="G166" s="16">
        <f>AZ161</f>
        <v/>
      </c>
      <c r="H166" s="30" t="inlineStr">
        <is>
          <t>NOT_APPLICABLE</t>
        </is>
      </c>
      <c r="I166" s="15">
        <f>IF(AZ161=H166,"PASS","FAIL")</f>
        <v/>
      </c>
    </row>
    <row r="167">
      <c r="B167" s="8" t="inlineStr">
        <is>
          <t>Margin of Safety Quantity</t>
        </is>
      </c>
      <c r="C167" s="25">
        <f>BA161</f>
        <v/>
      </c>
      <c r="D167" s="30" t="inlineStr">
        <is>
          <t>NOT_APPLICABLE</t>
        </is>
      </c>
      <c r="E167" s="51">
        <f>IF(ISNUMBER(D167),IF(ISNUMBER(BA161),ABS(BA161-D167),"N/A"),"N/A")</f>
        <v/>
      </c>
      <c r="F167" s="15">
        <f>IFERROR(IF(ISNUMBER(D167),IF(ISNUMBER(BA161),IF(ABS(BA161-D167)&lt;=0.01,"PASS","FAIL"),"FAIL"),IF(NOT(ISNUMBER(BA161)),IF(BA161=D167,"PASS","FAIL"),"FAIL")),"FAIL")</f>
        <v/>
      </c>
      <c r="G167" s="16">
        <f>BB161</f>
        <v/>
      </c>
      <c r="H167" s="30" t="inlineStr">
        <is>
          <t>NOT_APPLICABLE</t>
        </is>
      </c>
      <c r="I167" s="15">
        <f>IF(BB161=H167,"PASS","FAIL")</f>
        <v/>
      </c>
    </row>
    <row r="168">
      <c r="B168" s="8" t="inlineStr">
        <is>
          <t>Margin of Safety Rate</t>
        </is>
      </c>
      <c r="C168" s="54">
        <f>BC161</f>
        <v/>
      </c>
      <c r="D168" s="30" t="inlineStr">
        <is>
          <t>NOT_APPLICABLE</t>
        </is>
      </c>
      <c r="E168" s="51">
        <f>IF(ISNUMBER(D168),IF(ISNUMBER(BC161),ABS(BC161-D168),"N/A"),"N/A")</f>
        <v/>
      </c>
      <c r="F168" s="15">
        <f>IFERROR(IF(ISNUMBER(D168),IF(ISNUMBER(BC161),IF(ABS(BC161-D168)&lt;=1e-06,"PASS","FAIL"),"FAIL"),IF(NOT(ISNUMBER(BC161)),IF(BC161=D168,"PASS","FAIL"),"FAIL")),"FAIL")</f>
        <v/>
      </c>
      <c r="G168" s="16">
        <f>BD161</f>
        <v/>
      </c>
      <c r="H168" s="30" t="inlineStr">
        <is>
          <t>NOT_APPLICABLE</t>
        </is>
      </c>
      <c r="I168" s="15">
        <f>IF(BD161=H168,"PASS","FAIL")</f>
        <v/>
      </c>
    </row>
    <row r="169">
      <c r="B169" s="8" t="inlineStr">
        <is>
          <t>Module Status</t>
        </is>
      </c>
      <c r="C169" s="16">
        <f>BE161</f>
        <v/>
      </c>
      <c r="D169" s="30" t="inlineStr">
        <is>
          <t>OK</t>
        </is>
      </c>
      <c r="F169" s="15">
        <f>IF(BE161=D169,"PASS","FAIL")</f>
        <v/>
      </c>
    </row>
    <row r="170">
      <c r="B170" s="8" t="inlineStr">
        <is>
          <t>Analysis Period Basis</t>
        </is>
      </c>
      <c r="C170" s="16">
        <f>BF161</f>
        <v/>
      </c>
      <c r="D170" s="30" t="inlineStr">
        <is>
          <t>per_month</t>
        </is>
      </c>
      <c r="F170" s="15">
        <f>IF(BF161=D170,"PASS","FAIL")</f>
        <v/>
      </c>
    </row>
    <row r="171">
      <c r="B171" s="8" t="inlineStr">
        <is>
          <t>Self-Check: |MoS qty × CMu − Operating Profit| ≤ tol</t>
        </is>
      </c>
      <c r="C171" s="36">
        <f>IF(OR(NOT(ISNUMBER(BA161)),NOT(ISNUMBER(AN161)),NOT(ISNUMBER(AU161))),"SKIP",IF(ABS(BA161*AN161-AU161)&lt;=0.01,"PASS","FAIL"))</f>
        <v/>
      </c>
      <c r="D171" s="34" t="n"/>
      <c r="F171" s="15">
        <f>IF(C171="FAIL","FAIL","PASS")</f>
        <v/>
      </c>
    </row>
    <row r="173" ht="20" customHeight="1">
      <c r="B173" s="2" t="inlineStr">
        <is>
          <t>V13. CMu = 0, FC = 0</t>
        </is>
      </c>
      <c r="C173" s="7" t="n"/>
      <c r="D173" s="7" t="n"/>
      <c r="E173" s="7" t="n"/>
      <c r="F173" s="7" t="n"/>
      <c r="G173" s="7" t="n"/>
      <c r="H173" s="7" t="n"/>
      <c r="I173" s="7" t="n"/>
    </row>
    <row r="174">
      <c r="B174" s="4" t="inlineStr">
        <is>
          <t>Metric</t>
        </is>
      </c>
      <c r="C174" s="4" t="inlineStr">
        <is>
          <t>Excel Result</t>
        </is>
      </c>
      <c r="D174" s="4" t="inlineStr">
        <is>
          <t>Python Reference</t>
        </is>
      </c>
      <c r="E174" s="4" t="inlineStr">
        <is>
          <t>Difference</t>
        </is>
      </c>
      <c r="F174" s="4" t="inlineStr">
        <is>
          <t>PASS / FAIL</t>
        </is>
      </c>
      <c r="G174" s="4" t="inlineStr">
        <is>
          <t>Excel Status</t>
        </is>
      </c>
      <c r="H174" s="4" t="inlineStr">
        <is>
          <t>Python Status</t>
        </is>
      </c>
      <c r="I174" s="4" t="inlineStr">
        <is>
          <t>Status PASS</t>
        </is>
      </c>
    </row>
    <row r="175">
      <c r="B175" s="8" t="inlineStr">
        <is>
          <t>Planned Quantity (units)</t>
        </is>
      </c>
      <c r="C175" s="25">
        <f>AO175</f>
        <v/>
      </c>
      <c r="D175" s="21" t="n">
        <v>10</v>
      </c>
      <c r="E175" s="51">
        <f>IF(ISNUMBER(D175),IF(ISNUMBER(AO175),ABS(AO175-D175),"N/A"),"N/A")</f>
        <v/>
      </c>
      <c r="F175" s="15">
        <f>IFERROR(IF(ISNUMBER(D175),IF(ISNUMBER(AO175),IF(ABS(AO175-D175)&lt;=0.01,"PASS","FAIL"),"FAIL"),IF(NOT(ISNUMBER(AO175)),IF(AO175=D175,"PASS","FAIL"),"FAIL")),"FAIL")</f>
        <v/>
      </c>
      <c r="G175" s="16">
        <f>AP175</f>
        <v/>
      </c>
      <c r="H175" s="30" t="inlineStr">
        <is>
          <t>OK</t>
        </is>
      </c>
      <c r="I175" s="15">
        <f>IF(AP175=H175,"PASS","FAIL")</f>
        <v/>
      </c>
      <c r="M175" t="n">
        <v>1000</v>
      </c>
      <c r="N175" t="b">
        <v>0</v>
      </c>
      <c r="P175" t="n">
        <v>1000</v>
      </c>
      <c r="Q175" t="n">
        <v>0</v>
      </c>
      <c r="R175" t="b">
        <v>0</v>
      </c>
      <c r="S175" t="n">
        <v>0</v>
      </c>
      <c r="T175" t="n">
        <v>0</v>
      </c>
      <c r="U175" t="n">
        <v>0</v>
      </c>
      <c r="V175" t="inlineStr">
        <is>
          <t>per_month</t>
        </is>
      </c>
      <c r="W175" t="inlineStr">
        <is>
          <t>component</t>
        </is>
      </c>
      <c r="X175" t="inlineStr">
        <is>
          <t>consistent</t>
        </is>
      </c>
      <c r="Y175" t="n">
        <v>1</v>
      </c>
      <c r="Z175" t="inlineStr">
        <is>
          <t>present</t>
        </is>
      </c>
      <c r="AA175" t="n">
        <v>10</v>
      </c>
      <c r="AB175" t="inlineStr">
        <is>
          <t>per_month</t>
        </is>
      </c>
      <c r="AD175">
        <f>IFERROR(IF(ISBLANK($M$175),"UNKNOWN",IF(ISBLANK($N$175),"UNKNOWN",IF($N$175=FALSE,$M$175,IF(ISBLANK($O$175),"UNKNOWN",$M$175/(1+$O$175))))),"ERROR")</f>
        <v/>
      </c>
      <c r="AE175">
        <f>IFERROR(IF(ISBLANK($M$175),"UNKNOWN",IF(ISBLANK($N$175),"UNKNOWN",IF($N$175=TRUE,$M$175,IF(ISBLANK($O$175),"UNKNOWN",$M$175*(1+$O$175))))),"ERROR")</f>
        <v/>
      </c>
      <c r="AF175">
        <f>IF($Y$175&gt;1,"ERROR",IFERROR(IF(AD175="ERROR","ERROR",IF(OR(NOT(ISNUMBER(AD175)),ISBLANK($P$175),ISBLANK($Q$175),ISBLANK($S$175),ISBLANK($T$175)),"UNKNOWN",IF($T$175&gt;0,IF(AE175="ERROR","ERROR",IF(NOT(ISNUMBER(AE175)),"UNKNOWN",AD175-$P$175-$Q$175-$S$175*AD175-$T$175*AE175)),AD175-$P$175-$Q$175-$S$175*AD175))),"ERROR"))</f>
        <v/>
      </c>
      <c r="AG175">
        <f>IF($Y$175&gt;1,"ERROR",IFERROR(IF($W$175="invalid_direct","ERROR",IF($X$175="inconsistent","ERROR",IF($W$175="none",0,IF(OR($W$175="unresolved",$W$175="blended_only"),"UNKNOWN",IF(ISBLANK($U$175),"UNKNOWN",IF($U$175&lt;0,"ERROR",$U$175)))))),"ERROR"))</f>
        <v/>
      </c>
      <c r="AH175">
        <f>IF($Y$175&gt;1,"",IF(OR($W$175="invalid_direct",$X$175="inconsistent"),"",IF($W$175="none","",IF(OR($W$175="unresolved",$W$175="blended_only"),"",IF(ISBLANK($U$175),"",IF($U$175&lt;0,"",$V$175))))))</f>
        <v/>
      </c>
      <c r="AI175">
        <f>IF($Y$175&gt;1,"ERROR",IFERROR(IF(OR(AF175="ERROR",AG175="ERROR"),"ERROR",IF(OR(NOT(ISNUMBER(AF175)),NOT(ISNUMBER(AG175))),"UNKNOWN",IF(AF175&lt;=0,"NOT_APPLICABLE",AG175/AF175))),"ERROR"))</f>
        <v/>
      </c>
      <c r="AJ175">
        <f>IF($Y$175&gt;1,"MULTI_COMPONENT_BEP_NOT_SUPPORTED",IF($W$175="invalid_direct","INVALID_ALLOCATION_CONFIGURATION",IF($X$175="inconsistent","INCONSISTENT_FIXED_COST_BASIS",IF(AND($W$175="component",NOT(ISBLANK($U$175)),$U$175&lt;0),"INVALID_NEGATIVE_COST",IF(AF175="ERROR","CALCULATION_ERROR",IF($W$175="blended_only","FIXED_COST_BLENDED_ONLY_NOT_ALLOCATED",IF($W$175="unresolved","UNSUPPORTED_SHARED_COST_ALLOCATION",IF(NOT(ISNUMBER(AF175)),"MISSING_DEPENDENCY",IF(AND($W$175="component",ISBLANK($U$175)),"MISSING_DEPENDENCY",IF(AND(AF175=0,AG175=0),"BREAK_EVEN_UNDEFINED_ZERO_MARGIN_ZERO_FIXED_COST",IF(AF175=0,"BREAK_EVEN_UNDEFINED_ZERO_MARGIN",IF(AF175&lt;0,"BREAK_EVEN_UNDEFINED_NEGATIVE_MARGIN","NONE"))))))))))))</f>
        <v/>
      </c>
      <c r="AK175">
        <f>IF(AND(NOT(ISBLANK($AA$175)),$AA$175&lt;0),"ERROR",IF(AND($AB$175&lt;&gt;"",$AB$175&lt;&gt;"per_month"),"ERROR",IF(OR(ISBLANK($AA$175),$AB$175=""),"UNKNOWN",$AA$175)))</f>
        <v/>
      </c>
      <c r="AL175">
        <f>IF(AND(ISNUMBER(AG175),AH175&lt;&gt;"",AH175&lt;&gt;"per_month"),"ERROR",AG175)</f>
        <v/>
      </c>
      <c r="AM175">
        <f>IF(ISBLANK($AC$175),"none",IF(AND(ISNUMBER($AC$175),$AC$175&gt;0),"valid","invalid"))</f>
        <v/>
      </c>
      <c r="AN175">
        <f>IF(AM175="invalid","ERROR",IF(AND(AM175="valid",$R$175=TRUE,ISNUMBER(AF175)),AF175+$Q$175*(1-1/$AC$175),AF175))</f>
        <v/>
      </c>
      <c r="AO175">
        <f>IF($Z$175="absent","NOT_RUN",IF($Y$175&gt;1,"ERROR",AK175))</f>
        <v/>
      </c>
      <c r="AP175">
        <f>IF(ISNUMBER(AO175),"OK",AO175)</f>
        <v/>
      </c>
      <c r="AQ175">
        <f>IF($Z$175="absent","NOT_RUN",IF($Y$175&gt;1,"ERROR",IFERROR(IF(OR(AK175="ERROR",AD175="ERROR"),"ERROR",IF(OR(NOT(ISNUMBER(AK175)),NOT(ISNUMBER(AD175))),"UNKNOWN",AD175*AK175)),"ERROR")))</f>
        <v/>
      </c>
      <c r="AR175">
        <f>IF(ISNUMBER(AQ175),"OK",AQ175)</f>
        <v/>
      </c>
      <c r="AS175">
        <f>IF($Z$175="absent","NOT_RUN",IF($Y$175&gt;1,"ERROR",IFERROR(IF(OR(AK175="ERROR",AN175="ERROR"),"ERROR",IF(OR(NOT(ISNUMBER(AK175)),NOT(ISNUMBER(AN175))),"UNKNOWN",AN175*AK175)),"ERROR")))</f>
        <v/>
      </c>
      <c r="AT175">
        <f>IF(ISNUMBER(AS175),IF(AND($R$175=TRUE,AM175="none"),"ESTIMATED","OK"),AS175)</f>
        <v/>
      </c>
      <c r="AU175">
        <f>IF($Z$175="absent","NOT_RUN",IF($Y$175&gt;1,"ERROR",IFERROR(IF(OR(AK175="ERROR",AN175="ERROR",AL175="ERROR"),"ERROR",IF(OR(NOT(ISNUMBER(AK175)),NOT(ISNUMBER(AN175)),NOT(ISNUMBER(AL175))),"UNKNOWN",AN175*AK175-AL175)),"ERROR")))</f>
        <v/>
      </c>
      <c r="AV175">
        <f>IF(ISNUMBER(AU175),IF(AND($R$175=TRUE,AM175="none"),"ESTIMATED","OK"),AU175)</f>
        <v/>
      </c>
      <c r="AW175">
        <f>IF($Z$175="absent","NOT_RUN",IF($Y$175&gt;1,"ERROR",IFERROR(IF(OR(AU175="ERROR",AQ175="ERROR"),"ERROR",IF(OR(NOT(ISNUMBER(AU175)),NOT(ISNUMBER(AQ175))),"UNKNOWN",IF(AQ175=0,"NOT_APPLICABLE",AU175/AQ175))),"ERROR")))</f>
        <v/>
      </c>
      <c r="AX175">
        <f>IF(ISNUMBER(AW175),IF(AND($R$175=TRUE,AM175="none"),"ESTIMATED","OK"),AW175)</f>
        <v/>
      </c>
      <c r="AY175">
        <f>IF($Z$175="absent","NOT_RUN",IF($Y$175&gt;1,"ERROR",IFERROR(IF(OR(AN175="ERROR",AL175="ERROR"),"ERROR",IF(OR(NOT(ISNUMBER(AN175)),NOT(ISNUMBER(AL175))),"UNKNOWN",IF(AN175&lt;=0,"NOT_APPLICABLE",AL175/AN175))),"ERROR")))</f>
        <v/>
      </c>
      <c r="AZ175">
        <f>IF(ISNUMBER(AY175),IF(AND($R$175=TRUE,AM175="none"),"ESTIMATED","OK"),AY175)</f>
        <v/>
      </c>
      <c r="BA175">
        <f>IF($Z$175="absent","NOT_RUN",IF($Y$175&gt;1,"ERROR",IFERROR(IF(OR(AK175="ERROR",AN175="ERROR",AL175="ERROR"),"ERROR",IF(OR(NOT(ISNUMBER(AK175)),NOT(ISNUMBER(AN175)),NOT(ISNUMBER(AL175))),"UNKNOWN",IF(AN175&lt;=0,"NOT_APPLICABLE",AK175-AY175))),"ERROR")))</f>
        <v/>
      </c>
      <c r="BB175">
        <f>IF(ISNUMBER(BA175),IF(AND($R$175=TRUE,AM175="none"),"ESTIMATED","OK"),BA175)</f>
        <v/>
      </c>
      <c r="BC175">
        <f>IF($Z$175="absent","NOT_RUN",IF($Y$175&gt;1,"ERROR",IFERROR(IF(OR(AK175="ERROR",AN175="ERROR",AL175="ERROR"),"ERROR",IF(OR(NOT(ISNUMBER(AK175)),NOT(ISNUMBER(AN175)),NOT(ISNUMBER(AL175))),"UNKNOWN",IF(OR(AN175&lt;=0,AK175=0),"NOT_APPLICABLE",(AK175-AY175)/AK175))),"ERROR")))</f>
        <v/>
      </c>
      <c r="BD175">
        <f>IF(ISNUMBER(BC175),IF(AND($R$175=TRUE,AM175="none"),"ESTIMATED","OK"),BC175)</f>
        <v/>
      </c>
      <c r="BE175">
        <f>IF($Z$175="absent","NOT_RUN",IF(OR(AP175="ERROR",AR175="ERROR",AT175="ERROR",AV175="ERROR",AX175="ERROR",AZ175="ERROR",BB175="ERROR",BD175="ERROR"),"ERROR",IF(OR(AP175="UNKNOWN",AR175="UNKNOWN",AT175="UNKNOWN",AV175="UNKNOWN",AX175="UNKNOWN",AZ175="UNKNOWN",BB175="UNKNOWN",BD175="UNKNOWN"),"INCOMPLETE","OK")))</f>
        <v/>
      </c>
      <c r="BF175">
        <f>IF($Z$175="absent","",AH175)</f>
        <v/>
      </c>
    </row>
    <row r="176">
      <c r="B176" s="8" t="inlineStr">
        <is>
          <t>Total Net Sales ex VAT</t>
        </is>
      </c>
      <c r="C176" s="52">
        <f>AQ175</f>
        <v/>
      </c>
      <c r="D176" s="53" t="n">
        <v>10000</v>
      </c>
      <c r="E176" s="51">
        <f>IF(ISNUMBER(D176),IF(ISNUMBER(AQ175),ABS(AQ175-D176),"N/A"),"N/A")</f>
        <v/>
      </c>
      <c r="F176" s="15">
        <f>IFERROR(IF(ISNUMBER(D176),IF(ISNUMBER(AQ175),IF(ABS(AQ175-D176)&lt;=0.01,"PASS","FAIL"),"FAIL"),IF(NOT(ISNUMBER(AQ175)),IF(AQ175=D176,"PASS","FAIL"),"FAIL")),"FAIL")</f>
        <v/>
      </c>
      <c r="G176" s="16">
        <f>AR175</f>
        <v/>
      </c>
      <c r="H176" s="30" t="inlineStr">
        <is>
          <t>OK</t>
        </is>
      </c>
      <c r="I176" s="15">
        <f>IF(AR175=H176,"PASS","FAIL")</f>
        <v/>
      </c>
    </row>
    <row r="177">
      <c r="B177" s="8" t="inlineStr">
        <is>
          <t>Total Contribution Margin</t>
        </is>
      </c>
      <c r="C177" s="52">
        <f>AS175</f>
        <v/>
      </c>
      <c r="D177" s="53" t="n">
        <v>0</v>
      </c>
      <c r="E177" s="51">
        <f>IF(ISNUMBER(D177),IF(ISNUMBER(AS175),ABS(AS175-D177),"N/A"),"N/A")</f>
        <v/>
      </c>
      <c r="F177" s="15">
        <f>IFERROR(IF(ISNUMBER(D177),IF(ISNUMBER(AS175),IF(ABS(AS175-D177)&lt;=0.01,"PASS","FAIL"),"FAIL"),IF(NOT(ISNUMBER(AS175)),IF(AS175=D177,"PASS","FAIL"),"FAIL")),"FAIL")</f>
        <v/>
      </c>
      <c r="G177" s="16">
        <f>AT175</f>
        <v/>
      </c>
      <c r="H177" s="30" t="inlineStr">
        <is>
          <t>OK</t>
        </is>
      </c>
      <c r="I177" s="15">
        <f>IF(AT175=H177,"PASS","FAIL")</f>
        <v/>
      </c>
    </row>
    <row r="178">
      <c r="B178" s="8" t="inlineStr">
        <is>
          <t>Operating Profit</t>
        </is>
      </c>
      <c r="C178" s="52">
        <f>AU175</f>
        <v/>
      </c>
      <c r="D178" s="53" t="n">
        <v>0</v>
      </c>
      <c r="E178" s="51">
        <f>IF(ISNUMBER(D178),IF(ISNUMBER(AU175),ABS(AU175-D178),"N/A"),"N/A")</f>
        <v/>
      </c>
      <c r="F178" s="15">
        <f>IFERROR(IF(ISNUMBER(D178),IF(ISNUMBER(AU175),IF(ABS(AU175-D178)&lt;=0.01,"PASS","FAIL"),"FAIL"),IF(NOT(ISNUMBER(AU175)),IF(AU175=D178,"PASS","FAIL"),"FAIL")),"FAIL")</f>
        <v/>
      </c>
      <c r="G178" s="16">
        <f>AV175</f>
        <v/>
      </c>
      <c r="H178" s="30" t="inlineStr">
        <is>
          <t>OK</t>
        </is>
      </c>
      <c r="I178" s="15">
        <f>IF(AV175=H178,"PASS","FAIL")</f>
        <v/>
      </c>
    </row>
    <row r="179">
      <c r="B179" s="8" t="inlineStr">
        <is>
          <t>Operating Profit Rate</t>
        </is>
      </c>
      <c r="C179" s="54">
        <f>AW175</f>
        <v/>
      </c>
      <c r="D179" s="55" t="n">
        <v>0</v>
      </c>
      <c r="E179" s="51">
        <f>IF(ISNUMBER(D179),IF(ISNUMBER(AW175),ABS(AW175-D179),"N/A"),"N/A")</f>
        <v/>
      </c>
      <c r="F179" s="15">
        <f>IFERROR(IF(ISNUMBER(D179),IF(ISNUMBER(AW175),IF(ABS(AW175-D179)&lt;=1e-06,"PASS","FAIL"),"FAIL"),IF(NOT(ISNUMBER(AW175)),IF(AW175=D179,"PASS","FAIL"),"FAIL")),"FAIL")</f>
        <v/>
      </c>
      <c r="G179" s="16">
        <f>AX175</f>
        <v/>
      </c>
      <c r="H179" s="30" t="inlineStr">
        <is>
          <t>OK</t>
        </is>
      </c>
      <c r="I179" s="15">
        <f>IF(AX175=H179,"PASS","FAIL")</f>
        <v/>
      </c>
    </row>
    <row r="180">
      <c r="B180" s="8" t="inlineStr">
        <is>
          <t>Break-Even Quantity (Q_BEP)</t>
        </is>
      </c>
      <c r="C180" s="25">
        <f>AY175</f>
        <v/>
      </c>
      <c r="D180" s="30" t="inlineStr">
        <is>
          <t>NOT_APPLICABLE</t>
        </is>
      </c>
      <c r="E180" s="51">
        <f>IF(ISNUMBER(D180),IF(ISNUMBER(AY175),ABS(AY175-D180),"N/A"),"N/A")</f>
        <v/>
      </c>
      <c r="F180" s="15">
        <f>IFERROR(IF(ISNUMBER(D180),IF(ISNUMBER(AY175),IF(ABS(AY175-D180)&lt;=0.01,"PASS","FAIL"),"FAIL"),IF(NOT(ISNUMBER(AY175)),IF(AY175=D180,"PASS","FAIL"),"FAIL")),"FAIL")</f>
        <v/>
      </c>
      <c r="G180" s="16">
        <f>AZ175</f>
        <v/>
      </c>
      <c r="H180" s="30" t="inlineStr">
        <is>
          <t>NOT_APPLICABLE</t>
        </is>
      </c>
      <c r="I180" s="15">
        <f>IF(AZ175=H180,"PASS","FAIL")</f>
        <v/>
      </c>
    </row>
    <row r="181">
      <c r="B181" s="8" t="inlineStr">
        <is>
          <t>Margin of Safety Quantity</t>
        </is>
      </c>
      <c r="C181" s="25">
        <f>BA175</f>
        <v/>
      </c>
      <c r="D181" s="30" t="inlineStr">
        <is>
          <t>NOT_APPLICABLE</t>
        </is>
      </c>
      <c r="E181" s="51">
        <f>IF(ISNUMBER(D181),IF(ISNUMBER(BA175),ABS(BA175-D181),"N/A"),"N/A")</f>
        <v/>
      </c>
      <c r="F181" s="15">
        <f>IFERROR(IF(ISNUMBER(D181),IF(ISNUMBER(BA175),IF(ABS(BA175-D181)&lt;=0.01,"PASS","FAIL"),"FAIL"),IF(NOT(ISNUMBER(BA175)),IF(BA175=D181,"PASS","FAIL"),"FAIL")),"FAIL")</f>
        <v/>
      </c>
      <c r="G181" s="16">
        <f>BB175</f>
        <v/>
      </c>
      <c r="H181" s="30" t="inlineStr">
        <is>
          <t>NOT_APPLICABLE</t>
        </is>
      </c>
      <c r="I181" s="15">
        <f>IF(BB175=H181,"PASS","FAIL")</f>
        <v/>
      </c>
    </row>
    <row r="182">
      <c r="B182" s="8" t="inlineStr">
        <is>
          <t>Margin of Safety Rate</t>
        </is>
      </c>
      <c r="C182" s="54">
        <f>BC175</f>
        <v/>
      </c>
      <c r="D182" s="30" t="inlineStr">
        <is>
          <t>NOT_APPLICABLE</t>
        </is>
      </c>
      <c r="E182" s="51">
        <f>IF(ISNUMBER(D182),IF(ISNUMBER(BC175),ABS(BC175-D182),"N/A"),"N/A")</f>
        <v/>
      </c>
      <c r="F182" s="15">
        <f>IFERROR(IF(ISNUMBER(D182),IF(ISNUMBER(BC175),IF(ABS(BC175-D182)&lt;=1e-06,"PASS","FAIL"),"FAIL"),IF(NOT(ISNUMBER(BC175)),IF(BC175=D182,"PASS","FAIL"),"FAIL")),"FAIL")</f>
        <v/>
      </c>
      <c r="G182" s="16">
        <f>BD175</f>
        <v/>
      </c>
      <c r="H182" s="30" t="inlineStr">
        <is>
          <t>NOT_APPLICABLE</t>
        </is>
      </c>
      <c r="I182" s="15">
        <f>IF(BD175=H182,"PASS","FAIL")</f>
        <v/>
      </c>
    </row>
    <row r="183">
      <c r="B183" s="8" t="inlineStr">
        <is>
          <t>Module Status</t>
        </is>
      </c>
      <c r="C183" s="16">
        <f>BE175</f>
        <v/>
      </c>
      <c r="D183" s="30" t="inlineStr">
        <is>
          <t>OK</t>
        </is>
      </c>
      <c r="F183" s="15">
        <f>IF(BE175=D183,"PASS","FAIL")</f>
        <v/>
      </c>
    </row>
    <row r="184">
      <c r="B184" s="8" t="inlineStr">
        <is>
          <t>Analysis Period Basis</t>
        </is>
      </c>
      <c r="C184" s="16">
        <f>BF175</f>
        <v/>
      </c>
      <c r="D184" s="30" t="inlineStr">
        <is>
          <t>per_month</t>
        </is>
      </c>
      <c r="F184" s="15">
        <f>IF(BF175=D184,"PASS","FAIL")</f>
        <v/>
      </c>
    </row>
    <row r="185">
      <c r="B185" s="8" t="inlineStr">
        <is>
          <t>Self-Check: |MoS qty × CMu − Operating Profit| ≤ tol</t>
        </is>
      </c>
      <c r="C185" s="36">
        <f>IF(OR(NOT(ISNUMBER(BA175)),NOT(ISNUMBER(AN175)),NOT(ISNUMBER(AU175))),"SKIP",IF(ABS(BA175*AN175-AU175)&lt;=0.01,"PASS","FAIL"))</f>
        <v/>
      </c>
      <c r="D185" s="34" t="n"/>
      <c r="F185" s="15">
        <f>IF(C185="FAIL","FAIL","PASS")</f>
        <v/>
      </c>
    </row>
    <row r="187" ht="20" customHeight="1">
      <c r="B187" s="2" t="inlineStr">
        <is>
          <t>V14. No fixed-cost item at all (FC confirmed 0)</t>
        </is>
      </c>
      <c r="C187" s="7" t="n"/>
      <c r="D187" s="7" t="n"/>
      <c r="E187" s="7" t="n"/>
      <c r="F187" s="7" t="n"/>
      <c r="G187" s="7" t="n"/>
      <c r="H187" s="7" t="n"/>
      <c r="I187" s="7" t="n"/>
    </row>
    <row r="188">
      <c r="B188" s="4" t="inlineStr">
        <is>
          <t>Metric</t>
        </is>
      </c>
      <c r="C188" s="4" t="inlineStr">
        <is>
          <t>Excel Result</t>
        </is>
      </c>
      <c r="D188" s="4" t="inlineStr">
        <is>
          <t>Python Reference</t>
        </is>
      </c>
      <c r="E188" s="4" t="inlineStr">
        <is>
          <t>Difference</t>
        </is>
      </c>
      <c r="F188" s="4" t="inlineStr">
        <is>
          <t>PASS / FAIL</t>
        </is>
      </c>
      <c r="G188" s="4" t="inlineStr">
        <is>
          <t>Excel Status</t>
        </is>
      </c>
      <c r="H188" s="4" t="inlineStr">
        <is>
          <t>Python Status</t>
        </is>
      </c>
      <c r="I188" s="4" t="inlineStr">
        <is>
          <t>Status PASS</t>
        </is>
      </c>
    </row>
    <row r="189">
      <c r="B189" s="8" t="inlineStr">
        <is>
          <t>Planned Quantity (units)</t>
        </is>
      </c>
      <c r="C189" s="25">
        <f>AO189</f>
        <v/>
      </c>
      <c r="D189" s="21" t="n">
        <v>200</v>
      </c>
      <c r="E189" s="51">
        <f>IF(ISNUMBER(D189),IF(ISNUMBER(AO189),ABS(AO189-D189),"N/A"),"N/A")</f>
        <v/>
      </c>
      <c r="F189" s="15">
        <f>IFERROR(IF(ISNUMBER(D189),IF(ISNUMBER(AO189),IF(ABS(AO189-D189)&lt;=0.01,"PASS","FAIL"),"FAIL"),IF(NOT(ISNUMBER(AO189)),IF(AO189=D189,"PASS","FAIL"),"FAIL")),"FAIL")</f>
        <v/>
      </c>
      <c r="G189" s="16">
        <f>AP189</f>
        <v/>
      </c>
      <c r="H189" s="30" t="inlineStr">
        <is>
          <t>OK</t>
        </is>
      </c>
      <c r="I189" s="15">
        <f>IF(AP189=H189,"PASS","FAIL")</f>
        <v/>
      </c>
      <c r="M189" t="n">
        <v>35000</v>
      </c>
      <c r="N189" t="b">
        <v>1</v>
      </c>
      <c r="O189" t="n">
        <v>0.1</v>
      </c>
      <c r="P189" t="n">
        <v>13500</v>
      </c>
      <c r="Q189" t="n">
        <v>3000</v>
      </c>
      <c r="R189" t="b">
        <v>0</v>
      </c>
      <c r="S189" t="n">
        <v>0</v>
      </c>
      <c r="T189" t="n">
        <v>0.025</v>
      </c>
      <c r="V189" t="inlineStr"/>
      <c r="W189" t="inlineStr">
        <is>
          <t>none</t>
        </is>
      </c>
      <c r="X189" t="inlineStr">
        <is>
          <t>consistent</t>
        </is>
      </c>
      <c r="Y189" t="n">
        <v>1</v>
      </c>
      <c r="Z189" t="inlineStr">
        <is>
          <t>present</t>
        </is>
      </c>
      <c r="AA189" t="n">
        <v>200</v>
      </c>
      <c r="AB189" t="inlineStr">
        <is>
          <t>per_month</t>
        </is>
      </c>
      <c r="AD189">
        <f>IFERROR(IF(ISBLANK($M$189),"UNKNOWN",IF(ISBLANK($N$189),"UNKNOWN",IF($N$189=FALSE,$M$189,IF(ISBLANK($O$189),"UNKNOWN",$M$189/(1+$O$189))))),"ERROR")</f>
        <v/>
      </c>
      <c r="AE189">
        <f>IFERROR(IF(ISBLANK($M$189),"UNKNOWN",IF(ISBLANK($N$189),"UNKNOWN",IF($N$189=TRUE,$M$189,IF(ISBLANK($O$189),"UNKNOWN",$M$189*(1+$O$189))))),"ERROR")</f>
        <v/>
      </c>
      <c r="AF189">
        <f>IF($Y$189&gt;1,"ERROR",IFERROR(IF(AD189="ERROR","ERROR",IF(OR(NOT(ISNUMBER(AD189)),ISBLANK($P$189),ISBLANK($Q$189),ISBLANK($S$189),ISBLANK($T$189)),"UNKNOWN",IF($T$189&gt;0,IF(AE189="ERROR","ERROR",IF(NOT(ISNUMBER(AE189)),"UNKNOWN",AD189-$P$189-$Q$189-$S$189*AD189-$T$189*AE189)),AD189-$P$189-$Q$189-$S$189*AD189))),"ERROR"))</f>
        <v/>
      </c>
      <c r="AG189">
        <f>IF($Y$189&gt;1,"ERROR",IFERROR(IF($W$189="invalid_direct","ERROR",IF($X$189="inconsistent","ERROR",IF($W$189="none",0,IF(OR($W$189="unresolved",$W$189="blended_only"),"UNKNOWN",IF(ISBLANK($U$189),"UNKNOWN",IF($U$189&lt;0,"ERROR",$U$189)))))),"ERROR"))</f>
        <v/>
      </c>
      <c r="AH189">
        <f>IF($Y$189&gt;1,"",IF(OR($W$189="invalid_direct",$X$189="inconsistent"),"",IF($W$189="none","",IF(OR($W$189="unresolved",$W$189="blended_only"),"",IF(ISBLANK($U$189),"",IF($U$189&lt;0,"",$V$189))))))</f>
        <v/>
      </c>
      <c r="AI189">
        <f>IF($Y$189&gt;1,"ERROR",IFERROR(IF(OR(AF189="ERROR",AG189="ERROR"),"ERROR",IF(OR(NOT(ISNUMBER(AF189)),NOT(ISNUMBER(AG189))),"UNKNOWN",IF(AF189&lt;=0,"NOT_APPLICABLE",AG189/AF189))),"ERROR"))</f>
        <v/>
      </c>
      <c r="AJ189">
        <f>IF($Y$189&gt;1,"MULTI_COMPONENT_BEP_NOT_SUPPORTED",IF($W$189="invalid_direct","INVALID_ALLOCATION_CONFIGURATION",IF($X$189="inconsistent","INCONSISTENT_FIXED_COST_BASIS",IF(AND($W$189="component",NOT(ISBLANK($U$189)),$U$189&lt;0),"INVALID_NEGATIVE_COST",IF(AF189="ERROR","CALCULATION_ERROR",IF($W$189="blended_only","FIXED_COST_BLENDED_ONLY_NOT_ALLOCATED",IF($W$189="unresolved","UNSUPPORTED_SHARED_COST_ALLOCATION",IF(NOT(ISNUMBER(AF189)),"MISSING_DEPENDENCY",IF(AND($W$189="component",ISBLANK($U$189)),"MISSING_DEPENDENCY",IF(AND(AF189=0,AG189=0),"BREAK_EVEN_UNDEFINED_ZERO_MARGIN_ZERO_FIXED_COST",IF(AF189=0,"BREAK_EVEN_UNDEFINED_ZERO_MARGIN",IF(AF189&lt;0,"BREAK_EVEN_UNDEFINED_NEGATIVE_MARGIN","NONE"))))))))))))</f>
        <v/>
      </c>
      <c r="AK189">
        <f>IF(AND(NOT(ISBLANK($AA$189)),$AA$189&lt;0),"ERROR",IF(AND($AB$189&lt;&gt;"",$AB$189&lt;&gt;"per_month"),"ERROR",IF(OR(ISBLANK($AA$189),$AB$189=""),"UNKNOWN",$AA$189)))</f>
        <v/>
      </c>
      <c r="AL189">
        <f>IF(AND(ISNUMBER(AG189),AH189&lt;&gt;"",AH189&lt;&gt;"per_month"),"ERROR",AG189)</f>
        <v/>
      </c>
      <c r="AM189">
        <f>IF(ISBLANK($AC$189),"none",IF(AND(ISNUMBER($AC$189),$AC$189&gt;0),"valid","invalid"))</f>
        <v/>
      </c>
      <c r="AN189">
        <f>IF(AM189="invalid","ERROR",IF(AND(AM189="valid",$R$189=TRUE,ISNUMBER(AF189)),AF189+$Q$189*(1-1/$AC$189),AF189))</f>
        <v/>
      </c>
      <c r="AO189">
        <f>IF($Z$189="absent","NOT_RUN",IF($Y$189&gt;1,"ERROR",AK189))</f>
        <v/>
      </c>
      <c r="AP189">
        <f>IF(ISNUMBER(AO189),"OK",AO189)</f>
        <v/>
      </c>
      <c r="AQ189">
        <f>IF($Z$189="absent","NOT_RUN",IF($Y$189&gt;1,"ERROR",IFERROR(IF(OR(AK189="ERROR",AD189="ERROR"),"ERROR",IF(OR(NOT(ISNUMBER(AK189)),NOT(ISNUMBER(AD189))),"UNKNOWN",AD189*AK189)),"ERROR")))</f>
        <v/>
      </c>
      <c r="AR189">
        <f>IF(ISNUMBER(AQ189),"OK",AQ189)</f>
        <v/>
      </c>
      <c r="AS189">
        <f>IF($Z$189="absent","NOT_RUN",IF($Y$189&gt;1,"ERROR",IFERROR(IF(OR(AK189="ERROR",AN189="ERROR"),"ERROR",IF(OR(NOT(ISNUMBER(AK189)),NOT(ISNUMBER(AN189))),"UNKNOWN",AN189*AK189)),"ERROR")))</f>
        <v/>
      </c>
      <c r="AT189">
        <f>IF(ISNUMBER(AS189),IF(AND($R$189=TRUE,AM189="none"),"ESTIMATED","OK"),AS189)</f>
        <v/>
      </c>
      <c r="AU189">
        <f>IF($Z$189="absent","NOT_RUN",IF($Y$189&gt;1,"ERROR",IFERROR(IF(OR(AK189="ERROR",AN189="ERROR",AL189="ERROR"),"ERROR",IF(OR(NOT(ISNUMBER(AK189)),NOT(ISNUMBER(AN189)),NOT(ISNUMBER(AL189))),"UNKNOWN",AN189*AK189-AL189)),"ERROR")))</f>
        <v/>
      </c>
      <c r="AV189">
        <f>IF(ISNUMBER(AU189),IF(AND($R$189=TRUE,AM189="none"),"ESTIMATED","OK"),AU189)</f>
        <v/>
      </c>
      <c r="AW189">
        <f>IF($Z$189="absent","NOT_RUN",IF($Y$189&gt;1,"ERROR",IFERROR(IF(OR(AU189="ERROR",AQ189="ERROR"),"ERROR",IF(OR(NOT(ISNUMBER(AU189)),NOT(ISNUMBER(AQ189))),"UNKNOWN",IF(AQ189=0,"NOT_APPLICABLE",AU189/AQ189))),"ERROR")))</f>
        <v/>
      </c>
      <c r="AX189">
        <f>IF(ISNUMBER(AW189),IF(AND($R$189=TRUE,AM189="none"),"ESTIMATED","OK"),AW189)</f>
        <v/>
      </c>
      <c r="AY189">
        <f>IF($Z$189="absent","NOT_RUN",IF($Y$189&gt;1,"ERROR",IFERROR(IF(OR(AN189="ERROR",AL189="ERROR"),"ERROR",IF(OR(NOT(ISNUMBER(AN189)),NOT(ISNUMBER(AL189))),"UNKNOWN",IF(AN189&lt;=0,"NOT_APPLICABLE",AL189/AN189))),"ERROR")))</f>
        <v/>
      </c>
      <c r="AZ189">
        <f>IF(ISNUMBER(AY189),IF(AND($R$189=TRUE,AM189="none"),"ESTIMATED","OK"),AY189)</f>
        <v/>
      </c>
      <c r="BA189">
        <f>IF($Z$189="absent","NOT_RUN",IF($Y$189&gt;1,"ERROR",IFERROR(IF(OR(AK189="ERROR",AN189="ERROR",AL189="ERROR"),"ERROR",IF(OR(NOT(ISNUMBER(AK189)),NOT(ISNUMBER(AN189)),NOT(ISNUMBER(AL189))),"UNKNOWN",IF(AN189&lt;=0,"NOT_APPLICABLE",AK189-AY189))),"ERROR")))</f>
        <v/>
      </c>
      <c r="BB189">
        <f>IF(ISNUMBER(BA189),IF(AND($R$189=TRUE,AM189="none"),"ESTIMATED","OK"),BA189)</f>
        <v/>
      </c>
      <c r="BC189">
        <f>IF($Z$189="absent","NOT_RUN",IF($Y$189&gt;1,"ERROR",IFERROR(IF(OR(AK189="ERROR",AN189="ERROR",AL189="ERROR"),"ERROR",IF(OR(NOT(ISNUMBER(AK189)),NOT(ISNUMBER(AN189)),NOT(ISNUMBER(AL189))),"UNKNOWN",IF(OR(AN189&lt;=0,AK189=0),"NOT_APPLICABLE",(AK189-AY189)/AK189))),"ERROR")))</f>
        <v/>
      </c>
      <c r="BD189">
        <f>IF(ISNUMBER(BC189),IF(AND($R$189=TRUE,AM189="none"),"ESTIMATED","OK"),BC189)</f>
        <v/>
      </c>
      <c r="BE189">
        <f>IF($Z$189="absent","NOT_RUN",IF(OR(AP189="ERROR",AR189="ERROR",AT189="ERROR",AV189="ERROR",AX189="ERROR",AZ189="ERROR",BB189="ERROR",BD189="ERROR"),"ERROR",IF(OR(AP189="UNKNOWN",AR189="UNKNOWN",AT189="UNKNOWN",AV189="UNKNOWN",AX189="UNKNOWN",AZ189="UNKNOWN",BB189="UNKNOWN",BD189="UNKNOWN"),"INCOMPLETE","OK")))</f>
        <v/>
      </c>
      <c r="BF189">
        <f>IF($Z$189="absent","",AH189)</f>
        <v/>
      </c>
    </row>
    <row r="190">
      <c r="B190" s="8" t="inlineStr">
        <is>
          <t>Total Net Sales ex VAT</t>
        </is>
      </c>
      <c r="C190" s="52">
        <f>AQ189</f>
        <v/>
      </c>
      <c r="D190" s="53" t="n">
        <v>6363636.363636363</v>
      </c>
      <c r="E190" s="51">
        <f>IF(ISNUMBER(D190),IF(ISNUMBER(AQ189),ABS(AQ189-D190),"N/A"),"N/A")</f>
        <v/>
      </c>
      <c r="F190" s="15">
        <f>IFERROR(IF(ISNUMBER(D190),IF(ISNUMBER(AQ189),IF(ABS(AQ189-D190)&lt;=0.01,"PASS","FAIL"),"FAIL"),IF(NOT(ISNUMBER(AQ189)),IF(AQ189=D190,"PASS","FAIL"),"FAIL")),"FAIL")</f>
        <v/>
      </c>
      <c r="G190" s="16">
        <f>AR189</f>
        <v/>
      </c>
      <c r="H190" s="30" t="inlineStr">
        <is>
          <t>OK</t>
        </is>
      </c>
      <c r="I190" s="15">
        <f>IF(AR189=H190,"PASS","FAIL")</f>
        <v/>
      </c>
    </row>
    <row r="191">
      <c r="B191" s="8" t="inlineStr">
        <is>
          <t>Total Contribution Margin</t>
        </is>
      </c>
      <c r="C191" s="52">
        <f>AS189</f>
        <v/>
      </c>
      <c r="D191" s="53" t="n">
        <v>2888636.363636363</v>
      </c>
      <c r="E191" s="51">
        <f>IF(ISNUMBER(D191),IF(ISNUMBER(AS189),ABS(AS189-D191),"N/A"),"N/A")</f>
        <v/>
      </c>
      <c r="F191" s="15">
        <f>IFERROR(IF(ISNUMBER(D191),IF(ISNUMBER(AS189),IF(ABS(AS189-D191)&lt;=0.01,"PASS","FAIL"),"FAIL"),IF(NOT(ISNUMBER(AS189)),IF(AS189=D191,"PASS","FAIL"),"FAIL")),"FAIL")</f>
        <v/>
      </c>
      <c r="G191" s="16">
        <f>AT189</f>
        <v/>
      </c>
      <c r="H191" s="30" t="inlineStr">
        <is>
          <t>OK</t>
        </is>
      </c>
      <c r="I191" s="15">
        <f>IF(AT189=H191,"PASS","FAIL")</f>
        <v/>
      </c>
    </row>
    <row r="192">
      <c r="B192" s="8" t="inlineStr">
        <is>
          <t>Operating Profit</t>
        </is>
      </c>
      <c r="C192" s="52">
        <f>AU189</f>
        <v/>
      </c>
      <c r="D192" s="53" t="n">
        <v>2888636.363636363</v>
      </c>
      <c r="E192" s="51">
        <f>IF(ISNUMBER(D192),IF(ISNUMBER(AU189),ABS(AU189-D192),"N/A"),"N/A")</f>
        <v/>
      </c>
      <c r="F192" s="15">
        <f>IFERROR(IF(ISNUMBER(D192),IF(ISNUMBER(AU189),IF(ABS(AU189-D192)&lt;=0.01,"PASS","FAIL"),"FAIL"),IF(NOT(ISNUMBER(AU189)),IF(AU189=D192,"PASS","FAIL"),"FAIL")),"FAIL")</f>
        <v/>
      </c>
      <c r="G192" s="16">
        <f>AV189</f>
        <v/>
      </c>
      <c r="H192" s="30" t="inlineStr">
        <is>
          <t>OK</t>
        </is>
      </c>
      <c r="I192" s="15">
        <f>IF(AV189=H192,"PASS","FAIL")</f>
        <v/>
      </c>
    </row>
    <row r="193">
      <c r="B193" s="8" t="inlineStr">
        <is>
          <t>Operating Profit Rate</t>
        </is>
      </c>
      <c r="C193" s="54">
        <f>AW189</f>
        <v/>
      </c>
      <c r="D193" s="55" t="n">
        <v>0.4539285714285714</v>
      </c>
      <c r="E193" s="51">
        <f>IF(ISNUMBER(D193),IF(ISNUMBER(AW189),ABS(AW189-D193),"N/A"),"N/A")</f>
        <v/>
      </c>
      <c r="F193" s="15">
        <f>IFERROR(IF(ISNUMBER(D193),IF(ISNUMBER(AW189),IF(ABS(AW189-D193)&lt;=1e-06,"PASS","FAIL"),"FAIL"),IF(NOT(ISNUMBER(AW189)),IF(AW189=D193,"PASS","FAIL"),"FAIL")),"FAIL")</f>
        <v/>
      </c>
      <c r="G193" s="16">
        <f>AX189</f>
        <v/>
      </c>
      <c r="H193" s="30" t="inlineStr">
        <is>
          <t>OK</t>
        </is>
      </c>
      <c r="I193" s="15">
        <f>IF(AX189=H193,"PASS","FAIL")</f>
        <v/>
      </c>
    </row>
    <row r="194">
      <c r="B194" s="8" t="inlineStr">
        <is>
          <t>Break-Even Quantity (Q_BEP)</t>
        </is>
      </c>
      <c r="C194" s="25">
        <f>AY189</f>
        <v/>
      </c>
      <c r="D194" s="21" t="n">
        <v>0</v>
      </c>
      <c r="E194" s="51">
        <f>IF(ISNUMBER(D194),IF(ISNUMBER(AY189),ABS(AY189-D194),"N/A"),"N/A")</f>
        <v/>
      </c>
      <c r="F194" s="15">
        <f>IFERROR(IF(ISNUMBER(D194),IF(ISNUMBER(AY189),IF(ABS(AY189-D194)&lt;=0.01,"PASS","FAIL"),"FAIL"),IF(NOT(ISNUMBER(AY189)),IF(AY189=D194,"PASS","FAIL"),"FAIL")),"FAIL")</f>
        <v/>
      </c>
      <c r="G194" s="16">
        <f>AZ189</f>
        <v/>
      </c>
      <c r="H194" s="30" t="inlineStr">
        <is>
          <t>OK</t>
        </is>
      </c>
      <c r="I194" s="15">
        <f>IF(AZ189=H194,"PASS","FAIL")</f>
        <v/>
      </c>
    </row>
    <row r="195">
      <c r="B195" s="8" t="inlineStr">
        <is>
          <t>Margin of Safety Quantity</t>
        </is>
      </c>
      <c r="C195" s="25">
        <f>BA189</f>
        <v/>
      </c>
      <c r="D195" s="21" t="n">
        <v>200</v>
      </c>
      <c r="E195" s="51">
        <f>IF(ISNUMBER(D195),IF(ISNUMBER(BA189),ABS(BA189-D195),"N/A"),"N/A")</f>
        <v/>
      </c>
      <c r="F195" s="15">
        <f>IFERROR(IF(ISNUMBER(D195),IF(ISNUMBER(BA189),IF(ABS(BA189-D195)&lt;=0.01,"PASS","FAIL"),"FAIL"),IF(NOT(ISNUMBER(BA189)),IF(BA189=D195,"PASS","FAIL"),"FAIL")),"FAIL")</f>
        <v/>
      </c>
      <c r="G195" s="16">
        <f>BB189</f>
        <v/>
      </c>
      <c r="H195" s="30" t="inlineStr">
        <is>
          <t>OK</t>
        </is>
      </c>
      <c r="I195" s="15">
        <f>IF(BB189=H195,"PASS","FAIL")</f>
        <v/>
      </c>
    </row>
    <row r="196">
      <c r="B196" s="8" t="inlineStr">
        <is>
          <t>Margin of Safety Rate</t>
        </is>
      </c>
      <c r="C196" s="54">
        <f>BC189</f>
        <v/>
      </c>
      <c r="D196" s="55" t="n">
        <v>1</v>
      </c>
      <c r="E196" s="51">
        <f>IF(ISNUMBER(D196),IF(ISNUMBER(BC189),ABS(BC189-D196),"N/A"),"N/A")</f>
        <v/>
      </c>
      <c r="F196" s="15">
        <f>IFERROR(IF(ISNUMBER(D196),IF(ISNUMBER(BC189),IF(ABS(BC189-D196)&lt;=1e-06,"PASS","FAIL"),"FAIL"),IF(NOT(ISNUMBER(BC189)),IF(BC189=D196,"PASS","FAIL"),"FAIL")),"FAIL")</f>
        <v/>
      </c>
      <c r="G196" s="16">
        <f>BD189</f>
        <v/>
      </c>
      <c r="H196" s="30" t="inlineStr">
        <is>
          <t>OK</t>
        </is>
      </c>
      <c r="I196" s="15">
        <f>IF(BD189=H196,"PASS","FAIL")</f>
        <v/>
      </c>
    </row>
    <row r="197">
      <c r="B197" s="8" t="inlineStr">
        <is>
          <t>Module Status</t>
        </is>
      </c>
      <c r="C197" s="16">
        <f>BE189</f>
        <v/>
      </c>
      <c r="D197" s="30" t="inlineStr">
        <is>
          <t>OK</t>
        </is>
      </c>
      <c r="F197" s="15">
        <f>IF(BE189=D197,"PASS","FAIL")</f>
        <v/>
      </c>
    </row>
    <row r="198">
      <c r="B198" s="8" t="inlineStr">
        <is>
          <t>Analysis Period Basis</t>
        </is>
      </c>
      <c r="C198" s="16">
        <f>BF189</f>
        <v/>
      </c>
      <c r="D198" s="30" t="inlineStr"/>
      <c r="F198" s="15">
        <f>IF(BF189=D198,"PASS","FAIL")</f>
        <v/>
      </c>
    </row>
    <row r="199">
      <c r="B199" s="8" t="inlineStr">
        <is>
          <t>Self-Check: |MoS qty × CMu − Operating Profit| ≤ tol</t>
        </is>
      </c>
      <c r="C199" s="36">
        <f>IF(OR(NOT(ISNUMBER(BA189)),NOT(ISNUMBER(AN189)),NOT(ISNUMBER(AU189))),"SKIP",IF(ABS(BA189*AN189-AU189)&lt;=0.01,"PASS","FAIL"))</f>
        <v/>
      </c>
      <c r="D199" s="34" t="n"/>
      <c r="F199" s="15">
        <f>IF(C199="FAIL","FAIL","PASS")</f>
        <v/>
      </c>
    </row>
    <row r="201" ht="20" customHeight="1">
      <c r="B201" s="2" t="inlineStr">
        <is>
          <t>V15. Fixed-cost item exists, amount blank -&gt; UNKNOWN</t>
        </is>
      </c>
      <c r="C201" s="7" t="n"/>
      <c r="D201" s="7" t="n"/>
      <c r="E201" s="7" t="n"/>
      <c r="F201" s="7" t="n"/>
      <c r="G201" s="7" t="n"/>
      <c r="H201" s="7" t="n"/>
      <c r="I201" s="7" t="n"/>
    </row>
    <row r="202">
      <c r="B202" s="4" t="inlineStr">
        <is>
          <t>Metric</t>
        </is>
      </c>
      <c r="C202" s="4" t="inlineStr">
        <is>
          <t>Excel Result</t>
        </is>
      </c>
      <c r="D202" s="4" t="inlineStr">
        <is>
          <t>Python Reference</t>
        </is>
      </c>
      <c r="E202" s="4" t="inlineStr">
        <is>
          <t>Difference</t>
        </is>
      </c>
      <c r="F202" s="4" t="inlineStr">
        <is>
          <t>PASS / FAIL</t>
        </is>
      </c>
      <c r="G202" s="4" t="inlineStr">
        <is>
          <t>Excel Status</t>
        </is>
      </c>
      <c r="H202" s="4" t="inlineStr">
        <is>
          <t>Python Status</t>
        </is>
      </c>
      <c r="I202" s="4" t="inlineStr">
        <is>
          <t>Status PASS</t>
        </is>
      </c>
    </row>
    <row r="203">
      <c r="B203" s="8" t="inlineStr">
        <is>
          <t>Planned Quantity (units)</t>
        </is>
      </c>
      <c r="C203" s="25">
        <f>AO203</f>
        <v/>
      </c>
      <c r="D203" s="21" t="n">
        <v>200</v>
      </c>
      <c r="E203" s="51">
        <f>IF(ISNUMBER(D203),IF(ISNUMBER(AO203),ABS(AO203-D203),"N/A"),"N/A")</f>
        <v/>
      </c>
      <c r="F203" s="15">
        <f>IFERROR(IF(ISNUMBER(D203),IF(ISNUMBER(AO203),IF(ABS(AO203-D203)&lt;=0.01,"PASS","FAIL"),"FAIL"),IF(NOT(ISNUMBER(AO203)),IF(AO203=D203,"PASS","FAIL"),"FAIL")),"FAIL")</f>
        <v/>
      </c>
      <c r="G203" s="16">
        <f>AP203</f>
        <v/>
      </c>
      <c r="H203" s="30" t="inlineStr">
        <is>
          <t>OK</t>
        </is>
      </c>
      <c r="I203" s="15">
        <f>IF(AP203=H203,"PASS","FAIL")</f>
        <v/>
      </c>
      <c r="M203" t="n">
        <v>35000</v>
      </c>
      <c r="N203" t="b">
        <v>1</v>
      </c>
      <c r="O203" t="n">
        <v>0.1</v>
      </c>
      <c r="P203" t="n">
        <v>13500</v>
      </c>
      <c r="Q203" t="n">
        <v>3000</v>
      </c>
      <c r="R203" t="b">
        <v>0</v>
      </c>
      <c r="S203" t="n">
        <v>0</v>
      </c>
      <c r="T203" t="n">
        <v>0.025</v>
      </c>
      <c r="V203" t="inlineStr">
        <is>
          <t>per_month</t>
        </is>
      </c>
      <c r="W203" t="inlineStr">
        <is>
          <t>component</t>
        </is>
      </c>
      <c r="X203" t="inlineStr">
        <is>
          <t>consistent</t>
        </is>
      </c>
      <c r="Y203" t="n">
        <v>1</v>
      </c>
      <c r="Z203" t="inlineStr">
        <is>
          <t>present</t>
        </is>
      </c>
      <c r="AA203" t="n">
        <v>200</v>
      </c>
      <c r="AB203" t="inlineStr">
        <is>
          <t>per_month</t>
        </is>
      </c>
      <c r="AD203">
        <f>IFERROR(IF(ISBLANK($M$203),"UNKNOWN",IF(ISBLANK($N$203),"UNKNOWN",IF($N$203=FALSE,$M$203,IF(ISBLANK($O$203),"UNKNOWN",$M$203/(1+$O$203))))),"ERROR")</f>
        <v/>
      </c>
      <c r="AE203">
        <f>IFERROR(IF(ISBLANK($M$203),"UNKNOWN",IF(ISBLANK($N$203),"UNKNOWN",IF($N$203=TRUE,$M$203,IF(ISBLANK($O$203),"UNKNOWN",$M$203*(1+$O$203))))),"ERROR")</f>
        <v/>
      </c>
      <c r="AF203">
        <f>IF($Y$203&gt;1,"ERROR",IFERROR(IF(AD203="ERROR","ERROR",IF(OR(NOT(ISNUMBER(AD203)),ISBLANK($P$203),ISBLANK($Q$203),ISBLANK($S$203),ISBLANK($T$203)),"UNKNOWN",IF($T$203&gt;0,IF(AE203="ERROR","ERROR",IF(NOT(ISNUMBER(AE203)),"UNKNOWN",AD203-$P$203-$Q$203-$S$203*AD203-$T$203*AE203)),AD203-$P$203-$Q$203-$S$203*AD203))),"ERROR"))</f>
        <v/>
      </c>
      <c r="AG203">
        <f>IF($Y$203&gt;1,"ERROR",IFERROR(IF($W$203="invalid_direct","ERROR",IF($X$203="inconsistent","ERROR",IF($W$203="none",0,IF(OR($W$203="unresolved",$W$203="blended_only"),"UNKNOWN",IF(ISBLANK($U$203),"UNKNOWN",IF($U$203&lt;0,"ERROR",$U$203)))))),"ERROR"))</f>
        <v/>
      </c>
      <c r="AH203">
        <f>IF($Y$203&gt;1,"",IF(OR($W$203="invalid_direct",$X$203="inconsistent"),"",IF($W$203="none","",IF(OR($W$203="unresolved",$W$203="blended_only"),"",IF(ISBLANK($U$203),"",IF($U$203&lt;0,"",$V$203))))))</f>
        <v/>
      </c>
      <c r="AI203">
        <f>IF($Y$203&gt;1,"ERROR",IFERROR(IF(OR(AF203="ERROR",AG203="ERROR"),"ERROR",IF(OR(NOT(ISNUMBER(AF203)),NOT(ISNUMBER(AG203))),"UNKNOWN",IF(AF203&lt;=0,"NOT_APPLICABLE",AG203/AF203))),"ERROR"))</f>
        <v/>
      </c>
      <c r="AJ203">
        <f>IF($Y$203&gt;1,"MULTI_COMPONENT_BEP_NOT_SUPPORTED",IF($W$203="invalid_direct","INVALID_ALLOCATION_CONFIGURATION",IF($X$203="inconsistent","INCONSISTENT_FIXED_COST_BASIS",IF(AND($W$203="component",NOT(ISBLANK($U$203)),$U$203&lt;0),"INVALID_NEGATIVE_COST",IF(AF203="ERROR","CALCULATION_ERROR",IF($W$203="blended_only","FIXED_COST_BLENDED_ONLY_NOT_ALLOCATED",IF($W$203="unresolved","UNSUPPORTED_SHARED_COST_ALLOCATION",IF(NOT(ISNUMBER(AF203)),"MISSING_DEPENDENCY",IF(AND($W$203="component",ISBLANK($U$203)),"MISSING_DEPENDENCY",IF(AND(AF203=0,AG203=0),"BREAK_EVEN_UNDEFINED_ZERO_MARGIN_ZERO_FIXED_COST",IF(AF203=0,"BREAK_EVEN_UNDEFINED_ZERO_MARGIN",IF(AF203&lt;0,"BREAK_EVEN_UNDEFINED_NEGATIVE_MARGIN","NONE"))))))))))))</f>
        <v/>
      </c>
      <c r="AK203">
        <f>IF(AND(NOT(ISBLANK($AA$203)),$AA$203&lt;0),"ERROR",IF(AND($AB$203&lt;&gt;"",$AB$203&lt;&gt;"per_month"),"ERROR",IF(OR(ISBLANK($AA$203),$AB$203=""),"UNKNOWN",$AA$203)))</f>
        <v/>
      </c>
      <c r="AL203">
        <f>IF(AND(ISNUMBER(AG203),AH203&lt;&gt;"",AH203&lt;&gt;"per_month"),"ERROR",AG203)</f>
        <v/>
      </c>
      <c r="AM203">
        <f>IF(ISBLANK($AC$203),"none",IF(AND(ISNUMBER($AC$203),$AC$203&gt;0),"valid","invalid"))</f>
        <v/>
      </c>
      <c r="AN203">
        <f>IF(AM203="invalid","ERROR",IF(AND(AM203="valid",$R$203=TRUE,ISNUMBER(AF203)),AF203+$Q$203*(1-1/$AC$203),AF203))</f>
        <v/>
      </c>
      <c r="AO203">
        <f>IF($Z$203="absent","NOT_RUN",IF($Y$203&gt;1,"ERROR",AK203))</f>
        <v/>
      </c>
      <c r="AP203">
        <f>IF(ISNUMBER(AO203),"OK",AO203)</f>
        <v/>
      </c>
      <c r="AQ203">
        <f>IF($Z$203="absent","NOT_RUN",IF($Y$203&gt;1,"ERROR",IFERROR(IF(OR(AK203="ERROR",AD203="ERROR"),"ERROR",IF(OR(NOT(ISNUMBER(AK203)),NOT(ISNUMBER(AD203))),"UNKNOWN",AD203*AK203)),"ERROR")))</f>
        <v/>
      </c>
      <c r="AR203">
        <f>IF(ISNUMBER(AQ203),"OK",AQ203)</f>
        <v/>
      </c>
      <c r="AS203">
        <f>IF($Z$203="absent","NOT_RUN",IF($Y$203&gt;1,"ERROR",IFERROR(IF(OR(AK203="ERROR",AN203="ERROR"),"ERROR",IF(OR(NOT(ISNUMBER(AK203)),NOT(ISNUMBER(AN203))),"UNKNOWN",AN203*AK203)),"ERROR")))</f>
        <v/>
      </c>
      <c r="AT203">
        <f>IF(ISNUMBER(AS203),IF(AND($R$203=TRUE,AM203="none"),"ESTIMATED","OK"),AS203)</f>
        <v/>
      </c>
      <c r="AU203">
        <f>IF($Z$203="absent","NOT_RUN",IF($Y$203&gt;1,"ERROR",IFERROR(IF(OR(AK203="ERROR",AN203="ERROR",AL203="ERROR"),"ERROR",IF(OR(NOT(ISNUMBER(AK203)),NOT(ISNUMBER(AN203)),NOT(ISNUMBER(AL203))),"UNKNOWN",AN203*AK203-AL203)),"ERROR")))</f>
        <v/>
      </c>
      <c r="AV203">
        <f>IF(ISNUMBER(AU203),IF(AND($R$203=TRUE,AM203="none"),"ESTIMATED","OK"),AU203)</f>
        <v/>
      </c>
      <c r="AW203">
        <f>IF($Z$203="absent","NOT_RUN",IF($Y$203&gt;1,"ERROR",IFERROR(IF(OR(AU203="ERROR",AQ203="ERROR"),"ERROR",IF(OR(NOT(ISNUMBER(AU203)),NOT(ISNUMBER(AQ203))),"UNKNOWN",IF(AQ203=0,"NOT_APPLICABLE",AU203/AQ203))),"ERROR")))</f>
        <v/>
      </c>
      <c r="AX203">
        <f>IF(ISNUMBER(AW203),IF(AND($R$203=TRUE,AM203="none"),"ESTIMATED","OK"),AW203)</f>
        <v/>
      </c>
      <c r="AY203">
        <f>IF($Z$203="absent","NOT_RUN",IF($Y$203&gt;1,"ERROR",IFERROR(IF(OR(AN203="ERROR",AL203="ERROR"),"ERROR",IF(OR(NOT(ISNUMBER(AN203)),NOT(ISNUMBER(AL203))),"UNKNOWN",IF(AN203&lt;=0,"NOT_APPLICABLE",AL203/AN203))),"ERROR")))</f>
        <v/>
      </c>
      <c r="AZ203">
        <f>IF(ISNUMBER(AY203),IF(AND($R$203=TRUE,AM203="none"),"ESTIMATED","OK"),AY203)</f>
        <v/>
      </c>
      <c r="BA203">
        <f>IF($Z$203="absent","NOT_RUN",IF($Y$203&gt;1,"ERROR",IFERROR(IF(OR(AK203="ERROR",AN203="ERROR",AL203="ERROR"),"ERROR",IF(OR(NOT(ISNUMBER(AK203)),NOT(ISNUMBER(AN203)),NOT(ISNUMBER(AL203))),"UNKNOWN",IF(AN203&lt;=0,"NOT_APPLICABLE",AK203-AY203))),"ERROR")))</f>
        <v/>
      </c>
      <c r="BB203">
        <f>IF(ISNUMBER(BA203),IF(AND($R$203=TRUE,AM203="none"),"ESTIMATED","OK"),BA203)</f>
        <v/>
      </c>
      <c r="BC203">
        <f>IF($Z$203="absent","NOT_RUN",IF($Y$203&gt;1,"ERROR",IFERROR(IF(OR(AK203="ERROR",AN203="ERROR",AL203="ERROR"),"ERROR",IF(OR(NOT(ISNUMBER(AK203)),NOT(ISNUMBER(AN203)),NOT(ISNUMBER(AL203))),"UNKNOWN",IF(OR(AN203&lt;=0,AK203=0),"NOT_APPLICABLE",(AK203-AY203)/AK203))),"ERROR")))</f>
        <v/>
      </c>
      <c r="BD203">
        <f>IF(ISNUMBER(BC203),IF(AND($R$203=TRUE,AM203="none"),"ESTIMATED","OK"),BC203)</f>
        <v/>
      </c>
      <c r="BE203">
        <f>IF($Z$203="absent","NOT_RUN",IF(OR(AP203="ERROR",AR203="ERROR",AT203="ERROR",AV203="ERROR",AX203="ERROR",AZ203="ERROR",BB203="ERROR",BD203="ERROR"),"ERROR",IF(OR(AP203="UNKNOWN",AR203="UNKNOWN",AT203="UNKNOWN",AV203="UNKNOWN",AX203="UNKNOWN",AZ203="UNKNOWN",BB203="UNKNOWN",BD203="UNKNOWN"),"INCOMPLETE","OK")))</f>
        <v/>
      </c>
      <c r="BF203">
        <f>IF($Z$203="absent","",AH203)</f>
        <v/>
      </c>
    </row>
    <row r="204">
      <c r="B204" s="8" t="inlineStr">
        <is>
          <t>Total Net Sales ex VAT</t>
        </is>
      </c>
      <c r="C204" s="52">
        <f>AQ203</f>
        <v/>
      </c>
      <c r="D204" s="53" t="n">
        <v>6363636.363636363</v>
      </c>
      <c r="E204" s="51">
        <f>IF(ISNUMBER(D204),IF(ISNUMBER(AQ203),ABS(AQ203-D204),"N/A"),"N/A")</f>
        <v/>
      </c>
      <c r="F204" s="15">
        <f>IFERROR(IF(ISNUMBER(D204),IF(ISNUMBER(AQ203),IF(ABS(AQ203-D204)&lt;=0.01,"PASS","FAIL"),"FAIL"),IF(NOT(ISNUMBER(AQ203)),IF(AQ203=D204,"PASS","FAIL"),"FAIL")),"FAIL")</f>
        <v/>
      </c>
      <c r="G204" s="16">
        <f>AR203</f>
        <v/>
      </c>
      <c r="H204" s="30" t="inlineStr">
        <is>
          <t>OK</t>
        </is>
      </c>
      <c r="I204" s="15">
        <f>IF(AR203=H204,"PASS","FAIL")</f>
        <v/>
      </c>
    </row>
    <row r="205">
      <c r="B205" s="8" t="inlineStr">
        <is>
          <t>Total Contribution Margin</t>
        </is>
      </c>
      <c r="C205" s="52">
        <f>AS203</f>
        <v/>
      </c>
      <c r="D205" s="53" t="n">
        <v>2888636.363636363</v>
      </c>
      <c r="E205" s="51">
        <f>IF(ISNUMBER(D205),IF(ISNUMBER(AS203),ABS(AS203-D205),"N/A"),"N/A")</f>
        <v/>
      </c>
      <c r="F205" s="15">
        <f>IFERROR(IF(ISNUMBER(D205),IF(ISNUMBER(AS203),IF(ABS(AS203-D205)&lt;=0.01,"PASS","FAIL"),"FAIL"),IF(NOT(ISNUMBER(AS203)),IF(AS203=D205,"PASS","FAIL"),"FAIL")),"FAIL")</f>
        <v/>
      </c>
      <c r="G205" s="16">
        <f>AT203</f>
        <v/>
      </c>
      <c r="H205" s="30" t="inlineStr">
        <is>
          <t>OK</t>
        </is>
      </c>
      <c r="I205" s="15">
        <f>IF(AT203=H205,"PASS","FAIL")</f>
        <v/>
      </c>
    </row>
    <row r="206">
      <c r="B206" s="8" t="inlineStr">
        <is>
          <t>Operating Profit</t>
        </is>
      </c>
      <c r="C206" s="52">
        <f>AU203</f>
        <v/>
      </c>
      <c r="D206" s="30" t="inlineStr">
        <is>
          <t>UNKNOWN</t>
        </is>
      </c>
      <c r="E206" s="51">
        <f>IF(ISNUMBER(D206),IF(ISNUMBER(AU203),ABS(AU203-D206),"N/A"),"N/A")</f>
        <v/>
      </c>
      <c r="F206" s="15">
        <f>IFERROR(IF(ISNUMBER(D206),IF(ISNUMBER(AU203),IF(ABS(AU203-D206)&lt;=0.01,"PASS","FAIL"),"FAIL"),IF(NOT(ISNUMBER(AU203)),IF(AU203=D206,"PASS","FAIL"),"FAIL")),"FAIL")</f>
        <v/>
      </c>
      <c r="G206" s="16">
        <f>AV203</f>
        <v/>
      </c>
      <c r="H206" s="30" t="inlineStr">
        <is>
          <t>UNKNOWN</t>
        </is>
      </c>
      <c r="I206" s="15">
        <f>IF(AV203=H206,"PASS","FAIL")</f>
        <v/>
      </c>
    </row>
    <row r="207">
      <c r="B207" s="8" t="inlineStr">
        <is>
          <t>Operating Profit Rate</t>
        </is>
      </c>
      <c r="C207" s="54">
        <f>AW203</f>
        <v/>
      </c>
      <c r="D207" s="30" t="inlineStr">
        <is>
          <t>UNKNOWN</t>
        </is>
      </c>
      <c r="E207" s="51">
        <f>IF(ISNUMBER(D207),IF(ISNUMBER(AW203),ABS(AW203-D207),"N/A"),"N/A")</f>
        <v/>
      </c>
      <c r="F207" s="15">
        <f>IFERROR(IF(ISNUMBER(D207),IF(ISNUMBER(AW203),IF(ABS(AW203-D207)&lt;=1e-06,"PASS","FAIL"),"FAIL"),IF(NOT(ISNUMBER(AW203)),IF(AW203=D207,"PASS","FAIL"),"FAIL")),"FAIL")</f>
        <v/>
      </c>
      <c r="G207" s="16">
        <f>AX203</f>
        <v/>
      </c>
      <c r="H207" s="30" t="inlineStr">
        <is>
          <t>UNKNOWN</t>
        </is>
      </c>
      <c r="I207" s="15">
        <f>IF(AX203=H207,"PASS","FAIL")</f>
        <v/>
      </c>
    </row>
    <row r="208">
      <c r="B208" s="8" t="inlineStr">
        <is>
          <t>Break-Even Quantity (Q_BEP)</t>
        </is>
      </c>
      <c r="C208" s="25">
        <f>AY203</f>
        <v/>
      </c>
      <c r="D208" s="30" t="inlineStr">
        <is>
          <t>UNKNOWN</t>
        </is>
      </c>
      <c r="E208" s="51">
        <f>IF(ISNUMBER(D208),IF(ISNUMBER(AY203),ABS(AY203-D208),"N/A"),"N/A")</f>
        <v/>
      </c>
      <c r="F208" s="15">
        <f>IFERROR(IF(ISNUMBER(D208),IF(ISNUMBER(AY203),IF(ABS(AY203-D208)&lt;=0.01,"PASS","FAIL"),"FAIL"),IF(NOT(ISNUMBER(AY203)),IF(AY203=D208,"PASS","FAIL"),"FAIL")),"FAIL")</f>
        <v/>
      </c>
      <c r="G208" s="16">
        <f>AZ203</f>
        <v/>
      </c>
      <c r="H208" s="30" t="inlineStr">
        <is>
          <t>UNKNOWN</t>
        </is>
      </c>
      <c r="I208" s="15">
        <f>IF(AZ203=H208,"PASS","FAIL")</f>
        <v/>
      </c>
    </row>
    <row r="209">
      <c r="B209" s="8" t="inlineStr">
        <is>
          <t>Margin of Safety Quantity</t>
        </is>
      </c>
      <c r="C209" s="25">
        <f>BA203</f>
        <v/>
      </c>
      <c r="D209" s="30" t="inlineStr">
        <is>
          <t>UNKNOWN</t>
        </is>
      </c>
      <c r="E209" s="51">
        <f>IF(ISNUMBER(D209),IF(ISNUMBER(BA203),ABS(BA203-D209),"N/A"),"N/A")</f>
        <v/>
      </c>
      <c r="F209" s="15">
        <f>IFERROR(IF(ISNUMBER(D209),IF(ISNUMBER(BA203),IF(ABS(BA203-D209)&lt;=0.01,"PASS","FAIL"),"FAIL"),IF(NOT(ISNUMBER(BA203)),IF(BA203=D209,"PASS","FAIL"),"FAIL")),"FAIL")</f>
        <v/>
      </c>
      <c r="G209" s="16">
        <f>BB203</f>
        <v/>
      </c>
      <c r="H209" s="30" t="inlineStr">
        <is>
          <t>UNKNOWN</t>
        </is>
      </c>
      <c r="I209" s="15">
        <f>IF(BB203=H209,"PASS","FAIL")</f>
        <v/>
      </c>
    </row>
    <row r="210">
      <c r="B210" s="8" t="inlineStr">
        <is>
          <t>Margin of Safety Rate</t>
        </is>
      </c>
      <c r="C210" s="54">
        <f>BC203</f>
        <v/>
      </c>
      <c r="D210" s="30" t="inlineStr">
        <is>
          <t>UNKNOWN</t>
        </is>
      </c>
      <c r="E210" s="51">
        <f>IF(ISNUMBER(D210),IF(ISNUMBER(BC203),ABS(BC203-D210),"N/A"),"N/A")</f>
        <v/>
      </c>
      <c r="F210" s="15">
        <f>IFERROR(IF(ISNUMBER(D210),IF(ISNUMBER(BC203),IF(ABS(BC203-D210)&lt;=1e-06,"PASS","FAIL"),"FAIL"),IF(NOT(ISNUMBER(BC203)),IF(BC203=D210,"PASS","FAIL"),"FAIL")),"FAIL")</f>
        <v/>
      </c>
      <c r="G210" s="16">
        <f>BD203</f>
        <v/>
      </c>
      <c r="H210" s="30" t="inlineStr">
        <is>
          <t>UNKNOWN</t>
        </is>
      </c>
      <c r="I210" s="15">
        <f>IF(BD203=H210,"PASS","FAIL")</f>
        <v/>
      </c>
    </row>
    <row r="211">
      <c r="B211" s="8" t="inlineStr">
        <is>
          <t>Module Status</t>
        </is>
      </c>
      <c r="C211" s="16">
        <f>BE203</f>
        <v/>
      </c>
      <c r="D211" s="30" t="inlineStr">
        <is>
          <t>INCOMPLETE</t>
        </is>
      </c>
      <c r="F211" s="15">
        <f>IF(BE203=D211,"PASS","FAIL")</f>
        <v/>
      </c>
    </row>
    <row r="212">
      <c r="B212" s="8" t="inlineStr">
        <is>
          <t>Analysis Period Basis</t>
        </is>
      </c>
      <c r="C212" s="16">
        <f>BF203</f>
        <v/>
      </c>
      <c r="D212" s="30" t="inlineStr"/>
      <c r="F212" s="15">
        <f>IF(BF203=D212,"PASS","FAIL")</f>
        <v/>
      </c>
    </row>
    <row r="213">
      <c r="B213" s="8" t="inlineStr">
        <is>
          <t>Self-Check: |MoS qty × CMu − Operating Profit| ≤ tol</t>
        </is>
      </c>
      <c r="C213" s="36">
        <f>IF(OR(NOT(ISNUMBER(BA203)),NOT(ISNUMBER(AN203)),NOT(ISNUMBER(AU203))),"SKIP",IF(ABS(BA203*AN203-AU203)&lt;=0.01,"PASS","FAIL"))</f>
        <v/>
      </c>
      <c r="D213" s="34" t="n"/>
      <c r="F213" s="15">
        <f>IF(C213="FAIL","FAIL","PASS")</f>
        <v/>
      </c>
    </row>
    <row r="215" ht="20" customHeight="1">
      <c r="B215" s="2" t="inlineStr">
        <is>
          <t>V16. Shared fixed cost, unresolved allocation</t>
        </is>
      </c>
      <c r="C215" s="7" t="n"/>
      <c r="D215" s="7" t="n"/>
      <c r="E215" s="7" t="n"/>
      <c r="F215" s="7" t="n"/>
      <c r="G215" s="7" t="n"/>
      <c r="H215" s="7" t="n"/>
      <c r="I215" s="7" t="n"/>
    </row>
    <row r="216">
      <c r="B216" s="4" t="inlineStr">
        <is>
          <t>Metric</t>
        </is>
      </c>
      <c r="C216" s="4" t="inlineStr">
        <is>
          <t>Excel Result</t>
        </is>
      </c>
      <c r="D216" s="4" t="inlineStr">
        <is>
          <t>Python Reference</t>
        </is>
      </c>
      <c r="E216" s="4" t="inlineStr">
        <is>
          <t>Difference</t>
        </is>
      </c>
      <c r="F216" s="4" t="inlineStr">
        <is>
          <t>PASS / FAIL</t>
        </is>
      </c>
      <c r="G216" s="4" t="inlineStr">
        <is>
          <t>Excel Status</t>
        </is>
      </c>
      <c r="H216" s="4" t="inlineStr">
        <is>
          <t>Python Status</t>
        </is>
      </c>
      <c r="I216" s="4" t="inlineStr">
        <is>
          <t>Status PASS</t>
        </is>
      </c>
    </row>
    <row r="217">
      <c r="B217" s="8" t="inlineStr">
        <is>
          <t>Planned Quantity (units)</t>
        </is>
      </c>
      <c r="C217" s="25">
        <f>AO217</f>
        <v/>
      </c>
      <c r="D217" s="21" t="n">
        <v>200</v>
      </c>
      <c r="E217" s="51">
        <f>IF(ISNUMBER(D217),IF(ISNUMBER(AO217),ABS(AO217-D217),"N/A"),"N/A")</f>
        <v/>
      </c>
      <c r="F217" s="15">
        <f>IFERROR(IF(ISNUMBER(D217),IF(ISNUMBER(AO217),IF(ABS(AO217-D217)&lt;=0.01,"PASS","FAIL"),"FAIL"),IF(NOT(ISNUMBER(AO217)),IF(AO217=D217,"PASS","FAIL"),"FAIL")),"FAIL")</f>
        <v/>
      </c>
      <c r="G217" s="16">
        <f>AP217</f>
        <v/>
      </c>
      <c r="H217" s="30" t="inlineStr">
        <is>
          <t>OK</t>
        </is>
      </c>
      <c r="I217" s="15">
        <f>IF(AP217=H217,"PASS","FAIL")</f>
        <v/>
      </c>
      <c r="M217" t="n">
        <v>35000</v>
      </c>
      <c r="N217" t="b">
        <v>1</v>
      </c>
      <c r="O217" t="n">
        <v>0.1</v>
      </c>
      <c r="P217" t="n">
        <v>13500</v>
      </c>
      <c r="Q217" t="n">
        <v>3000</v>
      </c>
      <c r="R217" t="b">
        <v>0</v>
      </c>
      <c r="S217" t="n">
        <v>0</v>
      </c>
      <c r="T217" t="n">
        <v>0.025</v>
      </c>
      <c r="V217" t="inlineStr">
        <is>
          <t>per_month</t>
        </is>
      </c>
      <c r="W217" t="inlineStr">
        <is>
          <t>unresolved</t>
        </is>
      </c>
      <c r="X217" t="inlineStr">
        <is>
          <t>consistent</t>
        </is>
      </c>
      <c r="Y217" t="n">
        <v>1</v>
      </c>
      <c r="Z217" t="inlineStr">
        <is>
          <t>present</t>
        </is>
      </c>
      <c r="AA217" t="n">
        <v>200</v>
      </c>
      <c r="AB217" t="inlineStr">
        <is>
          <t>per_month</t>
        </is>
      </c>
      <c r="AD217">
        <f>IFERROR(IF(ISBLANK($M$217),"UNKNOWN",IF(ISBLANK($N$217),"UNKNOWN",IF($N$217=FALSE,$M$217,IF(ISBLANK($O$217),"UNKNOWN",$M$217/(1+$O$217))))),"ERROR")</f>
        <v/>
      </c>
      <c r="AE217">
        <f>IFERROR(IF(ISBLANK($M$217),"UNKNOWN",IF(ISBLANK($N$217),"UNKNOWN",IF($N$217=TRUE,$M$217,IF(ISBLANK($O$217),"UNKNOWN",$M$217*(1+$O$217))))),"ERROR")</f>
        <v/>
      </c>
      <c r="AF217">
        <f>IF($Y$217&gt;1,"ERROR",IFERROR(IF(AD217="ERROR","ERROR",IF(OR(NOT(ISNUMBER(AD217)),ISBLANK($P$217),ISBLANK($Q$217),ISBLANK($S$217),ISBLANK($T$217)),"UNKNOWN",IF($T$217&gt;0,IF(AE217="ERROR","ERROR",IF(NOT(ISNUMBER(AE217)),"UNKNOWN",AD217-$P$217-$Q$217-$S$217*AD217-$T$217*AE217)),AD217-$P$217-$Q$217-$S$217*AD217))),"ERROR"))</f>
        <v/>
      </c>
      <c r="AG217">
        <f>IF($Y$217&gt;1,"ERROR",IFERROR(IF($W$217="invalid_direct","ERROR",IF($X$217="inconsistent","ERROR",IF($W$217="none",0,IF(OR($W$217="unresolved",$W$217="blended_only"),"UNKNOWN",IF(ISBLANK($U$217),"UNKNOWN",IF($U$217&lt;0,"ERROR",$U$217)))))),"ERROR"))</f>
        <v/>
      </c>
      <c r="AH217">
        <f>IF($Y$217&gt;1,"",IF(OR($W$217="invalid_direct",$X$217="inconsistent"),"",IF($W$217="none","",IF(OR($W$217="unresolved",$W$217="blended_only"),"",IF(ISBLANK($U$217),"",IF($U$217&lt;0,"",$V$217))))))</f>
        <v/>
      </c>
      <c r="AI217">
        <f>IF($Y$217&gt;1,"ERROR",IFERROR(IF(OR(AF217="ERROR",AG217="ERROR"),"ERROR",IF(OR(NOT(ISNUMBER(AF217)),NOT(ISNUMBER(AG217))),"UNKNOWN",IF(AF217&lt;=0,"NOT_APPLICABLE",AG217/AF217))),"ERROR"))</f>
        <v/>
      </c>
      <c r="AJ217">
        <f>IF($Y$217&gt;1,"MULTI_COMPONENT_BEP_NOT_SUPPORTED",IF($W$217="invalid_direct","INVALID_ALLOCATION_CONFIGURATION",IF($X$217="inconsistent","INCONSISTENT_FIXED_COST_BASIS",IF(AND($W$217="component",NOT(ISBLANK($U$217)),$U$217&lt;0),"INVALID_NEGATIVE_COST",IF(AF217="ERROR","CALCULATION_ERROR",IF($W$217="blended_only","FIXED_COST_BLENDED_ONLY_NOT_ALLOCATED",IF($W$217="unresolved","UNSUPPORTED_SHARED_COST_ALLOCATION",IF(NOT(ISNUMBER(AF217)),"MISSING_DEPENDENCY",IF(AND($W$217="component",ISBLANK($U$217)),"MISSING_DEPENDENCY",IF(AND(AF217=0,AG217=0),"BREAK_EVEN_UNDEFINED_ZERO_MARGIN_ZERO_FIXED_COST",IF(AF217=0,"BREAK_EVEN_UNDEFINED_ZERO_MARGIN",IF(AF217&lt;0,"BREAK_EVEN_UNDEFINED_NEGATIVE_MARGIN","NONE"))))))))))))</f>
        <v/>
      </c>
      <c r="AK217">
        <f>IF(AND(NOT(ISBLANK($AA$217)),$AA$217&lt;0),"ERROR",IF(AND($AB$217&lt;&gt;"",$AB$217&lt;&gt;"per_month"),"ERROR",IF(OR(ISBLANK($AA$217),$AB$217=""),"UNKNOWN",$AA$217)))</f>
        <v/>
      </c>
      <c r="AL217">
        <f>IF(AND(ISNUMBER(AG217),AH217&lt;&gt;"",AH217&lt;&gt;"per_month"),"ERROR",AG217)</f>
        <v/>
      </c>
      <c r="AM217">
        <f>IF(ISBLANK($AC$217),"none",IF(AND(ISNUMBER($AC$217),$AC$217&gt;0),"valid","invalid"))</f>
        <v/>
      </c>
      <c r="AN217">
        <f>IF(AM217="invalid","ERROR",IF(AND(AM217="valid",$R$217=TRUE,ISNUMBER(AF217)),AF217+$Q$217*(1-1/$AC$217),AF217))</f>
        <v/>
      </c>
      <c r="AO217">
        <f>IF($Z$217="absent","NOT_RUN",IF($Y$217&gt;1,"ERROR",AK217))</f>
        <v/>
      </c>
      <c r="AP217">
        <f>IF(ISNUMBER(AO217),"OK",AO217)</f>
        <v/>
      </c>
      <c r="AQ217">
        <f>IF($Z$217="absent","NOT_RUN",IF($Y$217&gt;1,"ERROR",IFERROR(IF(OR(AK217="ERROR",AD217="ERROR"),"ERROR",IF(OR(NOT(ISNUMBER(AK217)),NOT(ISNUMBER(AD217))),"UNKNOWN",AD217*AK217)),"ERROR")))</f>
        <v/>
      </c>
      <c r="AR217">
        <f>IF(ISNUMBER(AQ217),"OK",AQ217)</f>
        <v/>
      </c>
      <c r="AS217">
        <f>IF($Z$217="absent","NOT_RUN",IF($Y$217&gt;1,"ERROR",IFERROR(IF(OR(AK217="ERROR",AN217="ERROR"),"ERROR",IF(OR(NOT(ISNUMBER(AK217)),NOT(ISNUMBER(AN217))),"UNKNOWN",AN217*AK217)),"ERROR")))</f>
        <v/>
      </c>
      <c r="AT217">
        <f>IF(ISNUMBER(AS217),IF(AND($R$217=TRUE,AM217="none"),"ESTIMATED","OK"),AS217)</f>
        <v/>
      </c>
      <c r="AU217">
        <f>IF($Z$217="absent","NOT_RUN",IF($Y$217&gt;1,"ERROR",IFERROR(IF(OR(AK217="ERROR",AN217="ERROR",AL217="ERROR"),"ERROR",IF(OR(NOT(ISNUMBER(AK217)),NOT(ISNUMBER(AN217)),NOT(ISNUMBER(AL217))),"UNKNOWN",AN217*AK217-AL217)),"ERROR")))</f>
        <v/>
      </c>
      <c r="AV217">
        <f>IF(ISNUMBER(AU217),IF(AND($R$217=TRUE,AM217="none"),"ESTIMATED","OK"),AU217)</f>
        <v/>
      </c>
      <c r="AW217">
        <f>IF($Z$217="absent","NOT_RUN",IF($Y$217&gt;1,"ERROR",IFERROR(IF(OR(AU217="ERROR",AQ217="ERROR"),"ERROR",IF(OR(NOT(ISNUMBER(AU217)),NOT(ISNUMBER(AQ217))),"UNKNOWN",IF(AQ217=0,"NOT_APPLICABLE",AU217/AQ217))),"ERROR")))</f>
        <v/>
      </c>
      <c r="AX217">
        <f>IF(ISNUMBER(AW217),IF(AND($R$217=TRUE,AM217="none"),"ESTIMATED","OK"),AW217)</f>
        <v/>
      </c>
      <c r="AY217">
        <f>IF($Z$217="absent","NOT_RUN",IF($Y$217&gt;1,"ERROR",IFERROR(IF(OR(AN217="ERROR",AL217="ERROR"),"ERROR",IF(OR(NOT(ISNUMBER(AN217)),NOT(ISNUMBER(AL217))),"UNKNOWN",IF(AN217&lt;=0,"NOT_APPLICABLE",AL217/AN217))),"ERROR")))</f>
        <v/>
      </c>
      <c r="AZ217">
        <f>IF(ISNUMBER(AY217),IF(AND($R$217=TRUE,AM217="none"),"ESTIMATED","OK"),AY217)</f>
        <v/>
      </c>
      <c r="BA217">
        <f>IF($Z$217="absent","NOT_RUN",IF($Y$217&gt;1,"ERROR",IFERROR(IF(OR(AK217="ERROR",AN217="ERROR",AL217="ERROR"),"ERROR",IF(OR(NOT(ISNUMBER(AK217)),NOT(ISNUMBER(AN217)),NOT(ISNUMBER(AL217))),"UNKNOWN",IF(AN217&lt;=0,"NOT_APPLICABLE",AK217-AY217))),"ERROR")))</f>
        <v/>
      </c>
      <c r="BB217">
        <f>IF(ISNUMBER(BA217),IF(AND($R$217=TRUE,AM217="none"),"ESTIMATED","OK"),BA217)</f>
        <v/>
      </c>
      <c r="BC217">
        <f>IF($Z$217="absent","NOT_RUN",IF($Y$217&gt;1,"ERROR",IFERROR(IF(OR(AK217="ERROR",AN217="ERROR",AL217="ERROR"),"ERROR",IF(OR(NOT(ISNUMBER(AK217)),NOT(ISNUMBER(AN217)),NOT(ISNUMBER(AL217))),"UNKNOWN",IF(OR(AN217&lt;=0,AK217=0),"NOT_APPLICABLE",(AK217-AY217)/AK217))),"ERROR")))</f>
        <v/>
      </c>
      <c r="BD217">
        <f>IF(ISNUMBER(BC217),IF(AND($R$217=TRUE,AM217="none"),"ESTIMATED","OK"),BC217)</f>
        <v/>
      </c>
      <c r="BE217">
        <f>IF($Z$217="absent","NOT_RUN",IF(OR(AP217="ERROR",AR217="ERROR",AT217="ERROR",AV217="ERROR",AX217="ERROR",AZ217="ERROR",BB217="ERROR",BD217="ERROR"),"ERROR",IF(OR(AP217="UNKNOWN",AR217="UNKNOWN",AT217="UNKNOWN",AV217="UNKNOWN",AX217="UNKNOWN",AZ217="UNKNOWN",BB217="UNKNOWN",BD217="UNKNOWN"),"INCOMPLETE","OK")))</f>
        <v/>
      </c>
      <c r="BF217">
        <f>IF($Z$217="absent","",AH217)</f>
        <v/>
      </c>
    </row>
    <row r="218">
      <c r="B218" s="8" t="inlineStr">
        <is>
          <t>Total Net Sales ex VAT</t>
        </is>
      </c>
      <c r="C218" s="52">
        <f>AQ217</f>
        <v/>
      </c>
      <c r="D218" s="53" t="n">
        <v>6363636.363636363</v>
      </c>
      <c r="E218" s="51">
        <f>IF(ISNUMBER(D218),IF(ISNUMBER(AQ217),ABS(AQ217-D218),"N/A"),"N/A")</f>
        <v/>
      </c>
      <c r="F218" s="15">
        <f>IFERROR(IF(ISNUMBER(D218),IF(ISNUMBER(AQ217),IF(ABS(AQ217-D218)&lt;=0.01,"PASS","FAIL"),"FAIL"),IF(NOT(ISNUMBER(AQ217)),IF(AQ217=D218,"PASS","FAIL"),"FAIL")),"FAIL")</f>
        <v/>
      </c>
      <c r="G218" s="16">
        <f>AR217</f>
        <v/>
      </c>
      <c r="H218" s="30" t="inlineStr">
        <is>
          <t>OK</t>
        </is>
      </c>
      <c r="I218" s="15">
        <f>IF(AR217=H218,"PASS","FAIL")</f>
        <v/>
      </c>
    </row>
    <row r="219">
      <c r="B219" s="8" t="inlineStr">
        <is>
          <t>Total Contribution Margin</t>
        </is>
      </c>
      <c r="C219" s="52">
        <f>AS217</f>
        <v/>
      </c>
      <c r="D219" s="53" t="n">
        <v>2888636.363636363</v>
      </c>
      <c r="E219" s="51">
        <f>IF(ISNUMBER(D219),IF(ISNUMBER(AS217),ABS(AS217-D219),"N/A"),"N/A")</f>
        <v/>
      </c>
      <c r="F219" s="15">
        <f>IFERROR(IF(ISNUMBER(D219),IF(ISNUMBER(AS217),IF(ABS(AS217-D219)&lt;=0.01,"PASS","FAIL"),"FAIL"),IF(NOT(ISNUMBER(AS217)),IF(AS217=D219,"PASS","FAIL"),"FAIL")),"FAIL")</f>
        <v/>
      </c>
      <c r="G219" s="16">
        <f>AT217</f>
        <v/>
      </c>
      <c r="H219" s="30" t="inlineStr">
        <is>
          <t>OK</t>
        </is>
      </c>
      <c r="I219" s="15">
        <f>IF(AT217=H219,"PASS","FAIL")</f>
        <v/>
      </c>
    </row>
    <row r="220">
      <c r="B220" s="8" t="inlineStr">
        <is>
          <t>Operating Profit</t>
        </is>
      </c>
      <c r="C220" s="52">
        <f>AU217</f>
        <v/>
      </c>
      <c r="D220" s="30" t="inlineStr">
        <is>
          <t>UNKNOWN</t>
        </is>
      </c>
      <c r="E220" s="51">
        <f>IF(ISNUMBER(D220),IF(ISNUMBER(AU217),ABS(AU217-D220),"N/A"),"N/A")</f>
        <v/>
      </c>
      <c r="F220" s="15">
        <f>IFERROR(IF(ISNUMBER(D220),IF(ISNUMBER(AU217),IF(ABS(AU217-D220)&lt;=0.01,"PASS","FAIL"),"FAIL"),IF(NOT(ISNUMBER(AU217)),IF(AU217=D220,"PASS","FAIL"),"FAIL")),"FAIL")</f>
        <v/>
      </c>
      <c r="G220" s="16">
        <f>AV217</f>
        <v/>
      </c>
      <c r="H220" s="30" t="inlineStr">
        <is>
          <t>UNKNOWN</t>
        </is>
      </c>
      <c r="I220" s="15">
        <f>IF(AV217=H220,"PASS","FAIL")</f>
        <v/>
      </c>
    </row>
    <row r="221">
      <c r="B221" s="8" t="inlineStr">
        <is>
          <t>Operating Profit Rate</t>
        </is>
      </c>
      <c r="C221" s="54">
        <f>AW217</f>
        <v/>
      </c>
      <c r="D221" s="30" t="inlineStr">
        <is>
          <t>UNKNOWN</t>
        </is>
      </c>
      <c r="E221" s="51">
        <f>IF(ISNUMBER(D221),IF(ISNUMBER(AW217),ABS(AW217-D221),"N/A"),"N/A")</f>
        <v/>
      </c>
      <c r="F221" s="15">
        <f>IFERROR(IF(ISNUMBER(D221),IF(ISNUMBER(AW217),IF(ABS(AW217-D221)&lt;=1e-06,"PASS","FAIL"),"FAIL"),IF(NOT(ISNUMBER(AW217)),IF(AW217=D221,"PASS","FAIL"),"FAIL")),"FAIL")</f>
        <v/>
      </c>
      <c r="G221" s="16">
        <f>AX217</f>
        <v/>
      </c>
      <c r="H221" s="30" t="inlineStr">
        <is>
          <t>UNKNOWN</t>
        </is>
      </c>
      <c r="I221" s="15">
        <f>IF(AX217=H221,"PASS","FAIL")</f>
        <v/>
      </c>
    </row>
    <row r="222">
      <c r="B222" s="8" t="inlineStr">
        <is>
          <t>Break-Even Quantity (Q_BEP)</t>
        </is>
      </c>
      <c r="C222" s="25">
        <f>AY217</f>
        <v/>
      </c>
      <c r="D222" s="30" t="inlineStr">
        <is>
          <t>UNKNOWN</t>
        </is>
      </c>
      <c r="E222" s="51">
        <f>IF(ISNUMBER(D222),IF(ISNUMBER(AY217),ABS(AY217-D222),"N/A"),"N/A")</f>
        <v/>
      </c>
      <c r="F222" s="15">
        <f>IFERROR(IF(ISNUMBER(D222),IF(ISNUMBER(AY217),IF(ABS(AY217-D222)&lt;=0.01,"PASS","FAIL"),"FAIL"),IF(NOT(ISNUMBER(AY217)),IF(AY217=D222,"PASS","FAIL"),"FAIL")),"FAIL")</f>
        <v/>
      </c>
      <c r="G222" s="16">
        <f>AZ217</f>
        <v/>
      </c>
      <c r="H222" s="30" t="inlineStr">
        <is>
          <t>UNKNOWN</t>
        </is>
      </c>
      <c r="I222" s="15">
        <f>IF(AZ217=H222,"PASS","FAIL")</f>
        <v/>
      </c>
    </row>
    <row r="223">
      <c r="B223" s="8" t="inlineStr">
        <is>
          <t>Margin of Safety Quantity</t>
        </is>
      </c>
      <c r="C223" s="25">
        <f>BA217</f>
        <v/>
      </c>
      <c r="D223" s="30" t="inlineStr">
        <is>
          <t>UNKNOWN</t>
        </is>
      </c>
      <c r="E223" s="51">
        <f>IF(ISNUMBER(D223),IF(ISNUMBER(BA217),ABS(BA217-D223),"N/A"),"N/A")</f>
        <v/>
      </c>
      <c r="F223" s="15">
        <f>IFERROR(IF(ISNUMBER(D223),IF(ISNUMBER(BA217),IF(ABS(BA217-D223)&lt;=0.01,"PASS","FAIL"),"FAIL"),IF(NOT(ISNUMBER(BA217)),IF(BA217=D223,"PASS","FAIL"),"FAIL")),"FAIL")</f>
        <v/>
      </c>
      <c r="G223" s="16">
        <f>BB217</f>
        <v/>
      </c>
      <c r="H223" s="30" t="inlineStr">
        <is>
          <t>UNKNOWN</t>
        </is>
      </c>
      <c r="I223" s="15">
        <f>IF(BB217=H223,"PASS","FAIL")</f>
        <v/>
      </c>
    </row>
    <row r="224">
      <c r="B224" s="8" t="inlineStr">
        <is>
          <t>Margin of Safety Rate</t>
        </is>
      </c>
      <c r="C224" s="54">
        <f>BC217</f>
        <v/>
      </c>
      <c r="D224" s="30" t="inlineStr">
        <is>
          <t>UNKNOWN</t>
        </is>
      </c>
      <c r="E224" s="51">
        <f>IF(ISNUMBER(D224),IF(ISNUMBER(BC217),ABS(BC217-D224),"N/A"),"N/A")</f>
        <v/>
      </c>
      <c r="F224" s="15">
        <f>IFERROR(IF(ISNUMBER(D224),IF(ISNUMBER(BC217),IF(ABS(BC217-D224)&lt;=1e-06,"PASS","FAIL"),"FAIL"),IF(NOT(ISNUMBER(BC217)),IF(BC217=D224,"PASS","FAIL"),"FAIL")),"FAIL")</f>
        <v/>
      </c>
      <c r="G224" s="16">
        <f>BD217</f>
        <v/>
      </c>
      <c r="H224" s="30" t="inlineStr">
        <is>
          <t>UNKNOWN</t>
        </is>
      </c>
      <c r="I224" s="15">
        <f>IF(BD217=H224,"PASS","FAIL")</f>
        <v/>
      </c>
    </row>
    <row r="225">
      <c r="B225" s="8" t="inlineStr">
        <is>
          <t>Module Status</t>
        </is>
      </c>
      <c r="C225" s="16">
        <f>BE217</f>
        <v/>
      </c>
      <c r="D225" s="30" t="inlineStr">
        <is>
          <t>INCOMPLETE</t>
        </is>
      </c>
      <c r="F225" s="15">
        <f>IF(BE217=D225,"PASS","FAIL")</f>
        <v/>
      </c>
    </row>
    <row r="226">
      <c r="B226" s="8" t="inlineStr">
        <is>
          <t>Analysis Period Basis</t>
        </is>
      </c>
      <c r="C226" s="16">
        <f>BF217</f>
        <v/>
      </c>
      <c r="D226" s="30" t="inlineStr"/>
      <c r="F226" s="15">
        <f>IF(BF217=D226,"PASS","FAIL")</f>
        <v/>
      </c>
    </row>
    <row r="227">
      <c r="B227" s="8" t="inlineStr">
        <is>
          <t>Self-Check: |MoS qty × CMu − Operating Profit| ≤ tol</t>
        </is>
      </c>
      <c r="C227" s="36">
        <f>IF(OR(NOT(ISNUMBER(BA217)),NOT(ISNUMBER(AN217)),NOT(ISNUMBER(AU217))),"SKIP",IF(ABS(BA217*AN217-AU217)&lt;=0.01,"PASS","FAIL"))</f>
        <v/>
      </c>
      <c r="D227" s="34" t="n"/>
      <c r="F227" s="15">
        <f>IF(C227="FAIL","FAIL","PASS")</f>
        <v/>
      </c>
    </row>
    <row r="229" ht="20" customHeight="1">
      <c r="B229" s="2" t="inlineStr">
        <is>
          <t>V17. Shared fixed cost, blended_only (UNKNOWN, not excluded)</t>
        </is>
      </c>
      <c r="C229" s="7" t="n"/>
      <c r="D229" s="7" t="n"/>
      <c r="E229" s="7" t="n"/>
      <c r="F229" s="7" t="n"/>
      <c r="G229" s="7" t="n"/>
      <c r="H229" s="7" t="n"/>
      <c r="I229" s="7" t="n"/>
    </row>
    <row r="230">
      <c r="B230" s="4" t="inlineStr">
        <is>
          <t>Metric</t>
        </is>
      </c>
      <c r="C230" s="4" t="inlineStr">
        <is>
          <t>Excel Result</t>
        </is>
      </c>
      <c r="D230" s="4" t="inlineStr">
        <is>
          <t>Python Reference</t>
        </is>
      </c>
      <c r="E230" s="4" t="inlineStr">
        <is>
          <t>Difference</t>
        </is>
      </c>
      <c r="F230" s="4" t="inlineStr">
        <is>
          <t>PASS / FAIL</t>
        </is>
      </c>
      <c r="G230" s="4" t="inlineStr">
        <is>
          <t>Excel Status</t>
        </is>
      </c>
      <c r="H230" s="4" t="inlineStr">
        <is>
          <t>Python Status</t>
        </is>
      </c>
      <c r="I230" s="4" t="inlineStr">
        <is>
          <t>Status PASS</t>
        </is>
      </c>
    </row>
    <row r="231">
      <c r="B231" s="8" t="inlineStr">
        <is>
          <t>Planned Quantity (units)</t>
        </is>
      </c>
      <c r="C231" s="25">
        <f>AO231</f>
        <v/>
      </c>
      <c r="D231" s="21" t="n">
        <v>200</v>
      </c>
      <c r="E231" s="51">
        <f>IF(ISNUMBER(D231),IF(ISNUMBER(AO231),ABS(AO231-D231),"N/A"),"N/A")</f>
        <v/>
      </c>
      <c r="F231" s="15">
        <f>IFERROR(IF(ISNUMBER(D231),IF(ISNUMBER(AO231),IF(ABS(AO231-D231)&lt;=0.01,"PASS","FAIL"),"FAIL"),IF(NOT(ISNUMBER(AO231)),IF(AO231=D231,"PASS","FAIL"),"FAIL")),"FAIL")</f>
        <v/>
      </c>
      <c r="G231" s="16">
        <f>AP231</f>
        <v/>
      </c>
      <c r="H231" s="30" t="inlineStr">
        <is>
          <t>OK</t>
        </is>
      </c>
      <c r="I231" s="15">
        <f>IF(AP231=H231,"PASS","FAIL")</f>
        <v/>
      </c>
      <c r="M231" t="n">
        <v>35000</v>
      </c>
      <c r="N231" t="b">
        <v>1</v>
      </c>
      <c r="O231" t="n">
        <v>0.1</v>
      </c>
      <c r="P231" t="n">
        <v>13500</v>
      </c>
      <c r="Q231" t="n">
        <v>3000</v>
      </c>
      <c r="R231" t="b">
        <v>0</v>
      </c>
      <c r="S231" t="n">
        <v>0</v>
      </c>
      <c r="T231" t="n">
        <v>0.025</v>
      </c>
      <c r="V231" t="inlineStr">
        <is>
          <t>per_month</t>
        </is>
      </c>
      <c r="W231" t="inlineStr">
        <is>
          <t>blended_only</t>
        </is>
      </c>
      <c r="X231" t="inlineStr">
        <is>
          <t>consistent</t>
        </is>
      </c>
      <c r="Y231" t="n">
        <v>1</v>
      </c>
      <c r="Z231" t="inlineStr">
        <is>
          <t>present</t>
        </is>
      </c>
      <c r="AA231" t="n">
        <v>200</v>
      </c>
      <c r="AB231" t="inlineStr">
        <is>
          <t>per_month</t>
        </is>
      </c>
      <c r="AD231">
        <f>IFERROR(IF(ISBLANK($M$231),"UNKNOWN",IF(ISBLANK($N$231),"UNKNOWN",IF($N$231=FALSE,$M$231,IF(ISBLANK($O$231),"UNKNOWN",$M$231/(1+$O$231))))),"ERROR")</f>
        <v/>
      </c>
      <c r="AE231">
        <f>IFERROR(IF(ISBLANK($M$231),"UNKNOWN",IF(ISBLANK($N$231),"UNKNOWN",IF($N$231=TRUE,$M$231,IF(ISBLANK($O$231),"UNKNOWN",$M$231*(1+$O$231))))),"ERROR")</f>
        <v/>
      </c>
      <c r="AF231">
        <f>IF($Y$231&gt;1,"ERROR",IFERROR(IF(AD231="ERROR","ERROR",IF(OR(NOT(ISNUMBER(AD231)),ISBLANK($P$231),ISBLANK($Q$231),ISBLANK($S$231),ISBLANK($T$231)),"UNKNOWN",IF($T$231&gt;0,IF(AE231="ERROR","ERROR",IF(NOT(ISNUMBER(AE231)),"UNKNOWN",AD231-$P$231-$Q$231-$S$231*AD231-$T$231*AE231)),AD231-$P$231-$Q$231-$S$231*AD231))),"ERROR"))</f>
        <v/>
      </c>
      <c r="AG231">
        <f>IF($Y$231&gt;1,"ERROR",IFERROR(IF($W$231="invalid_direct","ERROR",IF($X$231="inconsistent","ERROR",IF($W$231="none",0,IF(OR($W$231="unresolved",$W$231="blended_only"),"UNKNOWN",IF(ISBLANK($U$231),"UNKNOWN",IF($U$231&lt;0,"ERROR",$U$231)))))),"ERROR"))</f>
        <v/>
      </c>
      <c r="AH231">
        <f>IF($Y$231&gt;1,"",IF(OR($W$231="invalid_direct",$X$231="inconsistent"),"",IF($W$231="none","",IF(OR($W$231="unresolved",$W$231="blended_only"),"",IF(ISBLANK($U$231),"",IF($U$231&lt;0,"",$V$231))))))</f>
        <v/>
      </c>
      <c r="AI231">
        <f>IF($Y$231&gt;1,"ERROR",IFERROR(IF(OR(AF231="ERROR",AG231="ERROR"),"ERROR",IF(OR(NOT(ISNUMBER(AF231)),NOT(ISNUMBER(AG231))),"UNKNOWN",IF(AF231&lt;=0,"NOT_APPLICABLE",AG231/AF231))),"ERROR"))</f>
        <v/>
      </c>
      <c r="AJ231">
        <f>IF($Y$231&gt;1,"MULTI_COMPONENT_BEP_NOT_SUPPORTED",IF($W$231="invalid_direct","INVALID_ALLOCATION_CONFIGURATION",IF($X$231="inconsistent","INCONSISTENT_FIXED_COST_BASIS",IF(AND($W$231="component",NOT(ISBLANK($U$231)),$U$231&lt;0),"INVALID_NEGATIVE_COST",IF(AF231="ERROR","CALCULATION_ERROR",IF($W$231="blended_only","FIXED_COST_BLENDED_ONLY_NOT_ALLOCATED",IF($W$231="unresolved","UNSUPPORTED_SHARED_COST_ALLOCATION",IF(NOT(ISNUMBER(AF231)),"MISSING_DEPENDENCY",IF(AND($W$231="component",ISBLANK($U$231)),"MISSING_DEPENDENCY",IF(AND(AF231=0,AG231=0),"BREAK_EVEN_UNDEFINED_ZERO_MARGIN_ZERO_FIXED_COST",IF(AF231=0,"BREAK_EVEN_UNDEFINED_ZERO_MARGIN",IF(AF231&lt;0,"BREAK_EVEN_UNDEFINED_NEGATIVE_MARGIN","NONE"))))))))))))</f>
        <v/>
      </c>
      <c r="AK231">
        <f>IF(AND(NOT(ISBLANK($AA$231)),$AA$231&lt;0),"ERROR",IF(AND($AB$231&lt;&gt;"",$AB$231&lt;&gt;"per_month"),"ERROR",IF(OR(ISBLANK($AA$231),$AB$231=""),"UNKNOWN",$AA$231)))</f>
        <v/>
      </c>
      <c r="AL231">
        <f>IF(AND(ISNUMBER(AG231),AH231&lt;&gt;"",AH231&lt;&gt;"per_month"),"ERROR",AG231)</f>
        <v/>
      </c>
      <c r="AM231">
        <f>IF(ISBLANK($AC$231),"none",IF(AND(ISNUMBER($AC$231),$AC$231&gt;0),"valid","invalid"))</f>
        <v/>
      </c>
      <c r="AN231">
        <f>IF(AM231="invalid","ERROR",IF(AND(AM231="valid",$R$231=TRUE,ISNUMBER(AF231)),AF231+$Q$231*(1-1/$AC$231),AF231))</f>
        <v/>
      </c>
      <c r="AO231">
        <f>IF($Z$231="absent","NOT_RUN",IF($Y$231&gt;1,"ERROR",AK231))</f>
        <v/>
      </c>
      <c r="AP231">
        <f>IF(ISNUMBER(AO231),"OK",AO231)</f>
        <v/>
      </c>
      <c r="AQ231">
        <f>IF($Z$231="absent","NOT_RUN",IF($Y$231&gt;1,"ERROR",IFERROR(IF(OR(AK231="ERROR",AD231="ERROR"),"ERROR",IF(OR(NOT(ISNUMBER(AK231)),NOT(ISNUMBER(AD231))),"UNKNOWN",AD231*AK231)),"ERROR")))</f>
        <v/>
      </c>
      <c r="AR231">
        <f>IF(ISNUMBER(AQ231),"OK",AQ231)</f>
        <v/>
      </c>
      <c r="AS231">
        <f>IF($Z$231="absent","NOT_RUN",IF($Y$231&gt;1,"ERROR",IFERROR(IF(OR(AK231="ERROR",AN231="ERROR"),"ERROR",IF(OR(NOT(ISNUMBER(AK231)),NOT(ISNUMBER(AN231))),"UNKNOWN",AN231*AK231)),"ERROR")))</f>
        <v/>
      </c>
      <c r="AT231">
        <f>IF(ISNUMBER(AS231),IF(AND($R$231=TRUE,AM231="none"),"ESTIMATED","OK"),AS231)</f>
        <v/>
      </c>
      <c r="AU231">
        <f>IF($Z$231="absent","NOT_RUN",IF($Y$231&gt;1,"ERROR",IFERROR(IF(OR(AK231="ERROR",AN231="ERROR",AL231="ERROR"),"ERROR",IF(OR(NOT(ISNUMBER(AK231)),NOT(ISNUMBER(AN231)),NOT(ISNUMBER(AL231))),"UNKNOWN",AN231*AK231-AL231)),"ERROR")))</f>
        <v/>
      </c>
      <c r="AV231">
        <f>IF(ISNUMBER(AU231),IF(AND($R$231=TRUE,AM231="none"),"ESTIMATED","OK"),AU231)</f>
        <v/>
      </c>
      <c r="AW231">
        <f>IF($Z$231="absent","NOT_RUN",IF($Y$231&gt;1,"ERROR",IFERROR(IF(OR(AU231="ERROR",AQ231="ERROR"),"ERROR",IF(OR(NOT(ISNUMBER(AU231)),NOT(ISNUMBER(AQ231))),"UNKNOWN",IF(AQ231=0,"NOT_APPLICABLE",AU231/AQ231))),"ERROR")))</f>
        <v/>
      </c>
      <c r="AX231">
        <f>IF(ISNUMBER(AW231),IF(AND($R$231=TRUE,AM231="none"),"ESTIMATED","OK"),AW231)</f>
        <v/>
      </c>
      <c r="AY231">
        <f>IF($Z$231="absent","NOT_RUN",IF($Y$231&gt;1,"ERROR",IFERROR(IF(OR(AN231="ERROR",AL231="ERROR"),"ERROR",IF(OR(NOT(ISNUMBER(AN231)),NOT(ISNUMBER(AL231))),"UNKNOWN",IF(AN231&lt;=0,"NOT_APPLICABLE",AL231/AN231))),"ERROR")))</f>
        <v/>
      </c>
      <c r="AZ231">
        <f>IF(ISNUMBER(AY231),IF(AND($R$231=TRUE,AM231="none"),"ESTIMATED","OK"),AY231)</f>
        <v/>
      </c>
      <c r="BA231">
        <f>IF($Z$231="absent","NOT_RUN",IF($Y$231&gt;1,"ERROR",IFERROR(IF(OR(AK231="ERROR",AN231="ERROR",AL231="ERROR"),"ERROR",IF(OR(NOT(ISNUMBER(AK231)),NOT(ISNUMBER(AN231)),NOT(ISNUMBER(AL231))),"UNKNOWN",IF(AN231&lt;=0,"NOT_APPLICABLE",AK231-AY231))),"ERROR")))</f>
        <v/>
      </c>
      <c r="BB231">
        <f>IF(ISNUMBER(BA231),IF(AND($R$231=TRUE,AM231="none"),"ESTIMATED","OK"),BA231)</f>
        <v/>
      </c>
      <c r="BC231">
        <f>IF($Z$231="absent","NOT_RUN",IF($Y$231&gt;1,"ERROR",IFERROR(IF(OR(AK231="ERROR",AN231="ERROR",AL231="ERROR"),"ERROR",IF(OR(NOT(ISNUMBER(AK231)),NOT(ISNUMBER(AN231)),NOT(ISNUMBER(AL231))),"UNKNOWN",IF(OR(AN231&lt;=0,AK231=0),"NOT_APPLICABLE",(AK231-AY231)/AK231))),"ERROR")))</f>
        <v/>
      </c>
      <c r="BD231">
        <f>IF(ISNUMBER(BC231),IF(AND($R$231=TRUE,AM231="none"),"ESTIMATED","OK"),BC231)</f>
        <v/>
      </c>
      <c r="BE231">
        <f>IF($Z$231="absent","NOT_RUN",IF(OR(AP231="ERROR",AR231="ERROR",AT231="ERROR",AV231="ERROR",AX231="ERROR",AZ231="ERROR",BB231="ERROR",BD231="ERROR"),"ERROR",IF(OR(AP231="UNKNOWN",AR231="UNKNOWN",AT231="UNKNOWN",AV231="UNKNOWN",AX231="UNKNOWN",AZ231="UNKNOWN",BB231="UNKNOWN",BD231="UNKNOWN"),"INCOMPLETE","OK")))</f>
        <v/>
      </c>
      <c r="BF231">
        <f>IF($Z$231="absent","",AH231)</f>
        <v/>
      </c>
    </row>
    <row r="232">
      <c r="B232" s="8" t="inlineStr">
        <is>
          <t>Total Net Sales ex VAT</t>
        </is>
      </c>
      <c r="C232" s="52">
        <f>AQ231</f>
        <v/>
      </c>
      <c r="D232" s="53" t="n">
        <v>6363636.363636363</v>
      </c>
      <c r="E232" s="51">
        <f>IF(ISNUMBER(D232),IF(ISNUMBER(AQ231),ABS(AQ231-D232),"N/A"),"N/A")</f>
        <v/>
      </c>
      <c r="F232" s="15">
        <f>IFERROR(IF(ISNUMBER(D232),IF(ISNUMBER(AQ231),IF(ABS(AQ231-D232)&lt;=0.01,"PASS","FAIL"),"FAIL"),IF(NOT(ISNUMBER(AQ231)),IF(AQ231=D232,"PASS","FAIL"),"FAIL")),"FAIL")</f>
        <v/>
      </c>
      <c r="G232" s="16">
        <f>AR231</f>
        <v/>
      </c>
      <c r="H232" s="30" t="inlineStr">
        <is>
          <t>OK</t>
        </is>
      </c>
      <c r="I232" s="15">
        <f>IF(AR231=H232,"PASS","FAIL")</f>
        <v/>
      </c>
    </row>
    <row r="233">
      <c r="B233" s="8" t="inlineStr">
        <is>
          <t>Total Contribution Margin</t>
        </is>
      </c>
      <c r="C233" s="52">
        <f>AS231</f>
        <v/>
      </c>
      <c r="D233" s="53" t="n">
        <v>2888636.363636363</v>
      </c>
      <c r="E233" s="51">
        <f>IF(ISNUMBER(D233),IF(ISNUMBER(AS231),ABS(AS231-D233),"N/A"),"N/A")</f>
        <v/>
      </c>
      <c r="F233" s="15">
        <f>IFERROR(IF(ISNUMBER(D233),IF(ISNUMBER(AS231),IF(ABS(AS231-D233)&lt;=0.01,"PASS","FAIL"),"FAIL"),IF(NOT(ISNUMBER(AS231)),IF(AS231=D233,"PASS","FAIL"),"FAIL")),"FAIL")</f>
        <v/>
      </c>
      <c r="G233" s="16">
        <f>AT231</f>
        <v/>
      </c>
      <c r="H233" s="30" t="inlineStr">
        <is>
          <t>OK</t>
        </is>
      </c>
      <c r="I233" s="15">
        <f>IF(AT231=H233,"PASS","FAIL")</f>
        <v/>
      </c>
    </row>
    <row r="234">
      <c r="B234" s="8" t="inlineStr">
        <is>
          <t>Operating Profit</t>
        </is>
      </c>
      <c r="C234" s="52">
        <f>AU231</f>
        <v/>
      </c>
      <c r="D234" s="30" t="inlineStr">
        <is>
          <t>UNKNOWN</t>
        </is>
      </c>
      <c r="E234" s="51">
        <f>IF(ISNUMBER(D234),IF(ISNUMBER(AU231),ABS(AU231-D234),"N/A"),"N/A")</f>
        <v/>
      </c>
      <c r="F234" s="15">
        <f>IFERROR(IF(ISNUMBER(D234),IF(ISNUMBER(AU231),IF(ABS(AU231-D234)&lt;=0.01,"PASS","FAIL"),"FAIL"),IF(NOT(ISNUMBER(AU231)),IF(AU231=D234,"PASS","FAIL"),"FAIL")),"FAIL")</f>
        <v/>
      </c>
      <c r="G234" s="16">
        <f>AV231</f>
        <v/>
      </c>
      <c r="H234" s="30" t="inlineStr">
        <is>
          <t>UNKNOWN</t>
        </is>
      </c>
      <c r="I234" s="15">
        <f>IF(AV231=H234,"PASS","FAIL")</f>
        <v/>
      </c>
    </row>
    <row r="235">
      <c r="B235" s="8" t="inlineStr">
        <is>
          <t>Operating Profit Rate</t>
        </is>
      </c>
      <c r="C235" s="54">
        <f>AW231</f>
        <v/>
      </c>
      <c r="D235" s="30" t="inlineStr">
        <is>
          <t>UNKNOWN</t>
        </is>
      </c>
      <c r="E235" s="51">
        <f>IF(ISNUMBER(D235),IF(ISNUMBER(AW231),ABS(AW231-D235),"N/A"),"N/A")</f>
        <v/>
      </c>
      <c r="F235" s="15">
        <f>IFERROR(IF(ISNUMBER(D235),IF(ISNUMBER(AW231),IF(ABS(AW231-D235)&lt;=1e-06,"PASS","FAIL"),"FAIL"),IF(NOT(ISNUMBER(AW231)),IF(AW231=D235,"PASS","FAIL"),"FAIL")),"FAIL")</f>
        <v/>
      </c>
      <c r="G235" s="16">
        <f>AX231</f>
        <v/>
      </c>
      <c r="H235" s="30" t="inlineStr">
        <is>
          <t>UNKNOWN</t>
        </is>
      </c>
      <c r="I235" s="15">
        <f>IF(AX231=H235,"PASS","FAIL")</f>
        <v/>
      </c>
    </row>
    <row r="236">
      <c r="B236" s="8" t="inlineStr">
        <is>
          <t>Break-Even Quantity (Q_BEP)</t>
        </is>
      </c>
      <c r="C236" s="25">
        <f>AY231</f>
        <v/>
      </c>
      <c r="D236" s="30" t="inlineStr">
        <is>
          <t>UNKNOWN</t>
        </is>
      </c>
      <c r="E236" s="51">
        <f>IF(ISNUMBER(D236),IF(ISNUMBER(AY231),ABS(AY231-D236),"N/A"),"N/A")</f>
        <v/>
      </c>
      <c r="F236" s="15">
        <f>IFERROR(IF(ISNUMBER(D236),IF(ISNUMBER(AY231),IF(ABS(AY231-D236)&lt;=0.01,"PASS","FAIL"),"FAIL"),IF(NOT(ISNUMBER(AY231)),IF(AY231=D236,"PASS","FAIL"),"FAIL")),"FAIL")</f>
        <v/>
      </c>
      <c r="G236" s="16">
        <f>AZ231</f>
        <v/>
      </c>
      <c r="H236" s="30" t="inlineStr">
        <is>
          <t>UNKNOWN</t>
        </is>
      </c>
      <c r="I236" s="15">
        <f>IF(AZ231=H236,"PASS","FAIL")</f>
        <v/>
      </c>
    </row>
    <row r="237">
      <c r="B237" s="8" t="inlineStr">
        <is>
          <t>Margin of Safety Quantity</t>
        </is>
      </c>
      <c r="C237" s="25">
        <f>BA231</f>
        <v/>
      </c>
      <c r="D237" s="30" t="inlineStr">
        <is>
          <t>UNKNOWN</t>
        </is>
      </c>
      <c r="E237" s="51">
        <f>IF(ISNUMBER(D237),IF(ISNUMBER(BA231),ABS(BA231-D237),"N/A"),"N/A")</f>
        <v/>
      </c>
      <c r="F237" s="15">
        <f>IFERROR(IF(ISNUMBER(D237),IF(ISNUMBER(BA231),IF(ABS(BA231-D237)&lt;=0.01,"PASS","FAIL"),"FAIL"),IF(NOT(ISNUMBER(BA231)),IF(BA231=D237,"PASS","FAIL"),"FAIL")),"FAIL")</f>
        <v/>
      </c>
      <c r="G237" s="16">
        <f>BB231</f>
        <v/>
      </c>
      <c r="H237" s="30" t="inlineStr">
        <is>
          <t>UNKNOWN</t>
        </is>
      </c>
      <c r="I237" s="15">
        <f>IF(BB231=H237,"PASS","FAIL")</f>
        <v/>
      </c>
    </row>
    <row r="238">
      <c r="B238" s="8" t="inlineStr">
        <is>
          <t>Margin of Safety Rate</t>
        </is>
      </c>
      <c r="C238" s="54">
        <f>BC231</f>
        <v/>
      </c>
      <c r="D238" s="30" t="inlineStr">
        <is>
          <t>UNKNOWN</t>
        </is>
      </c>
      <c r="E238" s="51">
        <f>IF(ISNUMBER(D238),IF(ISNUMBER(BC231),ABS(BC231-D238),"N/A"),"N/A")</f>
        <v/>
      </c>
      <c r="F238" s="15">
        <f>IFERROR(IF(ISNUMBER(D238),IF(ISNUMBER(BC231),IF(ABS(BC231-D238)&lt;=1e-06,"PASS","FAIL"),"FAIL"),IF(NOT(ISNUMBER(BC231)),IF(BC231=D238,"PASS","FAIL"),"FAIL")),"FAIL")</f>
        <v/>
      </c>
      <c r="G238" s="16">
        <f>BD231</f>
        <v/>
      </c>
      <c r="H238" s="30" t="inlineStr">
        <is>
          <t>UNKNOWN</t>
        </is>
      </c>
      <c r="I238" s="15">
        <f>IF(BD231=H238,"PASS","FAIL")</f>
        <v/>
      </c>
    </row>
    <row r="239">
      <c r="B239" s="8" t="inlineStr">
        <is>
          <t>Module Status</t>
        </is>
      </c>
      <c r="C239" s="16">
        <f>BE231</f>
        <v/>
      </c>
      <c r="D239" s="30" t="inlineStr">
        <is>
          <t>INCOMPLETE</t>
        </is>
      </c>
      <c r="F239" s="15">
        <f>IF(BE231=D239,"PASS","FAIL")</f>
        <v/>
      </c>
    </row>
    <row r="240">
      <c r="B240" s="8" t="inlineStr">
        <is>
          <t>Analysis Period Basis</t>
        </is>
      </c>
      <c r="C240" s="16">
        <f>BF231</f>
        <v/>
      </c>
      <c r="D240" s="30" t="inlineStr"/>
      <c r="F240" s="15">
        <f>IF(BF231=D240,"PASS","FAIL")</f>
        <v/>
      </c>
    </row>
    <row r="241">
      <c r="B241" s="8" t="inlineStr">
        <is>
          <t>Self-Check: |MoS qty × CMu − Operating Profit| ≤ tol</t>
        </is>
      </c>
      <c r="C241" s="36">
        <f>IF(OR(NOT(ISNUMBER(BA231)),NOT(ISNUMBER(AN231)),NOT(ISNUMBER(AU231))),"SKIP",IF(ABS(BA231*AN231-AU231)&lt;=0.01,"PASS","FAIL"))</f>
        <v/>
      </c>
      <c r="D241" s="34" t="n"/>
      <c r="F241" s="15">
        <f>IF(C241="FAIL","FAIL","PASS")</f>
        <v/>
      </c>
    </row>
    <row r="243" ht="20" customHeight="1">
      <c r="B243" s="2" t="inlineStr">
        <is>
          <t>V18. Shared + direct invalid configuration</t>
        </is>
      </c>
      <c r="C243" s="7" t="n"/>
      <c r="D243" s="7" t="n"/>
      <c r="E243" s="7" t="n"/>
      <c r="F243" s="7" t="n"/>
      <c r="G243" s="7" t="n"/>
      <c r="H243" s="7" t="n"/>
      <c r="I243" s="7" t="n"/>
    </row>
    <row r="244">
      <c r="B244" s="4" t="inlineStr">
        <is>
          <t>Metric</t>
        </is>
      </c>
      <c r="C244" s="4" t="inlineStr">
        <is>
          <t>Excel Result</t>
        </is>
      </c>
      <c r="D244" s="4" t="inlineStr">
        <is>
          <t>Python Reference</t>
        </is>
      </c>
      <c r="E244" s="4" t="inlineStr">
        <is>
          <t>Difference</t>
        </is>
      </c>
      <c r="F244" s="4" t="inlineStr">
        <is>
          <t>PASS / FAIL</t>
        </is>
      </c>
      <c r="G244" s="4" t="inlineStr">
        <is>
          <t>Excel Status</t>
        </is>
      </c>
      <c r="H244" s="4" t="inlineStr">
        <is>
          <t>Python Status</t>
        </is>
      </c>
      <c r="I244" s="4" t="inlineStr">
        <is>
          <t>Status PASS</t>
        </is>
      </c>
    </row>
    <row r="245">
      <c r="B245" s="8" t="inlineStr">
        <is>
          <t>Planned Quantity (units)</t>
        </is>
      </c>
      <c r="C245" s="25">
        <f>AO245</f>
        <v/>
      </c>
      <c r="D245" s="21" t="n">
        <v>200</v>
      </c>
      <c r="E245" s="51">
        <f>IF(ISNUMBER(D245),IF(ISNUMBER(AO245),ABS(AO245-D245),"N/A"),"N/A")</f>
        <v/>
      </c>
      <c r="F245" s="15">
        <f>IFERROR(IF(ISNUMBER(D245),IF(ISNUMBER(AO245),IF(ABS(AO245-D245)&lt;=0.01,"PASS","FAIL"),"FAIL"),IF(NOT(ISNUMBER(AO245)),IF(AO245=D245,"PASS","FAIL"),"FAIL")),"FAIL")</f>
        <v/>
      </c>
      <c r="G245" s="16">
        <f>AP245</f>
        <v/>
      </c>
      <c r="H245" s="30" t="inlineStr">
        <is>
          <t>OK</t>
        </is>
      </c>
      <c r="I245" s="15">
        <f>IF(AP245=H245,"PASS","FAIL")</f>
        <v/>
      </c>
      <c r="M245" t="n">
        <v>35000</v>
      </c>
      <c r="N245" t="b">
        <v>1</v>
      </c>
      <c r="O245" t="n">
        <v>0.1</v>
      </c>
      <c r="P245" t="n">
        <v>13500</v>
      </c>
      <c r="Q245" t="n">
        <v>3000</v>
      </c>
      <c r="R245" t="b">
        <v>0</v>
      </c>
      <c r="S245" t="n">
        <v>0</v>
      </c>
      <c r="T245" t="n">
        <v>0.025</v>
      </c>
      <c r="V245" t="inlineStr">
        <is>
          <t>per_month</t>
        </is>
      </c>
      <c r="W245" t="inlineStr">
        <is>
          <t>invalid_direct</t>
        </is>
      </c>
      <c r="X245" t="inlineStr">
        <is>
          <t>consistent</t>
        </is>
      </c>
      <c r="Y245" t="n">
        <v>1</v>
      </c>
      <c r="Z245" t="inlineStr">
        <is>
          <t>present</t>
        </is>
      </c>
      <c r="AA245" t="n">
        <v>200</v>
      </c>
      <c r="AB245" t="inlineStr">
        <is>
          <t>per_month</t>
        </is>
      </c>
      <c r="AD245">
        <f>IFERROR(IF(ISBLANK($M$245),"UNKNOWN",IF(ISBLANK($N$245),"UNKNOWN",IF($N$245=FALSE,$M$245,IF(ISBLANK($O$245),"UNKNOWN",$M$245/(1+$O$245))))),"ERROR")</f>
        <v/>
      </c>
      <c r="AE245">
        <f>IFERROR(IF(ISBLANK($M$245),"UNKNOWN",IF(ISBLANK($N$245),"UNKNOWN",IF($N$245=TRUE,$M$245,IF(ISBLANK($O$245),"UNKNOWN",$M$245*(1+$O$245))))),"ERROR")</f>
        <v/>
      </c>
      <c r="AF245">
        <f>IF($Y$245&gt;1,"ERROR",IFERROR(IF(AD245="ERROR","ERROR",IF(OR(NOT(ISNUMBER(AD245)),ISBLANK($P$245),ISBLANK($Q$245),ISBLANK($S$245),ISBLANK($T$245)),"UNKNOWN",IF($T$245&gt;0,IF(AE245="ERROR","ERROR",IF(NOT(ISNUMBER(AE245)),"UNKNOWN",AD245-$P$245-$Q$245-$S$245*AD245-$T$245*AE245)),AD245-$P$245-$Q$245-$S$245*AD245))),"ERROR"))</f>
        <v/>
      </c>
      <c r="AG245">
        <f>IF($Y$245&gt;1,"ERROR",IFERROR(IF($W$245="invalid_direct","ERROR",IF($X$245="inconsistent","ERROR",IF($W$245="none",0,IF(OR($W$245="unresolved",$W$245="blended_only"),"UNKNOWN",IF(ISBLANK($U$245),"UNKNOWN",IF($U$245&lt;0,"ERROR",$U$245)))))),"ERROR"))</f>
        <v/>
      </c>
      <c r="AH245">
        <f>IF($Y$245&gt;1,"",IF(OR($W$245="invalid_direct",$X$245="inconsistent"),"",IF($W$245="none","",IF(OR($W$245="unresolved",$W$245="blended_only"),"",IF(ISBLANK($U$245),"",IF($U$245&lt;0,"",$V$245))))))</f>
        <v/>
      </c>
      <c r="AI245">
        <f>IF($Y$245&gt;1,"ERROR",IFERROR(IF(OR(AF245="ERROR",AG245="ERROR"),"ERROR",IF(OR(NOT(ISNUMBER(AF245)),NOT(ISNUMBER(AG245))),"UNKNOWN",IF(AF245&lt;=0,"NOT_APPLICABLE",AG245/AF245))),"ERROR"))</f>
        <v/>
      </c>
      <c r="AJ245">
        <f>IF($Y$245&gt;1,"MULTI_COMPONENT_BEP_NOT_SUPPORTED",IF($W$245="invalid_direct","INVALID_ALLOCATION_CONFIGURATION",IF($X$245="inconsistent","INCONSISTENT_FIXED_COST_BASIS",IF(AND($W$245="component",NOT(ISBLANK($U$245)),$U$245&lt;0),"INVALID_NEGATIVE_COST",IF(AF245="ERROR","CALCULATION_ERROR",IF($W$245="blended_only","FIXED_COST_BLENDED_ONLY_NOT_ALLOCATED",IF($W$245="unresolved","UNSUPPORTED_SHARED_COST_ALLOCATION",IF(NOT(ISNUMBER(AF245)),"MISSING_DEPENDENCY",IF(AND($W$245="component",ISBLANK($U$245)),"MISSING_DEPENDENCY",IF(AND(AF245=0,AG245=0),"BREAK_EVEN_UNDEFINED_ZERO_MARGIN_ZERO_FIXED_COST",IF(AF245=0,"BREAK_EVEN_UNDEFINED_ZERO_MARGIN",IF(AF245&lt;0,"BREAK_EVEN_UNDEFINED_NEGATIVE_MARGIN","NONE"))))))))))))</f>
        <v/>
      </c>
      <c r="AK245">
        <f>IF(AND(NOT(ISBLANK($AA$245)),$AA$245&lt;0),"ERROR",IF(AND($AB$245&lt;&gt;"",$AB$245&lt;&gt;"per_month"),"ERROR",IF(OR(ISBLANK($AA$245),$AB$245=""),"UNKNOWN",$AA$245)))</f>
        <v/>
      </c>
      <c r="AL245">
        <f>IF(AND(ISNUMBER(AG245),AH245&lt;&gt;"",AH245&lt;&gt;"per_month"),"ERROR",AG245)</f>
        <v/>
      </c>
      <c r="AM245">
        <f>IF(ISBLANK($AC$245),"none",IF(AND(ISNUMBER($AC$245),$AC$245&gt;0),"valid","invalid"))</f>
        <v/>
      </c>
      <c r="AN245">
        <f>IF(AM245="invalid","ERROR",IF(AND(AM245="valid",$R$245=TRUE,ISNUMBER(AF245)),AF245+$Q$245*(1-1/$AC$245),AF245))</f>
        <v/>
      </c>
      <c r="AO245">
        <f>IF($Z$245="absent","NOT_RUN",IF($Y$245&gt;1,"ERROR",AK245))</f>
        <v/>
      </c>
      <c r="AP245">
        <f>IF(ISNUMBER(AO245),"OK",AO245)</f>
        <v/>
      </c>
      <c r="AQ245">
        <f>IF($Z$245="absent","NOT_RUN",IF($Y$245&gt;1,"ERROR",IFERROR(IF(OR(AK245="ERROR",AD245="ERROR"),"ERROR",IF(OR(NOT(ISNUMBER(AK245)),NOT(ISNUMBER(AD245))),"UNKNOWN",AD245*AK245)),"ERROR")))</f>
        <v/>
      </c>
      <c r="AR245">
        <f>IF(ISNUMBER(AQ245),"OK",AQ245)</f>
        <v/>
      </c>
      <c r="AS245">
        <f>IF($Z$245="absent","NOT_RUN",IF($Y$245&gt;1,"ERROR",IFERROR(IF(OR(AK245="ERROR",AN245="ERROR"),"ERROR",IF(OR(NOT(ISNUMBER(AK245)),NOT(ISNUMBER(AN245))),"UNKNOWN",AN245*AK245)),"ERROR")))</f>
        <v/>
      </c>
      <c r="AT245">
        <f>IF(ISNUMBER(AS245),IF(AND($R$245=TRUE,AM245="none"),"ESTIMATED","OK"),AS245)</f>
        <v/>
      </c>
      <c r="AU245">
        <f>IF($Z$245="absent","NOT_RUN",IF($Y$245&gt;1,"ERROR",IFERROR(IF(OR(AK245="ERROR",AN245="ERROR",AL245="ERROR"),"ERROR",IF(OR(NOT(ISNUMBER(AK245)),NOT(ISNUMBER(AN245)),NOT(ISNUMBER(AL245))),"UNKNOWN",AN245*AK245-AL245)),"ERROR")))</f>
        <v/>
      </c>
      <c r="AV245">
        <f>IF(ISNUMBER(AU245),IF(AND($R$245=TRUE,AM245="none"),"ESTIMATED","OK"),AU245)</f>
        <v/>
      </c>
      <c r="AW245">
        <f>IF($Z$245="absent","NOT_RUN",IF($Y$245&gt;1,"ERROR",IFERROR(IF(OR(AU245="ERROR",AQ245="ERROR"),"ERROR",IF(OR(NOT(ISNUMBER(AU245)),NOT(ISNUMBER(AQ245))),"UNKNOWN",IF(AQ245=0,"NOT_APPLICABLE",AU245/AQ245))),"ERROR")))</f>
        <v/>
      </c>
      <c r="AX245">
        <f>IF(ISNUMBER(AW245),IF(AND($R$245=TRUE,AM245="none"),"ESTIMATED","OK"),AW245)</f>
        <v/>
      </c>
      <c r="AY245">
        <f>IF($Z$245="absent","NOT_RUN",IF($Y$245&gt;1,"ERROR",IFERROR(IF(OR(AN245="ERROR",AL245="ERROR"),"ERROR",IF(OR(NOT(ISNUMBER(AN245)),NOT(ISNUMBER(AL245))),"UNKNOWN",IF(AN245&lt;=0,"NOT_APPLICABLE",AL245/AN245))),"ERROR")))</f>
        <v/>
      </c>
      <c r="AZ245">
        <f>IF(ISNUMBER(AY245),IF(AND($R$245=TRUE,AM245="none"),"ESTIMATED","OK"),AY245)</f>
        <v/>
      </c>
      <c r="BA245">
        <f>IF($Z$245="absent","NOT_RUN",IF($Y$245&gt;1,"ERROR",IFERROR(IF(OR(AK245="ERROR",AN245="ERROR",AL245="ERROR"),"ERROR",IF(OR(NOT(ISNUMBER(AK245)),NOT(ISNUMBER(AN245)),NOT(ISNUMBER(AL245))),"UNKNOWN",IF(AN245&lt;=0,"NOT_APPLICABLE",AK245-AY245))),"ERROR")))</f>
        <v/>
      </c>
      <c r="BB245">
        <f>IF(ISNUMBER(BA245),IF(AND($R$245=TRUE,AM245="none"),"ESTIMATED","OK"),BA245)</f>
        <v/>
      </c>
      <c r="BC245">
        <f>IF($Z$245="absent","NOT_RUN",IF($Y$245&gt;1,"ERROR",IFERROR(IF(OR(AK245="ERROR",AN245="ERROR",AL245="ERROR"),"ERROR",IF(OR(NOT(ISNUMBER(AK245)),NOT(ISNUMBER(AN245)),NOT(ISNUMBER(AL245))),"UNKNOWN",IF(OR(AN245&lt;=0,AK245=0),"NOT_APPLICABLE",(AK245-AY245)/AK245))),"ERROR")))</f>
        <v/>
      </c>
      <c r="BD245">
        <f>IF(ISNUMBER(BC245),IF(AND($R$245=TRUE,AM245="none"),"ESTIMATED","OK"),BC245)</f>
        <v/>
      </c>
      <c r="BE245">
        <f>IF($Z$245="absent","NOT_RUN",IF(OR(AP245="ERROR",AR245="ERROR",AT245="ERROR",AV245="ERROR",AX245="ERROR",AZ245="ERROR",BB245="ERROR",BD245="ERROR"),"ERROR",IF(OR(AP245="UNKNOWN",AR245="UNKNOWN",AT245="UNKNOWN",AV245="UNKNOWN",AX245="UNKNOWN",AZ245="UNKNOWN",BB245="UNKNOWN",BD245="UNKNOWN"),"INCOMPLETE","OK")))</f>
        <v/>
      </c>
      <c r="BF245">
        <f>IF($Z$245="absent","",AH245)</f>
        <v/>
      </c>
    </row>
    <row r="246">
      <c r="B246" s="8" t="inlineStr">
        <is>
          <t>Total Net Sales ex VAT</t>
        </is>
      </c>
      <c r="C246" s="52">
        <f>AQ245</f>
        <v/>
      </c>
      <c r="D246" s="53" t="n">
        <v>6363636.363636363</v>
      </c>
      <c r="E246" s="51">
        <f>IF(ISNUMBER(D246),IF(ISNUMBER(AQ245),ABS(AQ245-D246),"N/A"),"N/A")</f>
        <v/>
      </c>
      <c r="F246" s="15">
        <f>IFERROR(IF(ISNUMBER(D246),IF(ISNUMBER(AQ245),IF(ABS(AQ245-D246)&lt;=0.01,"PASS","FAIL"),"FAIL"),IF(NOT(ISNUMBER(AQ245)),IF(AQ245=D246,"PASS","FAIL"),"FAIL")),"FAIL")</f>
        <v/>
      </c>
      <c r="G246" s="16">
        <f>AR245</f>
        <v/>
      </c>
      <c r="H246" s="30" t="inlineStr">
        <is>
          <t>OK</t>
        </is>
      </c>
      <c r="I246" s="15">
        <f>IF(AR245=H246,"PASS","FAIL")</f>
        <v/>
      </c>
    </row>
    <row r="247">
      <c r="B247" s="8" t="inlineStr">
        <is>
          <t>Total Contribution Margin</t>
        </is>
      </c>
      <c r="C247" s="52">
        <f>AS245</f>
        <v/>
      </c>
      <c r="D247" s="53" t="n">
        <v>2888636.363636363</v>
      </c>
      <c r="E247" s="51">
        <f>IF(ISNUMBER(D247),IF(ISNUMBER(AS245),ABS(AS245-D247),"N/A"),"N/A")</f>
        <v/>
      </c>
      <c r="F247" s="15">
        <f>IFERROR(IF(ISNUMBER(D247),IF(ISNUMBER(AS245),IF(ABS(AS245-D247)&lt;=0.01,"PASS","FAIL"),"FAIL"),IF(NOT(ISNUMBER(AS245)),IF(AS245=D247,"PASS","FAIL"),"FAIL")),"FAIL")</f>
        <v/>
      </c>
      <c r="G247" s="16">
        <f>AT245</f>
        <v/>
      </c>
      <c r="H247" s="30" t="inlineStr">
        <is>
          <t>OK</t>
        </is>
      </c>
      <c r="I247" s="15">
        <f>IF(AT245=H247,"PASS","FAIL")</f>
        <v/>
      </c>
    </row>
    <row r="248">
      <c r="B248" s="8" t="inlineStr">
        <is>
          <t>Operating Profit</t>
        </is>
      </c>
      <c r="C248" s="52">
        <f>AU245</f>
        <v/>
      </c>
      <c r="D248" s="30" t="inlineStr">
        <is>
          <t>ERROR</t>
        </is>
      </c>
      <c r="E248" s="51">
        <f>IF(ISNUMBER(D248),IF(ISNUMBER(AU245),ABS(AU245-D248),"N/A"),"N/A")</f>
        <v/>
      </c>
      <c r="F248" s="15">
        <f>IFERROR(IF(ISNUMBER(D248),IF(ISNUMBER(AU245),IF(ABS(AU245-D248)&lt;=0.01,"PASS","FAIL"),"FAIL"),IF(NOT(ISNUMBER(AU245)),IF(AU245=D248,"PASS","FAIL"),"FAIL")),"FAIL")</f>
        <v/>
      </c>
      <c r="G248" s="16">
        <f>AV245</f>
        <v/>
      </c>
      <c r="H248" s="30" t="inlineStr">
        <is>
          <t>ERROR</t>
        </is>
      </c>
      <c r="I248" s="15">
        <f>IF(AV245=H248,"PASS","FAIL")</f>
        <v/>
      </c>
    </row>
    <row r="249">
      <c r="B249" s="8" t="inlineStr">
        <is>
          <t>Operating Profit Rate</t>
        </is>
      </c>
      <c r="C249" s="54">
        <f>AW245</f>
        <v/>
      </c>
      <c r="D249" s="30" t="inlineStr">
        <is>
          <t>ERROR</t>
        </is>
      </c>
      <c r="E249" s="51">
        <f>IF(ISNUMBER(D249),IF(ISNUMBER(AW245),ABS(AW245-D249),"N/A"),"N/A")</f>
        <v/>
      </c>
      <c r="F249" s="15">
        <f>IFERROR(IF(ISNUMBER(D249),IF(ISNUMBER(AW245),IF(ABS(AW245-D249)&lt;=1e-06,"PASS","FAIL"),"FAIL"),IF(NOT(ISNUMBER(AW245)),IF(AW245=D249,"PASS","FAIL"),"FAIL")),"FAIL")</f>
        <v/>
      </c>
      <c r="G249" s="16">
        <f>AX245</f>
        <v/>
      </c>
      <c r="H249" s="30" t="inlineStr">
        <is>
          <t>ERROR</t>
        </is>
      </c>
      <c r="I249" s="15">
        <f>IF(AX245=H249,"PASS","FAIL")</f>
        <v/>
      </c>
    </row>
    <row r="250">
      <c r="B250" s="8" t="inlineStr">
        <is>
          <t>Break-Even Quantity (Q_BEP)</t>
        </is>
      </c>
      <c r="C250" s="25">
        <f>AY245</f>
        <v/>
      </c>
      <c r="D250" s="30" t="inlineStr">
        <is>
          <t>ERROR</t>
        </is>
      </c>
      <c r="E250" s="51">
        <f>IF(ISNUMBER(D250),IF(ISNUMBER(AY245),ABS(AY245-D250),"N/A"),"N/A")</f>
        <v/>
      </c>
      <c r="F250" s="15">
        <f>IFERROR(IF(ISNUMBER(D250),IF(ISNUMBER(AY245),IF(ABS(AY245-D250)&lt;=0.01,"PASS","FAIL"),"FAIL"),IF(NOT(ISNUMBER(AY245)),IF(AY245=D250,"PASS","FAIL"),"FAIL")),"FAIL")</f>
        <v/>
      </c>
      <c r="G250" s="16">
        <f>AZ245</f>
        <v/>
      </c>
      <c r="H250" s="30" t="inlineStr">
        <is>
          <t>ERROR</t>
        </is>
      </c>
      <c r="I250" s="15">
        <f>IF(AZ245=H250,"PASS","FAIL")</f>
        <v/>
      </c>
    </row>
    <row r="251">
      <c r="B251" s="8" t="inlineStr">
        <is>
          <t>Margin of Safety Quantity</t>
        </is>
      </c>
      <c r="C251" s="25">
        <f>BA245</f>
        <v/>
      </c>
      <c r="D251" s="30" t="inlineStr">
        <is>
          <t>ERROR</t>
        </is>
      </c>
      <c r="E251" s="51">
        <f>IF(ISNUMBER(D251),IF(ISNUMBER(BA245),ABS(BA245-D251),"N/A"),"N/A")</f>
        <v/>
      </c>
      <c r="F251" s="15">
        <f>IFERROR(IF(ISNUMBER(D251),IF(ISNUMBER(BA245),IF(ABS(BA245-D251)&lt;=0.01,"PASS","FAIL"),"FAIL"),IF(NOT(ISNUMBER(BA245)),IF(BA245=D251,"PASS","FAIL"),"FAIL")),"FAIL")</f>
        <v/>
      </c>
      <c r="G251" s="16">
        <f>BB245</f>
        <v/>
      </c>
      <c r="H251" s="30" t="inlineStr">
        <is>
          <t>ERROR</t>
        </is>
      </c>
      <c r="I251" s="15">
        <f>IF(BB245=H251,"PASS","FAIL")</f>
        <v/>
      </c>
    </row>
    <row r="252">
      <c r="B252" s="8" t="inlineStr">
        <is>
          <t>Margin of Safety Rate</t>
        </is>
      </c>
      <c r="C252" s="54">
        <f>BC245</f>
        <v/>
      </c>
      <c r="D252" s="30" t="inlineStr">
        <is>
          <t>ERROR</t>
        </is>
      </c>
      <c r="E252" s="51">
        <f>IF(ISNUMBER(D252),IF(ISNUMBER(BC245),ABS(BC245-D252),"N/A"),"N/A")</f>
        <v/>
      </c>
      <c r="F252" s="15">
        <f>IFERROR(IF(ISNUMBER(D252),IF(ISNUMBER(BC245),IF(ABS(BC245-D252)&lt;=1e-06,"PASS","FAIL"),"FAIL"),IF(NOT(ISNUMBER(BC245)),IF(BC245=D252,"PASS","FAIL"),"FAIL")),"FAIL")</f>
        <v/>
      </c>
      <c r="G252" s="16">
        <f>BD245</f>
        <v/>
      </c>
      <c r="H252" s="30" t="inlineStr">
        <is>
          <t>ERROR</t>
        </is>
      </c>
      <c r="I252" s="15">
        <f>IF(BD245=H252,"PASS","FAIL")</f>
        <v/>
      </c>
    </row>
    <row r="253">
      <c r="B253" s="8" t="inlineStr">
        <is>
          <t>Module Status</t>
        </is>
      </c>
      <c r="C253" s="16">
        <f>BE245</f>
        <v/>
      </c>
      <c r="D253" s="30" t="inlineStr">
        <is>
          <t>ERROR</t>
        </is>
      </c>
      <c r="F253" s="15">
        <f>IF(BE245=D253,"PASS","FAIL")</f>
        <v/>
      </c>
    </row>
    <row r="254">
      <c r="B254" s="8" t="inlineStr">
        <is>
          <t>Analysis Period Basis</t>
        </is>
      </c>
      <c r="C254" s="16">
        <f>BF245</f>
        <v/>
      </c>
      <c r="D254" s="30" t="inlineStr"/>
      <c r="F254" s="15">
        <f>IF(BF245=D254,"PASS","FAIL")</f>
        <v/>
      </c>
    </row>
    <row r="255">
      <c r="B255" s="8" t="inlineStr">
        <is>
          <t>Self-Check: |MoS qty × CMu − Operating Profit| ≤ tol</t>
        </is>
      </c>
      <c r="C255" s="36">
        <f>IF(OR(NOT(ISNUMBER(BA245)),NOT(ISNUMBER(AN245)),NOT(ISNUMBER(AU245))),"SKIP",IF(ABS(BA245*AN245-AU245)&lt;=0.01,"PASS","FAIL"))</f>
        <v/>
      </c>
      <c r="D255" s="34" t="n"/>
      <c r="F255" s="15">
        <f>IF(C255="FAIL","FAIL","PASS")</f>
        <v/>
      </c>
    </row>
    <row r="257" ht="20" customHeight="1">
      <c r="B257" s="2" t="inlineStr">
        <is>
          <t>V19. Fixed-cost basis other than per_month -&gt; ERROR</t>
        </is>
      </c>
      <c r="C257" s="7" t="n"/>
      <c r="D257" s="7" t="n"/>
      <c r="E257" s="7" t="n"/>
      <c r="F257" s="7" t="n"/>
      <c r="G257" s="7" t="n"/>
      <c r="H257" s="7" t="n"/>
      <c r="I257" s="7" t="n"/>
    </row>
    <row r="258">
      <c r="B258" s="4" t="inlineStr">
        <is>
          <t>Metric</t>
        </is>
      </c>
      <c r="C258" s="4" t="inlineStr">
        <is>
          <t>Excel Result</t>
        </is>
      </c>
      <c r="D258" s="4" t="inlineStr">
        <is>
          <t>Python Reference</t>
        </is>
      </c>
      <c r="E258" s="4" t="inlineStr">
        <is>
          <t>Difference</t>
        </is>
      </c>
      <c r="F258" s="4" t="inlineStr">
        <is>
          <t>PASS / FAIL</t>
        </is>
      </c>
      <c r="G258" s="4" t="inlineStr">
        <is>
          <t>Excel Status</t>
        </is>
      </c>
      <c r="H258" s="4" t="inlineStr">
        <is>
          <t>Python Status</t>
        </is>
      </c>
      <c r="I258" s="4" t="inlineStr">
        <is>
          <t>Status PASS</t>
        </is>
      </c>
    </row>
    <row r="259">
      <c r="B259" s="8" t="inlineStr">
        <is>
          <t>Planned Quantity (units)</t>
        </is>
      </c>
      <c r="C259" s="25">
        <f>AO259</f>
        <v/>
      </c>
      <c r="D259" s="21" t="n">
        <v>200</v>
      </c>
      <c r="E259" s="51">
        <f>IF(ISNUMBER(D259),IF(ISNUMBER(AO259),ABS(AO259-D259),"N/A"),"N/A")</f>
        <v/>
      </c>
      <c r="F259" s="15">
        <f>IFERROR(IF(ISNUMBER(D259),IF(ISNUMBER(AO259),IF(ABS(AO259-D259)&lt;=0.01,"PASS","FAIL"),"FAIL"),IF(NOT(ISNUMBER(AO259)),IF(AO259=D259,"PASS","FAIL"),"FAIL")),"FAIL")</f>
        <v/>
      </c>
      <c r="G259" s="16">
        <f>AP259</f>
        <v/>
      </c>
      <c r="H259" s="30" t="inlineStr">
        <is>
          <t>OK</t>
        </is>
      </c>
      <c r="I259" s="15">
        <f>IF(AP259=H259,"PASS","FAIL")</f>
        <v/>
      </c>
      <c r="M259" t="n">
        <v>35000</v>
      </c>
      <c r="N259" t="b">
        <v>1</v>
      </c>
      <c r="O259" t="n">
        <v>0.1</v>
      </c>
      <c r="P259" t="n">
        <v>13500</v>
      </c>
      <c r="Q259" t="n">
        <v>3000</v>
      </c>
      <c r="R259" t="b">
        <v>0</v>
      </c>
      <c r="S259" t="n">
        <v>0</v>
      </c>
      <c r="T259" t="n">
        <v>0.025</v>
      </c>
      <c r="U259" t="n">
        <v>2000000</v>
      </c>
      <c r="V259" t="inlineStr">
        <is>
          <t>per_unit_per_month</t>
        </is>
      </c>
      <c r="W259" t="inlineStr">
        <is>
          <t>component</t>
        </is>
      </c>
      <c r="X259" t="inlineStr">
        <is>
          <t>consistent</t>
        </is>
      </c>
      <c r="Y259" t="n">
        <v>1</v>
      </c>
      <c r="Z259" t="inlineStr">
        <is>
          <t>present</t>
        </is>
      </c>
      <c r="AA259" t="n">
        <v>200</v>
      </c>
      <c r="AB259" t="inlineStr">
        <is>
          <t>per_month</t>
        </is>
      </c>
      <c r="AD259">
        <f>IFERROR(IF(ISBLANK($M$259),"UNKNOWN",IF(ISBLANK($N$259),"UNKNOWN",IF($N$259=FALSE,$M$259,IF(ISBLANK($O$259),"UNKNOWN",$M$259/(1+$O$259))))),"ERROR")</f>
        <v/>
      </c>
      <c r="AE259">
        <f>IFERROR(IF(ISBLANK($M$259),"UNKNOWN",IF(ISBLANK($N$259),"UNKNOWN",IF($N$259=TRUE,$M$259,IF(ISBLANK($O$259),"UNKNOWN",$M$259*(1+$O$259))))),"ERROR")</f>
        <v/>
      </c>
      <c r="AF259">
        <f>IF($Y$259&gt;1,"ERROR",IFERROR(IF(AD259="ERROR","ERROR",IF(OR(NOT(ISNUMBER(AD259)),ISBLANK($P$259),ISBLANK($Q$259),ISBLANK($S$259),ISBLANK($T$259)),"UNKNOWN",IF($T$259&gt;0,IF(AE259="ERROR","ERROR",IF(NOT(ISNUMBER(AE259)),"UNKNOWN",AD259-$P$259-$Q$259-$S$259*AD259-$T$259*AE259)),AD259-$P$259-$Q$259-$S$259*AD259))),"ERROR"))</f>
        <v/>
      </c>
      <c r="AG259">
        <f>IF($Y$259&gt;1,"ERROR",IFERROR(IF($W$259="invalid_direct","ERROR",IF($X$259="inconsistent","ERROR",IF($W$259="none",0,IF(OR($W$259="unresolved",$W$259="blended_only"),"UNKNOWN",IF(ISBLANK($U$259),"UNKNOWN",IF($U$259&lt;0,"ERROR",$U$259)))))),"ERROR"))</f>
        <v/>
      </c>
      <c r="AH259">
        <f>IF($Y$259&gt;1,"",IF(OR($W$259="invalid_direct",$X$259="inconsistent"),"",IF($W$259="none","",IF(OR($W$259="unresolved",$W$259="blended_only"),"",IF(ISBLANK($U$259),"",IF($U$259&lt;0,"",$V$259))))))</f>
        <v/>
      </c>
      <c r="AI259">
        <f>IF($Y$259&gt;1,"ERROR",IFERROR(IF(OR(AF259="ERROR",AG259="ERROR"),"ERROR",IF(OR(NOT(ISNUMBER(AF259)),NOT(ISNUMBER(AG259))),"UNKNOWN",IF(AF259&lt;=0,"NOT_APPLICABLE",AG259/AF259))),"ERROR"))</f>
        <v/>
      </c>
      <c r="AJ259">
        <f>IF($Y$259&gt;1,"MULTI_COMPONENT_BEP_NOT_SUPPORTED",IF($W$259="invalid_direct","INVALID_ALLOCATION_CONFIGURATION",IF($X$259="inconsistent","INCONSISTENT_FIXED_COST_BASIS",IF(AND($W$259="component",NOT(ISBLANK($U$259)),$U$259&lt;0),"INVALID_NEGATIVE_COST",IF(AF259="ERROR","CALCULATION_ERROR",IF($W$259="blended_only","FIXED_COST_BLENDED_ONLY_NOT_ALLOCATED",IF($W$259="unresolved","UNSUPPORTED_SHARED_COST_ALLOCATION",IF(NOT(ISNUMBER(AF259)),"MISSING_DEPENDENCY",IF(AND($W$259="component",ISBLANK($U$259)),"MISSING_DEPENDENCY",IF(AND(AF259=0,AG259=0),"BREAK_EVEN_UNDEFINED_ZERO_MARGIN_ZERO_FIXED_COST",IF(AF259=0,"BREAK_EVEN_UNDEFINED_ZERO_MARGIN",IF(AF259&lt;0,"BREAK_EVEN_UNDEFINED_NEGATIVE_MARGIN","NONE"))))))))))))</f>
        <v/>
      </c>
      <c r="AK259">
        <f>IF(AND(NOT(ISBLANK($AA$259)),$AA$259&lt;0),"ERROR",IF(AND($AB$259&lt;&gt;"",$AB$259&lt;&gt;"per_month"),"ERROR",IF(OR(ISBLANK($AA$259),$AB$259=""),"UNKNOWN",$AA$259)))</f>
        <v/>
      </c>
      <c r="AL259">
        <f>IF(AND(ISNUMBER(AG259),AH259&lt;&gt;"",AH259&lt;&gt;"per_month"),"ERROR",AG259)</f>
        <v/>
      </c>
      <c r="AM259">
        <f>IF(ISBLANK($AC$259),"none",IF(AND(ISNUMBER($AC$259),$AC$259&gt;0),"valid","invalid"))</f>
        <v/>
      </c>
      <c r="AN259">
        <f>IF(AM259="invalid","ERROR",IF(AND(AM259="valid",$R$259=TRUE,ISNUMBER(AF259)),AF259+$Q$259*(1-1/$AC$259),AF259))</f>
        <v/>
      </c>
      <c r="AO259">
        <f>IF($Z$259="absent","NOT_RUN",IF($Y$259&gt;1,"ERROR",AK259))</f>
        <v/>
      </c>
      <c r="AP259">
        <f>IF(ISNUMBER(AO259),"OK",AO259)</f>
        <v/>
      </c>
      <c r="AQ259">
        <f>IF($Z$259="absent","NOT_RUN",IF($Y$259&gt;1,"ERROR",IFERROR(IF(OR(AK259="ERROR",AD259="ERROR"),"ERROR",IF(OR(NOT(ISNUMBER(AK259)),NOT(ISNUMBER(AD259))),"UNKNOWN",AD259*AK259)),"ERROR")))</f>
        <v/>
      </c>
      <c r="AR259">
        <f>IF(ISNUMBER(AQ259),"OK",AQ259)</f>
        <v/>
      </c>
      <c r="AS259">
        <f>IF($Z$259="absent","NOT_RUN",IF($Y$259&gt;1,"ERROR",IFERROR(IF(OR(AK259="ERROR",AN259="ERROR"),"ERROR",IF(OR(NOT(ISNUMBER(AK259)),NOT(ISNUMBER(AN259))),"UNKNOWN",AN259*AK259)),"ERROR")))</f>
        <v/>
      </c>
      <c r="AT259">
        <f>IF(ISNUMBER(AS259),IF(AND($R$259=TRUE,AM259="none"),"ESTIMATED","OK"),AS259)</f>
        <v/>
      </c>
      <c r="AU259">
        <f>IF($Z$259="absent","NOT_RUN",IF($Y$259&gt;1,"ERROR",IFERROR(IF(OR(AK259="ERROR",AN259="ERROR",AL259="ERROR"),"ERROR",IF(OR(NOT(ISNUMBER(AK259)),NOT(ISNUMBER(AN259)),NOT(ISNUMBER(AL259))),"UNKNOWN",AN259*AK259-AL259)),"ERROR")))</f>
        <v/>
      </c>
      <c r="AV259">
        <f>IF(ISNUMBER(AU259),IF(AND($R$259=TRUE,AM259="none"),"ESTIMATED","OK"),AU259)</f>
        <v/>
      </c>
      <c r="AW259">
        <f>IF($Z$259="absent","NOT_RUN",IF($Y$259&gt;1,"ERROR",IFERROR(IF(OR(AU259="ERROR",AQ259="ERROR"),"ERROR",IF(OR(NOT(ISNUMBER(AU259)),NOT(ISNUMBER(AQ259))),"UNKNOWN",IF(AQ259=0,"NOT_APPLICABLE",AU259/AQ259))),"ERROR")))</f>
        <v/>
      </c>
      <c r="AX259">
        <f>IF(ISNUMBER(AW259),IF(AND($R$259=TRUE,AM259="none"),"ESTIMATED","OK"),AW259)</f>
        <v/>
      </c>
      <c r="AY259">
        <f>IF($Z$259="absent","NOT_RUN",IF($Y$259&gt;1,"ERROR",IFERROR(IF(OR(AN259="ERROR",AL259="ERROR"),"ERROR",IF(OR(NOT(ISNUMBER(AN259)),NOT(ISNUMBER(AL259))),"UNKNOWN",IF(AN259&lt;=0,"NOT_APPLICABLE",AL259/AN259))),"ERROR")))</f>
        <v/>
      </c>
      <c r="AZ259">
        <f>IF(ISNUMBER(AY259),IF(AND($R$259=TRUE,AM259="none"),"ESTIMATED","OK"),AY259)</f>
        <v/>
      </c>
      <c r="BA259">
        <f>IF($Z$259="absent","NOT_RUN",IF($Y$259&gt;1,"ERROR",IFERROR(IF(OR(AK259="ERROR",AN259="ERROR",AL259="ERROR"),"ERROR",IF(OR(NOT(ISNUMBER(AK259)),NOT(ISNUMBER(AN259)),NOT(ISNUMBER(AL259))),"UNKNOWN",IF(AN259&lt;=0,"NOT_APPLICABLE",AK259-AY259))),"ERROR")))</f>
        <v/>
      </c>
      <c r="BB259">
        <f>IF(ISNUMBER(BA259),IF(AND($R$259=TRUE,AM259="none"),"ESTIMATED","OK"),BA259)</f>
        <v/>
      </c>
      <c r="BC259">
        <f>IF($Z$259="absent","NOT_RUN",IF($Y$259&gt;1,"ERROR",IFERROR(IF(OR(AK259="ERROR",AN259="ERROR",AL259="ERROR"),"ERROR",IF(OR(NOT(ISNUMBER(AK259)),NOT(ISNUMBER(AN259)),NOT(ISNUMBER(AL259))),"UNKNOWN",IF(OR(AN259&lt;=0,AK259=0),"NOT_APPLICABLE",(AK259-AY259)/AK259))),"ERROR")))</f>
        <v/>
      </c>
      <c r="BD259">
        <f>IF(ISNUMBER(BC259),IF(AND($R$259=TRUE,AM259="none"),"ESTIMATED","OK"),BC259)</f>
        <v/>
      </c>
      <c r="BE259">
        <f>IF($Z$259="absent","NOT_RUN",IF(OR(AP259="ERROR",AR259="ERROR",AT259="ERROR",AV259="ERROR",AX259="ERROR",AZ259="ERROR",BB259="ERROR",BD259="ERROR"),"ERROR",IF(OR(AP259="UNKNOWN",AR259="UNKNOWN",AT259="UNKNOWN",AV259="UNKNOWN",AX259="UNKNOWN",AZ259="UNKNOWN",BB259="UNKNOWN",BD259="UNKNOWN"),"INCOMPLETE","OK")))</f>
        <v/>
      </c>
      <c r="BF259">
        <f>IF($Z$259="absent","",AH259)</f>
        <v/>
      </c>
    </row>
    <row r="260">
      <c r="B260" s="8" t="inlineStr">
        <is>
          <t>Total Net Sales ex VAT</t>
        </is>
      </c>
      <c r="C260" s="52">
        <f>AQ259</f>
        <v/>
      </c>
      <c r="D260" s="53" t="n">
        <v>6363636.363636363</v>
      </c>
      <c r="E260" s="51">
        <f>IF(ISNUMBER(D260),IF(ISNUMBER(AQ259),ABS(AQ259-D260),"N/A"),"N/A")</f>
        <v/>
      </c>
      <c r="F260" s="15">
        <f>IFERROR(IF(ISNUMBER(D260),IF(ISNUMBER(AQ259),IF(ABS(AQ259-D260)&lt;=0.01,"PASS","FAIL"),"FAIL"),IF(NOT(ISNUMBER(AQ259)),IF(AQ259=D260,"PASS","FAIL"),"FAIL")),"FAIL")</f>
        <v/>
      </c>
      <c r="G260" s="16">
        <f>AR259</f>
        <v/>
      </c>
      <c r="H260" s="30" t="inlineStr">
        <is>
          <t>OK</t>
        </is>
      </c>
      <c r="I260" s="15">
        <f>IF(AR259=H260,"PASS","FAIL")</f>
        <v/>
      </c>
    </row>
    <row r="261">
      <c r="B261" s="8" t="inlineStr">
        <is>
          <t>Total Contribution Margin</t>
        </is>
      </c>
      <c r="C261" s="52">
        <f>AS259</f>
        <v/>
      </c>
      <c r="D261" s="53" t="n">
        <v>2888636.363636363</v>
      </c>
      <c r="E261" s="51">
        <f>IF(ISNUMBER(D261),IF(ISNUMBER(AS259),ABS(AS259-D261),"N/A"),"N/A")</f>
        <v/>
      </c>
      <c r="F261" s="15">
        <f>IFERROR(IF(ISNUMBER(D261),IF(ISNUMBER(AS259),IF(ABS(AS259-D261)&lt;=0.01,"PASS","FAIL"),"FAIL"),IF(NOT(ISNUMBER(AS259)),IF(AS259=D261,"PASS","FAIL"),"FAIL")),"FAIL")</f>
        <v/>
      </c>
      <c r="G261" s="16">
        <f>AT259</f>
        <v/>
      </c>
      <c r="H261" s="30" t="inlineStr">
        <is>
          <t>OK</t>
        </is>
      </c>
      <c r="I261" s="15">
        <f>IF(AT259=H261,"PASS","FAIL")</f>
        <v/>
      </c>
    </row>
    <row r="262">
      <c r="B262" s="8" t="inlineStr">
        <is>
          <t>Operating Profit</t>
        </is>
      </c>
      <c r="C262" s="52">
        <f>AU259</f>
        <v/>
      </c>
      <c r="D262" s="30" t="inlineStr">
        <is>
          <t>ERROR</t>
        </is>
      </c>
      <c r="E262" s="51">
        <f>IF(ISNUMBER(D262),IF(ISNUMBER(AU259),ABS(AU259-D262),"N/A"),"N/A")</f>
        <v/>
      </c>
      <c r="F262" s="15">
        <f>IFERROR(IF(ISNUMBER(D262),IF(ISNUMBER(AU259),IF(ABS(AU259-D262)&lt;=0.01,"PASS","FAIL"),"FAIL"),IF(NOT(ISNUMBER(AU259)),IF(AU259=D262,"PASS","FAIL"),"FAIL")),"FAIL")</f>
        <v/>
      </c>
      <c r="G262" s="16">
        <f>AV259</f>
        <v/>
      </c>
      <c r="H262" s="30" t="inlineStr">
        <is>
          <t>ERROR</t>
        </is>
      </c>
      <c r="I262" s="15">
        <f>IF(AV259=H262,"PASS","FAIL")</f>
        <v/>
      </c>
    </row>
    <row r="263">
      <c r="B263" s="8" t="inlineStr">
        <is>
          <t>Operating Profit Rate</t>
        </is>
      </c>
      <c r="C263" s="54">
        <f>AW259</f>
        <v/>
      </c>
      <c r="D263" s="30" t="inlineStr">
        <is>
          <t>ERROR</t>
        </is>
      </c>
      <c r="E263" s="51">
        <f>IF(ISNUMBER(D263),IF(ISNUMBER(AW259),ABS(AW259-D263),"N/A"),"N/A")</f>
        <v/>
      </c>
      <c r="F263" s="15">
        <f>IFERROR(IF(ISNUMBER(D263),IF(ISNUMBER(AW259),IF(ABS(AW259-D263)&lt;=1e-06,"PASS","FAIL"),"FAIL"),IF(NOT(ISNUMBER(AW259)),IF(AW259=D263,"PASS","FAIL"),"FAIL")),"FAIL")</f>
        <v/>
      </c>
      <c r="G263" s="16">
        <f>AX259</f>
        <v/>
      </c>
      <c r="H263" s="30" t="inlineStr">
        <is>
          <t>ERROR</t>
        </is>
      </c>
      <c r="I263" s="15">
        <f>IF(AX259=H263,"PASS","FAIL")</f>
        <v/>
      </c>
    </row>
    <row r="264">
      <c r="B264" s="8" t="inlineStr">
        <is>
          <t>Break-Even Quantity (Q_BEP)</t>
        </is>
      </c>
      <c r="C264" s="25">
        <f>AY259</f>
        <v/>
      </c>
      <c r="D264" s="30" t="inlineStr">
        <is>
          <t>ERROR</t>
        </is>
      </c>
      <c r="E264" s="51">
        <f>IF(ISNUMBER(D264),IF(ISNUMBER(AY259),ABS(AY259-D264),"N/A"),"N/A")</f>
        <v/>
      </c>
      <c r="F264" s="15">
        <f>IFERROR(IF(ISNUMBER(D264),IF(ISNUMBER(AY259),IF(ABS(AY259-D264)&lt;=0.01,"PASS","FAIL"),"FAIL"),IF(NOT(ISNUMBER(AY259)),IF(AY259=D264,"PASS","FAIL"),"FAIL")),"FAIL")</f>
        <v/>
      </c>
      <c r="G264" s="16">
        <f>AZ259</f>
        <v/>
      </c>
      <c r="H264" s="30" t="inlineStr">
        <is>
          <t>ERROR</t>
        </is>
      </c>
      <c r="I264" s="15">
        <f>IF(AZ259=H264,"PASS","FAIL")</f>
        <v/>
      </c>
    </row>
    <row r="265">
      <c r="B265" s="8" t="inlineStr">
        <is>
          <t>Margin of Safety Quantity</t>
        </is>
      </c>
      <c r="C265" s="25">
        <f>BA259</f>
        <v/>
      </c>
      <c r="D265" s="30" t="inlineStr">
        <is>
          <t>ERROR</t>
        </is>
      </c>
      <c r="E265" s="51">
        <f>IF(ISNUMBER(D265),IF(ISNUMBER(BA259),ABS(BA259-D265),"N/A"),"N/A")</f>
        <v/>
      </c>
      <c r="F265" s="15">
        <f>IFERROR(IF(ISNUMBER(D265),IF(ISNUMBER(BA259),IF(ABS(BA259-D265)&lt;=0.01,"PASS","FAIL"),"FAIL"),IF(NOT(ISNUMBER(BA259)),IF(BA259=D265,"PASS","FAIL"),"FAIL")),"FAIL")</f>
        <v/>
      </c>
      <c r="G265" s="16">
        <f>BB259</f>
        <v/>
      </c>
      <c r="H265" s="30" t="inlineStr">
        <is>
          <t>ERROR</t>
        </is>
      </c>
      <c r="I265" s="15">
        <f>IF(BB259=H265,"PASS","FAIL")</f>
        <v/>
      </c>
    </row>
    <row r="266">
      <c r="B266" s="8" t="inlineStr">
        <is>
          <t>Margin of Safety Rate</t>
        </is>
      </c>
      <c r="C266" s="54">
        <f>BC259</f>
        <v/>
      </c>
      <c r="D266" s="30" t="inlineStr">
        <is>
          <t>ERROR</t>
        </is>
      </c>
      <c r="E266" s="51">
        <f>IF(ISNUMBER(D266),IF(ISNUMBER(BC259),ABS(BC259-D266),"N/A"),"N/A")</f>
        <v/>
      </c>
      <c r="F266" s="15">
        <f>IFERROR(IF(ISNUMBER(D266),IF(ISNUMBER(BC259),IF(ABS(BC259-D266)&lt;=1e-06,"PASS","FAIL"),"FAIL"),IF(NOT(ISNUMBER(BC259)),IF(BC259=D266,"PASS","FAIL"),"FAIL")),"FAIL")</f>
        <v/>
      </c>
      <c r="G266" s="16">
        <f>BD259</f>
        <v/>
      </c>
      <c r="H266" s="30" t="inlineStr">
        <is>
          <t>ERROR</t>
        </is>
      </c>
      <c r="I266" s="15">
        <f>IF(BD259=H266,"PASS","FAIL")</f>
        <v/>
      </c>
    </row>
    <row r="267">
      <c r="B267" s="8" t="inlineStr">
        <is>
          <t>Module Status</t>
        </is>
      </c>
      <c r="C267" s="16">
        <f>BE259</f>
        <v/>
      </c>
      <c r="D267" s="30" t="inlineStr">
        <is>
          <t>ERROR</t>
        </is>
      </c>
      <c r="F267" s="15">
        <f>IF(BE259=D267,"PASS","FAIL")</f>
        <v/>
      </c>
    </row>
    <row r="268">
      <c r="B268" s="8" t="inlineStr">
        <is>
          <t>Analysis Period Basis</t>
        </is>
      </c>
      <c r="C268" s="16">
        <f>BF259</f>
        <v/>
      </c>
      <c r="D268" s="30" t="inlineStr">
        <is>
          <t>per_unit_per_month</t>
        </is>
      </c>
      <c r="F268" s="15">
        <f>IF(BF259=D268,"PASS","FAIL")</f>
        <v/>
      </c>
    </row>
    <row r="269">
      <c r="B269" s="8" t="inlineStr">
        <is>
          <t>Self-Check: |MoS qty × CMu − Operating Profit| ≤ tol</t>
        </is>
      </c>
      <c r="C269" s="36">
        <f>IF(OR(NOT(ISNUMBER(BA259)),NOT(ISNUMBER(AN259)),NOT(ISNUMBER(AU259))),"SKIP",IF(ABS(BA259*AN259-AU259)&lt;=0.01,"PASS","FAIL"))</f>
        <v/>
      </c>
      <c r="D269" s="34" t="n"/>
      <c r="F269" s="15">
        <f>IF(C269="FAIL","FAIL","PASS")</f>
        <v/>
      </c>
    </row>
    <row r="271" ht="20" customHeight="1">
      <c r="B271" s="2" t="inlineStr">
        <is>
          <t>V20. Inconsistent fixed-cost basis -&gt; ERROR</t>
        </is>
      </c>
      <c r="C271" s="7" t="n"/>
      <c r="D271" s="7" t="n"/>
      <c r="E271" s="7" t="n"/>
      <c r="F271" s="7" t="n"/>
      <c r="G271" s="7" t="n"/>
      <c r="H271" s="7" t="n"/>
      <c r="I271" s="7" t="n"/>
    </row>
    <row r="272">
      <c r="B272" s="4" t="inlineStr">
        <is>
          <t>Metric</t>
        </is>
      </c>
      <c r="C272" s="4" t="inlineStr">
        <is>
          <t>Excel Result</t>
        </is>
      </c>
      <c r="D272" s="4" t="inlineStr">
        <is>
          <t>Python Reference</t>
        </is>
      </c>
      <c r="E272" s="4" t="inlineStr">
        <is>
          <t>Difference</t>
        </is>
      </c>
      <c r="F272" s="4" t="inlineStr">
        <is>
          <t>PASS / FAIL</t>
        </is>
      </c>
      <c r="G272" s="4" t="inlineStr">
        <is>
          <t>Excel Status</t>
        </is>
      </c>
      <c r="H272" s="4" t="inlineStr">
        <is>
          <t>Python Status</t>
        </is>
      </c>
      <c r="I272" s="4" t="inlineStr">
        <is>
          <t>Status PASS</t>
        </is>
      </c>
    </row>
    <row r="273">
      <c r="B273" s="8" t="inlineStr">
        <is>
          <t>Planned Quantity (units)</t>
        </is>
      </c>
      <c r="C273" s="25">
        <f>AO273</f>
        <v/>
      </c>
      <c r="D273" s="21" t="n">
        <v>200</v>
      </c>
      <c r="E273" s="51">
        <f>IF(ISNUMBER(D273),IF(ISNUMBER(AO273),ABS(AO273-D273),"N/A"),"N/A")</f>
        <v/>
      </c>
      <c r="F273" s="15">
        <f>IFERROR(IF(ISNUMBER(D273),IF(ISNUMBER(AO273),IF(ABS(AO273-D273)&lt;=0.01,"PASS","FAIL"),"FAIL"),IF(NOT(ISNUMBER(AO273)),IF(AO273=D273,"PASS","FAIL"),"FAIL")),"FAIL")</f>
        <v/>
      </c>
      <c r="G273" s="16">
        <f>AP273</f>
        <v/>
      </c>
      <c r="H273" s="30" t="inlineStr">
        <is>
          <t>OK</t>
        </is>
      </c>
      <c r="I273" s="15">
        <f>IF(AP273=H273,"PASS","FAIL")</f>
        <v/>
      </c>
      <c r="M273" t="n">
        <v>35000</v>
      </c>
      <c r="N273" t="b">
        <v>1</v>
      </c>
      <c r="O273" t="n">
        <v>0.1</v>
      </c>
      <c r="P273" t="n">
        <v>13500</v>
      </c>
      <c r="Q273" t="n">
        <v>3000</v>
      </c>
      <c r="R273" t="b">
        <v>0</v>
      </c>
      <c r="S273" t="n">
        <v>0</v>
      </c>
      <c r="T273" t="n">
        <v>0.025</v>
      </c>
      <c r="U273" t="n">
        <v>2000000</v>
      </c>
      <c r="V273" t="inlineStr">
        <is>
          <t>per_month</t>
        </is>
      </c>
      <c r="W273" t="inlineStr">
        <is>
          <t>component</t>
        </is>
      </c>
      <c r="X273" t="inlineStr">
        <is>
          <t>inconsistent</t>
        </is>
      </c>
      <c r="Y273" t="n">
        <v>1</v>
      </c>
      <c r="Z273" t="inlineStr">
        <is>
          <t>present</t>
        </is>
      </c>
      <c r="AA273" t="n">
        <v>200</v>
      </c>
      <c r="AB273" t="inlineStr">
        <is>
          <t>per_month</t>
        </is>
      </c>
      <c r="AD273">
        <f>IFERROR(IF(ISBLANK($M$273),"UNKNOWN",IF(ISBLANK($N$273),"UNKNOWN",IF($N$273=FALSE,$M$273,IF(ISBLANK($O$273),"UNKNOWN",$M$273/(1+$O$273))))),"ERROR")</f>
        <v/>
      </c>
      <c r="AE273">
        <f>IFERROR(IF(ISBLANK($M$273),"UNKNOWN",IF(ISBLANK($N$273),"UNKNOWN",IF($N$273=TRUE,$M$273,IF(ISBLANK($O$273),"UNKNOWN",$M$273*(1+$O$273))))),"ERROR")</f>
        <v/>
      </c>
      <c r="AF273">
        <f>IF($Y$273&gt;1,"ERROR",IFERROR(IF(AD273="ERROR","ERROR",IF(OR(NOT(ISNUMBER(AD273)),ISBLANK($P$273),ISBLANK($Q$273),ISBLANK($S$273),ISBLANK($T$273)),"UNKNOWN",IF($T$273&gt;0,IF(AE273="ERROR","ERROR",IF(NOT(ISNUMBER(AE273)),"UNKNOWN",AD273-$P$273-$Q$273-$S$273*AD273-$T$273*AE273)),AD273-$P$273-$Q$273-$S$273*AD273))),"ERROR"))</f>
        <v/>
      </c>
      <c r="AG273">
        <f>IF($Y$273&gt;1,"ERROR",IFERROR(IF($W$273="invalid_direct","ERROR",IF($X$273="inconsistent","ERROR",IF($W$273="none",0,IF(OR($W$273="unresolved",$W$273="blended_only"),"UNKNOWN",IF(ISBLANK($U$273),"UNKNOWN",IF($U$273&lt;0,"ERROR",$U$273)))))),"ERROR"))</f>
        <v/>
      </c>
      <c r="AH273">
        <f>IF($Y$273&gt;1,"",IF(OR($W$273="invalid_direct",$X$273="inconsistent"),"",IF($W$273="none","",IF(OR($W$273="unresolved",$W$273="blended_only"),"",IF(ISBLANK($U$273),"",IF($U$273&lt;0,"",$V$273))))))</f>
        <v/>
      </c>
      <c r="AI273">
        <f>IF($Y$273&gt;1,"ERROR",IFERROR(IF(OR(AF273="ERROR",AG273="ERROR"),"ERROR",IF(OR(NOT(ISNUMBER(AF273)),NOT(ISNUMBER(AG273))),"UNKNOWN",IF(AF273&lt;=0,"NOT_APPLICABLE",AG273/AF273))),"ERROR"))</f>
        <v/>
      </c>
      <c r="AJ273">
        <f>IF($Y$273&gt;1,"MULTI_COMPONENT_BEP_NOT_SUPPORTED",IF($W$273="invalid_direct","INVALID_ALLOCATION_CONFIGURATION",IF($X$273="inconsistent","INCONSISTENT_FIXED_COST_BASIS",IF(AND($W$273="component",NOT(ISBLANK($U$273)),$U$273&lt;0),"INVALID_NEGATIVE_COST",IF(AF273="ERROR","CALCULATION_ERROR",IF($W$273="blended_only","FIXED_COST_BLENDED_ONLY_NOT_ALLOCATED",IF($W$273="unresolved","UNSUPPORTED_SHARED_COST_ALLOCATION",IF(NOT(ISNUMBER(AF273)),"MISSING_DEPENDENCY",IF(AND($W$273="component",ISBLANK($U$273)),"MISSING_DEPENDENCY",IF(AND(AF273=0,AG273=0),"BREAK_EVEN_UNDEFINED_ZERO_MARGIN_ZERO_FIXED_COST",IF(AF273=0,"BREAK_EVEN_UNDEFINED_ZERO_MARGIN",IF(AF273&lt;0,"BREAK_EVEN_UNDEFINED_NEGATIVE_MARGIN","NONE"))))))))))))</f>
        <v/>
      </c>
      <c r="AK273">
        <f>IF(AND(NOT(ISBLANK($AA$273)),$AA$273&lt;0),"ERROR",IF(AND($AB$273&lt;&gt;"",$AB$273&lt;&gt;"per_month"),"ERROR",IF(OR(ISBLANK($AA$273),$AB$273=""),"UNKNOWN",$AA$273)))</f>
        <v/>
      </c>
      <c r="AL273">
        <f>IF(AND(ISNUMBER(AG273),AH273&lt;&gt;"",AH273&lt;&gt;"per_month"),"ERROR",AG273)</f>
        <v/>
      </c>
      <c r="AM273">
        <f>IF(ISBLANK($AC$273),"none",IF(AND(ISNUMBER($AC$273),$AC$273&gt;0),"valid","invalid"))</f>
        <v/>
      </c>
      <c r="AN273">
        <f>IF(AM273="invalid","ERROR",IF(AND(AM273="valid",$R$273=TRUE,ISNUMBER(AF273)),AF273+$Q$273*(1-1/$AC$273),AF273))</f>
        <v/>
      </c>
      <c r="AO273">
        <f>IF($Z$273="absent","NOT_RUN",IF($Y$273&gt;1,"ERROR",AK273))</f>
        <v/>
      </c>
      <c r="AP273">
        <f>IF(ISNUMBER(AO273),"OK",AO273)</f>
        <v/>
      </c>
      <c r="AQ273">
        <f>IF($Z$273="absent","NOT_RUN",IF($Y$273&gt;1,"ERROR",IFERROR(IF(OR(AK273="ERROR",AD273="ERROR"),"ERROR",IF(OR(NOT(ISNUMBER(AK273)),NOT(ISNUMBER(AD273))),"UNKNOWN",AD273*AK273)),"ERROR")))</f>
        <v/>
      </c>
      <c r="AR273">
        <f>IF(ISNUMBER(AQ273),"OK",AQ273)</f>
        <v/>
      </c>
      <c r="AS273">
        <f>IF($Z$273="absent","NOT_RUN",IF($Y$273&gt;1,"ERROR",IFERROR(IF(OR(AK273="ERROR",AN273="ERROR"),"ERROR",IF(OR(NOT(ISNUMBER(AK273)),NOT(ISNUMBER(AN273))),"UNKNOWN",AN273*AK273)),"ERROR")))</f>
        <v/>
      </c>
      <c r="AT273">
        <f>IF(ISNUMBER(AS273),IF(AND($R$273=TRUE,AM273="none"),"ESTIMATED","OK"),AS273)</f>
        <v/>
      </c>
      <c r="AU273">
        <f>IF($Z$273="absent","NOT_RUN",IF($Y$273&gt;1,"ERROR",IFERROR(IF(OR(AK273="ERROR",AN273="ERROR",AL273="ERROR"),"ERROR",IF(OR(NOT(ISNUMBER(AK273)),NOT(ISNUMBER(AN273)),NOT(ISNUMBER(AL273))),"UNKNOWN",AN273*AK273-AL273)),"ERROR")))</f>
        <v/>
      </c>
      <c r="AV273">
        <f>IF(ISNUMBER(AU273),IF(AND($R$273=TRUE,AM273="none"),"ESTIMATED","OK"),AU273)</f>
        <v/>
      </c>
      <c r="AW273">
        <f>IF($Z$273="absent","NOT_RUN",IF($Y$273&gt;1,"ERROR",IFERROR(IF(OR(AU273="ERROR",AQ273="ERROR"),"ERROR",IF(OR(NOT(ISNUMBER(AU273)),NOT(ISNUMBER(AQ273))),"UNKNOWN",IF(AQ273=0,"NOT_APPLICABLE",AU273/AQ273))),"ERROR")))</f>
        <v/>
      </c>
      <c r="AX273">
        <f>IF(ISNUMBER(AW273),IF(AND($R$273=TRUE,AM273="none"),"ESTIMATED","OK"),AW273)</f>
        <v/>
      </c>
      <c r="AY273">
        <f>IF($Z$273="absent","NOT_RUN",IF($Y$273&gt;1,"ERROR",IFERROR(IF(OR(AN273="ERROR",AL273="ERROR"),"ERROR",IF(OR(NOT(ISNUMBER(AN273)),NOT(ISNUMBER(AL273))),"UNKNOWN",IF(AN273&lt;=0,"NOT_APPLICABLE",AL273/AN273))),"ERROR")))</f>
        <v/>
      </c>
      <c r="AZ273">
        <f>IF(ISNUMBER(AY273),IF(AND($R$273=TRUE,AM273="none"),"ESTIMATED","OK"),AY273)</f>
        <v/>
      </c>
      <c r="BA273">
        <f>IF($Z$273="absent","NOT_RUN",IF($Y$273&gt;1,"ERROR",IFERROR(IF(OR(AK273="ERROR",AN273="ERROR",AL273="ERROR"),"ERROR",IF(OR(NOT(ISNUMBER(AK273)),NOT(ISNUMBER(AN273)),NOT(ISNUMBER(AL273))),"UNKNOWN",IF(AN273&lt;=0,"NOT_APPLICABLE",AK273-AY273))),"ERROR")))</f>
        <v/>
      </c>
      <c r="BB273">
        <f>IF(ISNUMBER(BA273),IF(AND($R$273=TRUE,AM273="none"),"ESTIMATED","OK"),BA273)</f>
        <v/>
      </c>
      <c r="BC273">
        <f>IF($Z$273="absent","NOT_RUN",IF($Y$273&gt;1,"ERROR",IFERROR(IF(OR(AK273="ERROR",AN273="ERROR",AL273="ERROR"),"ERROR",IF(OR(NOT(ISNUMBER(AK273)),NOT(ISNUMBER(AN273)),NOT(ISNUMBER(AL273))),"UNKNOWN",IF(OR(AN273&lt;=0,AK273=0),"NOT_APPLICABLE",(AK273-AY273)/AK273))),"ERROR")))</f>
        <v/>
      </c>
      <c r="BD273">
        <f>IF(ISNUMBER(BC273),IF(AND($R$273=TRUE,AM273="none"),"ESTIMATED","OK"),BC273)</f>
        <v/>
      </c>
      <c r="BE273">
        <f>IF($Z$273="absent","NOT_RUN",IF(OR(AP273="ERROR",AR273="ERROR",AT273="ERROR",AV273="ERROR",AX273="ERROR",AZ273="ERROR",BB273="ERROR",BD273="ERROR"),"ERROR",IF(OR(AP273="UNKNOWN",AR273="UNKNOWN",AT273="UNKNOWN",AV273="UNKNOWN",AX273="UNKNOWN",AZ273="UNKNOWN",BB273="UNKNOWN",BD273="UNKNOWN"),"INCOMPLETE","OK")))</f>
        <v/>
      </c>
      <c r="BF273">
        <f>IF($Z$273="absent","",AH273)</f>
        <v/>
      </c>
    </row>
    <row r="274">
      <c r="B274" s="8" t="inlineStr">
        <is>
          <t>Total Net Sales ex VAT</t>
        </is>
      </c>
      <c r="C274" s="52">
        <f>AQ273</f>
        <v/>
      </c>
      <c r="D274" s="53" t="n">
        <v>6363636.363636363</v>
      </c>
      <c r="E274" s="51">
        <f>IF(ISNUMBER(D274),IF(ISNUMBER(AQ273),ABS(AQ273-D274),"N/A"),"N/A")</f>
        <v/>
      </c>
      <c r="F274" s="15">
        <f>IFERROR(IF(ISNUMBER(D274),IF(ISNUMBER(AQ273),IF(ABS(AQ273-D274)&lt;=0.01,"PASS","FAIL"),"FAIL"),IF(NOT(ISNUMBER(AQ273)),IF(AQ273=D274,"PASS","FAIL"),"FAIL")),"FAIL")</f>
        <v/>
      </c>
      <c r="G274" s="16">
        <f>AR273</f>
        <v/>
      </c>
      <c r="H274" s="30" t="inlineStr">
        <is>
          <t>OK</t>
        </is>
      </c>
      <c r="I274" s="15">
        <f>IF(AR273=H274,"PASS","FAIL")</f>
        <v/>
      </c>
    </row>
    <row r="275">
      <c r="B275" s="8" t="inlineStr">
        <is>
          <t>Total Contribution Margin</t>
        </is>
      </c>
      <c r="C275" s="52">
        <f>AS273</f>
        <v/>
      </c>
      <c r="D275" s="53" t="n">
        <v>2888636.363636363</v>
      </c>
      <c r="E275" s="51">
        <f>IF(ISNUMBER(D275),IF(ISNUMBER(AS273),ABS(AS273-D275),"N/A"),"N/A")</f>
        <v/>
      </c>
      <c r="F275" s="15">
        <f>IFERROR(IF(ISNUMBER(D275),IF(ISNUMBER(AS273),IF(ABS(AS273-D275)&lt;=0.01,"PASS","FAIL"),"FAIL"),IF(NOT(ISNUMBER(AS273)),IF(AS273=D275,"PASS","FAIL"),"FAIL")),"FAIL")</f>
        <v/>
      </c>
      <c r="G275" s="16">
        <f>AT273</f>
        <v/>
      </c>
      <c r="H275" s="30" t="inlineStr">
        <is>
          <t>OK</t>
        </is>
      </c>
      <c r="I275" s="15">
        <f>IF(AT273=H275,"PASS","FAIL")</f>
        <v/>
      </c>
    </row>
    <row r="276">
      <c r="B276" s="8" t="inlineStr">
        <is>
          <t>Operating Profit</t>
        </is>
      </c>
      <c r="C276" s="52">
        <f>AU273</f>
        <v/>
      </c>
      <c r="D276" s="30" t="inlineStr">
        <is>
          <t>ERROR</t>
        </is>
      </c>
      <c r="E276" s="51">
        <f>IF(ISNUMBER(D276),IF(ISNUMBER(AU273),ABS(AU273-D276),"N/A"),"N/A")</f>
        <v/>
      </c>
      <c r="F276" s="15">
        <f>IFERROR(IF(ISNUMBER(D276),IF(ISNUMBER(AU273),IF(ABS(AU273-D276)&lt;=0.01,"PASS","FAIL"),"FAIL"),IF(NOT(ISNUMBER(AU273)),IF(AU273=D276,"PASS","FAIL"),"FAIL")),"FAIL")</f>
        <v/>
      </c>
      <c r="G276" s="16">
        <f>AV273</f>
        <v/>
      </c>
      <c r="H276" s="30" t="inlineStr">
        <is>
          <t>ERROR</t>
        </is>
      </c>
      <c r="I276" s="15">
        <f>IF(AV273=H276,"PASS","FAIL")</f>
        <v/>
      </c>
    </row>
    <row r="277">
      <c r="B277" s="8" t="inlineStr">
        <is>
          <t>Operating Profit Rate</t>
        </is>
      </c>
      <c r="C277" s="54">
        <f>AW273</f>
        <v/>
      </c>
      <c r="D277" s="30" t="inlineStr">
        <is>
          <t>ERROR</t>
        </is>
      </c>
      <c r="E277" s="51">
        <f>IF(ISNUMBER(D277),IF(ISNUMBER(AW273),ABS(AW273-D277),"N/A"),"N/A")</f>
        <v/>
      </c>
      <c r="F277" s="15">
        <f>IFERROR(IF(ISNUMBER(D277),IF(ISNUMBER(AW273),IF(ABS(AW273-D277)&lt;=1e-06,"PASS","FAIL"),"FAIL"),IF(NOT(ISNUMBER(AW273)),IF(AW273=D277,"PASS","FAIL"),"FAIL")),"FAIL")</f>
        <v/>
      </c>
      <c r="G277" s="16">
        <f>AX273</f>
        <v/>
      </c>
      <c r="H277" s="30" t="inlineStr">
        <is>
          <t>ERROR</t>
        </is>
      </c>
      <c r="I277" s="15">
        <f>IF(AX273=H277,"PASS","FAIL")</f>
        <v/>
      </c>
    </row>
    <row r="278">
      <c r="B278" s="8" t="inlineStr">
        <is>
          <t>Break-Even Quantity (Q_BEP)</t>
        </is>
      </c>
      <c r="C278" s="25">
        <f>AY273</f>
        <v/>
      </c>
      <c r="D278" s="30" t="inlineStr">
        <is>
          <t>ERROR</t>
        </is>
      </c>
      <c r="E278" s="51">
        <f>IF(ISNUMBER(D278),IF(ISNUMBER(AY273),ABS(AY273-D278),"N/A"),"N/A")</f>
        <v/>
      </c>
      <c r="F278" s="15">
        <f>IFERROR(IF(ISNUMBER(D278),IF(ISNUMBER(AY273),IF(ABS(AY273-D278)&lt;=0.01,"PASS","FAIL"),"FAIL"),IF(NOT(ISNUMBER(AY273)),IF(AY273=D278,"PASS","FAIL"),"FAIL")),"FAIL")</f>
        <v/>
      </c>
      <c r="G278" s="16">
        <f>AZ273</f>
        <v/>
      </c>
      <c r="H278" s="30" t="inlineStr">
        <is>
          <t>ERROR</t>
        </is>
      </c>
      <c r="I278" s="15">
        <f>IF(AZ273=H278,"PASS","FAIL")</f>
        <v/>
      </c>
    </row>
    <row r="279">
      <c r="B279" s="8" t="inlineStr">
        <is>
          <t>Margin of Safety Quantity</t>
        </is>
      </c>
      <c r="C279" s="25">
        <f>BA273</f>
        <v/>
      </c>
      <c r="D279" s="30" t="inlineStr">
        <is>
          <t>ERROR</t>
        </is>
      </c>
      <c r="E279" s="51">
        <f>IF(ISNUMBER(D279),IF(ISNUMBER(BA273),ABS(BA273-D279),"N/A"),"N/A")</f>
        <v/>
      </c>
      <c r="F279" s="15">
        <f>IFERROR(IF(ISNUMBER(D279),IF(ISNUMBER(BA273),IF(ABS(BA273-D279)&lt;=0.01,"PASS","FAIL"),"FAIL"),IF(NOT(ISNUMBER(BA273)),IF(BA273=D279,"PASS","FAIL"),"FAIL")),"FAIL")</f>
        <v/>
      </c>
      <c r="G279" s="16">
        <f>BB273</f>
        <v/>
      </c>
      <c r="H279" s="30" t="inlineStr">
        <is>
          <t>ERROR</t>
        </is>
      </c>
      <c r="I279" s="15">
        <f>IF(BB273=H279,"PASS","FAIL")</f>
        <v/>
      </c>
    </row>
    <row r="280">
      <c r="B280" s="8" t="inlineStr">
        <is>
          <t>Margin of Safety Rate</t>
        </is>
      </c>
      <c r="C280" s="54">
        <f>BC273</f>
        <v/>
      </c>
      <c r="D280" s="30" t="inlineStr">
        <is>
          <t>ERROR</t>
        </is>
      </c>
      <c r="E280" s="51">
        <f>IF(ISNUMBER(D280),IF(ISNUMBER(BC273),ABS(BC273-D280),"N/A"),"N/A")</f>
        <v/>
      </c>
      <c r="F280" s="15">
        <f>IFERROR(IF(ISNUMBER(D280),IF(ISNUMBER(BC273),IF(ABS(BC273-D280)&lt;=1e-06,"PASS","FAIL"),"FAIL"),IF(NOT(ISNUMBER(BC273)),IF(BC273=D280,"PASS","FAIL"),"FAIL")),"FAIL")</f>
        <v/>
      </c>
      <c r="G280" s="16">
        <f>BD273</f>
        <v/>
      </c>
      <c r="H280" s="30" t="inlineStr">
        <is>
          <t>ERROR</t>
        </is>
      </c>
      <c r="I280" s="15">
        <f>IF(BD273=H280,"PASS","FAIL")</f>
        <v/>
      </c>
    </row>
    <row r="281">
      <c r="B281" s="8" t="inlineStr">
        <is>
          <t>Module Status</t>
        </is>
      </c>
      <c r="C281" s="16">
        <f>BE273</f>
        <v/>
      </c>
      <c r="D281" s="30" t="inlineStr">
        <is>
          <t>ERROR</t>
        </is>
      </c>
      <c r="F281" s="15">
        <f>IF(BE273=D281,"PASS","FAIL")</f>
        <v/>
      </c>
    </row>
    <row r="282">
      <c r="B282" s="8" t="inlineStr">
        <is>
          <t>Analysis Period Basis</t>
        </is>
      </c>
      <c r="C282" s="16">
        <f>BF273</f>
        <v/>
      </c>
      <c r="D282" s="30" t="inlineStr"/>
      <c r="F282" s="15">
        <f>IF(BF273=D282,"PASS","FAIL")</f>
        <v/>
      </c>
    </row>
    <row r="283">
      <c r="B283" s="8" t="inlineStr">
        <is>
          <t>Self-Check: |MoS qty × CMu − Operating Profit| ≤ tol</t>
        </is>
      </c>
      <c r="C283" s="36">
        <f>IF(OR(NOT(ISNUMBER(BA273)),NOT(ISNUMBER(AN273)),NOT(ISNUMBER(AU273))),"SKIP",IF(ABS(BA273*AN273-AU273)&lt;=0.01,"PASS","FAIL"))</f>
        <v/>
      </c>
      <c r="D283" s="34" t="n"/>
      <c r="F283" s="15">
        <f>IF(C283="FAIL","FAIL","PASS")</f>
        <v/>
      </c>
    </row>
    <row r="285" ht="20" customHeight="1">
      <c r="B285" s="2" t="inlineStr">
        <is>
          <t>V21. Negative fixed-cost amount -&gt; ERROR</t>
        </is>
      </c>
      <c r="C285" s="7" t="n"/>
      <c r="D285" s="7" t="n"/>
      <c r="E285" s="7" t="n"/>
      <c r="F285" s="7" t="n"/>
      <c r="G285" s="7" t="n"/>
      <c r="H285" s="7" t="n"/>
      <c r="I285" s="7" t="n"/>
    </row>
    <row r="286">
      <c r="B286" s="4" t="inlineStr">
        <is>
          <t>Metric</t>
        </is>
      </c>
      <c r="C286" s="4" t="inlineStr">
        <is>
          <t>Excel Result</t>
        </is>
      </c>
      <c r="D286" s="4" t="inlineStr">
        <is>
          <t>Python Reference</t>
        </is>
      </c>
      <c r="E286" s="4" t="inlineStr">
        <is>
          <t>Difference</t>
        </is>
      </c>
      <c r="F286" s="4" t="inlineStr">
        <is>
          <t>PASS / FAIL</t>
        </is>
      </c>
      <c r="G286" s="4" t="inlineStr">
        <is>
          <t>Excel Status</t>
        </is>
      </c>
      <c r="H286" s="4" t="inlineStr">
        <is>
          <t>Python Status</t>
        </is>
      </c>
      <c r="I286" s="4" t="inlineStr">
        <is>
          <t>Status PASS</t>
        </is>
      </c>
    </row>
    <row r="287">
      <c r="B287" s="8" t="inlineStr">
        <is>
          <t>Planned Quantity (units)</t>
        </is>
      </c>
      <c r="C287" s="25">
        <f>AO287</f>
        <v/>
      </c>
      <c r="D287" s="21" t="n">
        <v>200</v>
      </c>
      <c r="E287" s="51">
        <f>IF(ISNUMBER(D287),IF(ISNUMBER(AO287),ABS(AO287-D287),"N/A"),"N/A")</f>
        <v/>
      </c>
      <c r="F287" s="15">
        <f>IFERROR(IF(ISNUMBER(D287),IF(ISNUMBER(AO287),IF(ABS(AO287-D287)&lt;=0.01,"PASS","FAIL"),"FAIL"),IF(NOT(ISNUMBER(AO287)),IF(AO287=D287,"PASS","FAIL"),"FAIL")),"FAIL")</f>
        <v/>
      </c>
      <c r="G287" s="16">
        <f>AP287</f>
        <v/>
      </c>
      <c r="H287" s="30" t="inlineStr">
        <is>
          <t>OK</t>
        </is>
      </c>
      <c r="I287" s="15">
        <f>IF(AP287=H287,"PASS","FAIL")</f>
        <v/>
      </c>
      <c r="M287" t="n">
        <v>35000</v>
      </c>
      <c r="N287" t="b">
        <v>1</v>
      </c>
      <c r="O287" t="n">
        <v>0.1</v>
      </c>
      <c r="P287" t="n">
        <v>13500</v>
      </c>
      <c r="Q287" t="n">
        <v>3000</v>
      </c>
      <c r="R287" t="b">
        <v>0</v>
      </c>
      <c r="S287" t="n">
        <v>0</v>
      </c>
      <c r="T287" t="n">
        <v>0.025</v>
      </c>
      <c r="U287" t="n">
        <v>-10000</v>
      </c>
      <c r="V287" t="inlineStr">
        <is>
          <t>per_month</t>
        </is>
      </c>
      <c r="W287" t="inlineStr">
        <is>
          <t>component</t>
        </is>
      </c>
      <c r="X287" t="inlineStr">
        <is>
          <t>consistent</t>
        </is>
      </c>
      <c r="Y287" t="n">
        <v>1</v>
      </c>
      <c r="Z287" t="inlineStr">
        <is>
          <t>present</t>
        </is>
      </c>
      <c r="AA287" t="n">
        <v>200</v>
      </c>
      <c r="AB287" t="inlineStr">
        <is>
          <t>per_month</t>
        </is>
      </c>
      <c r="AD287">
        <f>IFERROR(IF(ISBLANK($M$287),"UNKNOWN",IF(ISBLANK($N$287),"UNKNOWN",IF($N$287=FALSE,$M$287,IF(ISBLANK($O$287),"UNKNOWN",$M$287/(1+$O$287))))),"ERROR")</f>
        <v/>
      </c>
      <c r="AE287">
        <f>IFERROR(IF(ISBLANK($M$287),"UNKNOWN",IF(ISBLANK($N$287),"UNKNOWN",IF($N$287=TRUE,$M$287,IF(ISBLANK($O$287),"UNKNOWN",$M$287*(1+$O$287))))),"ERROR")</f>
        <v/>
      </c>
      <c r="AF287">
        <f>IF($Y$287&gt;1,"ERROR",IFERROR(IF(AD287="ERROR","ERROR",IF(OR(NOT(ISNUMBER(AD287)),ISBLANK($P$287),ISBLANK($Q$287),ISBLANK($S$287),ISBLANK($T$287)),"UNKNOWN",IF($T$287&gt;0,IF(AE287="ERROR","ERROR",IF(NOT(ISNUMBER(AE287)),"UNKNOWN",AD287-$P$287-$Q$287-$S$287*AD287-$T$287*AE287)),AD287-$P$287-$Q$287-$S$287*AD287))),"ERROR"))</f>
        <v/>
      </c>
      <c r="AG287">
        <f>IF($Y$287&gt;1,"ERROR",IFERROR(IF($W$287="invalid_direct","ERROR",IF($X$287="inconsistent","ERROR",IF($W$287="none",0,IF(OR($W$287="unresolved",$W$287="blended_only"),"UNKNOWN",IF(ISBLANK($U$287),"UNKNOWN",IF($U$287&lt;0,"ERROR",$U$287)))))),"ERROR"))</f>
        <v/>
      </c>
      <c r="AH287">
        <f>IF($Y$287&gt;1,"",IF(OR($W$287="invalid_direct",$X$287="inconsistent"),"",IF($W$287="none","",IF(OR($W$287="unresolved",$W$287="blended_only"),"",IF(ISBLANK($U$287),"",IF($U$287&lt;0,"",$V$287))))))</f>
        <v/>
      </c>
      <c r="AI287">
        <f>IF($Y$287&gt;1,"ERROR",IFERROR(IF(OR(AF287="ERROR",AG287="ERROR"),"ERROR",IF(OR(NOT(ISNUMBER(AF287)),NOT(ISNUMBER(AG287))),"UNKNOWN",IF(AF287&lt;=0,"NOT_APPLICABLE",AG287/AF287))),"ERROR"))</f>
        <v/>
      </c>
      <c r="AJ287">
        <f>IF($Y$287&gt;1,"MULTI_COMPONENT_BEP_NOT_SUPPORTED",IF($W$287="invalid_direct","INVALID_ALLOCATION_CONFIGURATION",IF($X$287="inconsistent","INCONSISTENT_FIXED_COST_BASIS",IF(AND($W$287="component",NOT(ISBLANK($U$287)),$U$287&lt;0),"INVALID_NEGATIVE_COST",IF(AF287="ERROR","CALCULATION_ERROR",IF($W$287="blended_only","FIXED_COST_BLENDED_ONLY_NOT_ALLOCATED",IF($W$287="unresolved","UNSUPPORTED_SHARED_COST_ALLOCATION",IF(NOT(ISNUMBER(AF287)),"MISSING_DEPENDENCY",IF(AND($W$287="component",ISBLANK($U$287)),"MISSING_DEPENDENCY",IF(AND(AF287=0,AG287=0),"BREAK_EVEN_UNDEFINED_ZERO_MARGIN_ZERO_FIXED_COST",IF(AF287=0,"BREAK_EVEN_UNDEFINED_ZERO_MARGIN",IF(AF287&lt;0,"BREAK_EVEN_UNDEFINED_NEGATIVE_MARGIN","NONE"))))))))))))</f>
        <v/>
      </c>
      <c r="AK287">
        <f>IF(AND(NOT(ISBLANK($AA$287)),$AA$287&lt;0),"ERROR",IF(AND($AB$287&lt;&gt;"",$AB$287&lt;&gt;"per_month"),"ERROR",IF(OR(ISBLANK($AA$287),$AB$287=""),"UNKNOWN",$AA$287)))</f>
        <v/>
      </c>
      <c r="AL287">
        <f>IF(AND(ISNUMBER(AG287),AH287&lt;&gt;"",AH287&lt;&gt;"per_month"),"ERROR",AG287)</f>
        <v/>
      </c>
      <c r="AM287">
        <f>IF(ISBLANK($AC$287),"none",IF(AND(ISNUMBER($AC$287),$AC$287&gt;0),"valid","invalid"))</f>
        <v/>
      </c>
      <c r="AN287">
        <f>IF(AM287="invalid","ERROR",IF(AND(AM287="valid",$R$287=TRUE,ISNUMBER(AF287)),AF287+$Q$287*(1-1/$AC$287),AF287))</f>
        <v/>
      </c>
      <c r="AO287">
        <f>IF($Z$287="absent","NOT_RUN",IF($Y$287&gt;1,"ERROR",AK287))</f>
        <v/>
      </c>
      <c r="AP287">
        <f>IF(ISNUMBER(AO287),"OK",AO287)</f>
        <v/>
      </c>
      <c r="AQ287">
        <f>IF($Z$287="absent","NOT_RUN",IF($Y$287&gt;1,"ERROR",IFERROR(IF(OR(AK287="ERROR",AD287="ERROR"),"ERROR",IF(OR(NOT(ISNUMBER(AK287)),NOT(ISNUMBER(AD287))),"UNKNOWN",AD287*AK287)),"ERROR")))</f>
        <v/>
      </c>
      <c r="AR287">
        <f>IF(ISNUMBER(AQ287),"OK",AQ287)</f>
        <v/>
      </c>
      <c r="AS287">
        <f>IF($Z$287="absent","NOT_RUN",IF($Y$287&gt;1,"ERROR",IFERROR(IF(OR(AK287="ERROR",AN287="ERROR"),"ERROR",IF(OR(NOT(ISNUMBER(AK287)),NOT(ISNUMBER(AN287))),"UNKNOWN",AN287*AK287)),"ERROR")))</f>
        <v/>
      </c>
      <c r="AT287">
        <f>IF(ISNUMBER(AS287),IF(AND($R$287=TRUE,AM287="none"),"ESTIMATED","OK"),AS287)</f>
        <v/>
      </c>
      <c r="AU287">
        <f>IF($Z$287="absent","NOT_RUN",IF($Y$287&gt;1,"ERROR",IFERROR(IF(OR(AK287="ERROR",AN287="ERROR",AL287="ERROR"),"ERROR",IF(OR(NOT(ISNUMBER(AK287)),NOT(ISNUMBER(AN287)),NOT(ISNUMBER(AL287))),"UNKNOWN",AN287*AK287-AL287)),"ERROR")))</f>
        <v/>
      </c>
      <c r="AV287">
        <f>IF(ISNUMBER(AU287),IF(AND($R$287=TRUE,AM287="none"),"ESTIMATED","OK"),AU287)</f>
        <v/>
      </c>
      <c r="AW287">
        <f>IF($Z$287="absent","NOT_RUN",IF($Y$287&gt;1,"ERROR",IFERROR(IF(OR(AU287="ERROR",AQ287="ERROR"),"ERROR",IF(OR(NOT(ISNUMBER(AU287)),NOT(ISNUMBER(AQ287))),"UNKNOWN",IF(AQ287=0,"NOT_APPLICABLE",AU287/AQ287))),"ERROR")))</f>
        <v/>
      </c>
      <c r="AX287">
        <f>IF(ISNUMBER(AW287),IF(AND($R$287=TRUE,AM287="none"),"ESTIMATED","OK"),AW287)</f>
        <v/>
      </c>
      <c r="AY287">
        <f>IF($Z$287="absent","NOT_RUN",IF($Y$287&gt;1,"ERROR",IFERROR(IF(OR(AN287="ERROR",AL287="ERROR"),"ERROR",IF(OR(NOT(ISNUMBER(AN287)),NOT(ISNUMBER(AL287))),"UNKNOWN",IF(AN287&lt;=0,"NOT_APPLICABLE",AL287/AN287))),"ERROR")))</f>
        <v/>
      </c>
      <c r="AZ287">
        <f>IF(ISNUMBER(AY287),IF(AND($R$287=TRUE,AM287="none"),"ESTIMATED","OK"),AY287)</f>
        <v/>
      </c>
      <c r="BA287">
        <f>IF($Z$287="absent","NOT_RUN",IF($Y$287&gt;1,"ERROR",IFERROR(IF(OR(AK287="ERROR",AN287="ERROR",AL287="ERROR"),"ERROR",IF(OR(NOT(ISNUMBER(AK287)),NOT(ISNUMBER(AN287)),NOT(ISNUMBER(AL287))),"UNKNOWN",IF(AN287&lt;=0,"NOT_APPLICABLE",AK287-AY287))),"ERROR")))</f>
        <v/>
      </c>
      <c r="BB287">
        <f>IF(ISNUMBER(BA287),IF(AND($R$287=TRUE,AM287="none"),"ESTIMATED","OK"),BA287)</f>
        <v/>
      </c>
      <c r="BC287">
        <f>IF($Z$287="absent","NOT_RUN",IF($Y$287&gt;1,"ERROR",IFERROR(IF(OR(AK287="ERROR",AN287="ERROR",AL287="ERROR"),"ERROR",IF(OR(NOT(ISNUMBER(AK287)),NOT(ISNUMBER(AN287)),NOT(ISNUMBER(AL287))),"UNKNOWN",IF(OR(AN287&lt;=0,AK287=0),"NOT_APPLICABLE",(AK287-AY287)/AK287))),"ERROR")))</f>
        <v/>
      </c>
      <c r="BD287">
        <f>IF(ISNUMBER(BC287),IF(AND($R$287=TRUE,AM287="none"),"ESTIMATED","OK"),BC287)</f>
        <v/>
      </c>
      <c r="BE287">
        <f>IF($Z$287="absent","NOT_RUN",IF(OR(AP287="ERROR",AR287="ERROR",AT287="ERROR",AV287="ERROR",AX287="ERROR",AZ287="ERROR",BB287="ERROR",BD287="ERROR"),"ERROR",IF(OR(AP287="UNKNOWN",AR287="UNKNOWN",AT287="UNKNOWN",AV287="UNKNOWN",AX287="UNKNOWN",AZ287="UNKNOWN",BB287="UNKNOWN",BD287="UNKNOWN"),"INCOMPLETE","OK")))</f>
        <v/>
      </c>
      <c r="BF287">
        <f>IF($Z$287="absent","",AH287)</f>
        <v/>
      </c>
    </row>
    <row r="288">
      <c r="B288" s="8" t="inlineStr">
        <is>
          <t>Total Net Sales ex VAT</t>
        </is>
      </c>
      <c r="C288" s="52">
        <f>AQ287</f>
        <v/>
      </c>
      <c r="D288" s="53" t="n">
        <v>6363636.363636363</v>
      </c>
      <c r="E288" s="51">
        <f>IF(ISNUMBER(D288),IF(ISNUMBER(AQ287),ABS(AQ287-D288),"N/A"),"N/A")</f>
        <v/>
      </c>
      <c r="F288" s="15">
        <f>IFERROR(IF(ISNUMBER(D288),IF(ISNUMBER(AQ287),IF(ABS(AQ287-D288)&lt;=0.01,"PASS","FAIL"),"FAIL"),IF(NOT(ISNUMBER(AQ287)),IF(AQ287=D288,"PASS","FAIL"),"FAIL")),"FAIL")</f>
        <v/>
      </c>
      <c r="G288" s="16">
        <f>AR287</f>
        <v/>
      </c>
      <c r="H288" s="30" t="inlineStr">
        <is>
          <t>OK</t>
        </is>
      </c>
      <c r="I288" s="15">
        <f>IF(AR287=H288,"PASS","FAIL")</f>
        <v/>
      </c>
    </row>
    <row r="289">
      <c r="B289" s="8" t="inlineStr">
        <is>
          <t>Total Contribution Margin</t>
        </is>
      </c>
      <c r="C289" s="52">
        <f>AS287</f>
        <v/>
      </c>
      <c r="D289" s="53" t="n">
        <v>2888636.363636363</v>
      </c>
      <c r="E289" s="51">
        <f>IF(ISNUMBER(D289),IF(ISNUMBER(AS287),ABS(AS287-D289),"N/A"),"N/A")</f>
        <v/>
      </c>
      <c r="F289" s="15">
        <f>IFERROR(IF(ISNUMBER(D289),IF(ISNUMBER(AS287),IF(ABS(AS287-D289)&lt;=0.01,"PASS","FAIL"),"FAIL"),IF(NOT(ISNUMBER(AS287)),IF(AS287=D289,"PASS","FAIL"),"FAIL")),"FAIL")</f>
        <v/>
      </c>
      <c r="G289" s="16">
        <f>AT287</f>
        <v/>
      </c>
      <c r="H289" s="30" t="inlineStr">
        <is>
          <t>OK</t>
        </is>
      </c>
      <c r="I289" s="15">
        <f>IF(AT287=H289,"PASS","FAIL")</f>
        <v/>
      </c>
    </row>
    <row r="290">
      <c r="B290" s="8" t="inlineStr">
        <is>
          <t>Operating Profit</t>
        </is>
      </c>
      <c r="C290" s="52">
        <f>AU287</f>
        <v/>
      </c>
      <c r="D290" s="30" t="inlineStr">
        <is>
          <t>ERROR</t>
        </is>
      </c>
      <c r="E290" s="51">
        <f>IF(ISNUMBER(D290),IF(ISNUMBER(AU287),ABS(AU287-D290),"N/A"),"N/A")</f>
        <v/>
      </c>
      <c r="F290" s="15">
        <f>IFERROR(IF(ISNUMBER(D290),IF(ISNUMBER(AU287),IF(ABS(AU287-D290)&lt;=0.01,"PASS","FAIL"),"FAIL"),IF(NOT(ISNUMBER(AU287)),IF(AU287=D290,"PASS","FAIL"),"FAIL")),"FAIL")</f>
        <v/>
      </c>
      <c r="G290" s="16">
        <f>AV287</f>
        <v/>
      </c>
      <c r="H290" s="30" t="inlineStr">
        <is>
          <t>ERROR</t>
        </is>
      </c>
      <c r="I290" s="15">
        <f>IF(AV287=H290,"PASS","FAIL")</f>
        <v/>
      </c>
    </row>
    <row r="291">
      <c r="B291" s="8" t="inlineStr">
        <is>
          <t>Operating Profit Rate</t>
        </is>
      </c>
      <c r="C291" s="54">
        <f>AW287</f>
        <v/>
      </c>
      <c r="D291" s="30" t="inlineStr">
        <is>
          <t>ERROR</t>
        </is>
      </c>
      <c r="E291" s="51">
        <f>IF(ISNUMBER(D291),IF(ISNUMBER(AW287),ABS(AW287-D291),"N/A"),"N/A")</f>
        <v/>
      </c>
      <c r="F291" s="15">
        <f>IFERROR(IF(ISNUMBER(D291),IF(ISNUMBER(AW287),IF(ABS(AW287-D291)&lt;=1e-06,"PASS","FAIL"),"FAIL"),IF(NOT(ISNUMBER(AW287)),IF(AW287=D291,"PASS","FAIL"),"FAIL")),"FAIL")</f>
        <v/>
      </c>
      <c r="G291" s="16">
        <f>AX287</f>
        <v/>
      </c>
      <c r="H291" s="30" t="inlineStr">
        <is>
          <t>ERROR</t>
        </is>
      </c>
      <c r="I291" s="15">
        <f>IF(AX287=H291,"PASS","FAIL")</f>
        <v/>
      </c>
    </row>
    <row r="292">
      <c r="B292" s="8" t="inlineStr">
        <is>
          <t>Break-Even Quantity (Q_BEP)</t>
        </is>
      </c>
      <c r="C292" s="25">
        <f>AY287</f>
        <v/>
      </c>
      <c r="D292" s="30" t="inlineStr">
        <is>
          <t>ERROR</t>
        </is>
      </c>
      <c r="E292" s="51">
        <f>IF(ISNUMBER(D292),IF(ISNUMBER(AY287),ABS(AY287-D292),"N/A"),"N/A")</f>
        <v/>
      </c>
      <c r="F292" s="15">
        <f>IFERROR(IF(ISNUMBER(D292),IF(ISNUMBER(AY287),IF(ABS(AY287-D292)&lt;=0.01,"PASS","FAIL"),"FAIL"),IF(NOT(ISNUMBER(AY287)),IF(AY287=D292,"PASS","FAIL"),"FAIL")),"FAIL")</f>
        <v/>
      </c>
      <c r="G292" s="16">
        <f>AZ287</f>
        <v/>
      </c>
      <c r="H292" s="30" t="inlineStr">
        <is>
          <t>ERROR</t>
        </is>
      </c>
      <c r="I292" s="15">
        <f>IF(AZ287=H292,"PASS","FAIL")</f>
        <v/>
      </c>
    </row>
    <row r="293">
      <c r="B293" s="8" t="inlineStr">
        <is>
          <t>Margin of Safety Quantity</t>
        </is>
      </c>
      <c r="C293" s="25">
        <f>BA287</f>
        <v/>
      </c>
      <c r="D293" s="30" t="inlineStr">
        <is>
          <t>ERROR</t>
        </is>
      </c>
      <c r="E293" s="51">
        <f>IF(ISNUMBER(D293),IF(ISNUMBER(BA287),ABS(BA287-D293),"N/A"),"N/A")</f>
        <v/>
      </c>
      <c r="F293" s="15">
        <f>IFERROR(IF(ISNUMBER(D293),IF(ISNUMBER(BA287),IF(ABS(BA287-D293)&lt;=0.01,"PASS","FAIL"),"FAIL"),IF(NOT(ISNUMBER(BA287)),IF(BA287=D293,"PASS","FAIL"),"FAIL")),"FAIL")</f>
        <v/>
      </c>
      <c r="G293" s="16">
        <f>BB287</f>
        <v/>
      </c>
      <c r="H293" s="30" t="inlineStr">
        <is>
          <t>ERROR</t>
        </is>
      </c>
      <c r="I293" s="15">
        <f>IF(BB287=H293,"PASS","FAIL")</f>
        <v/>
      </c>
    </row>
    <row r="294">
      <c r="B294" s="8" t="inlineStr">
        <is>
          <t>Margin of Safety Rate</t>
        </is>
      </c>
      <c r="C294" s="54">
        <f>BC287</f>
        <v/>
      </c>
      <c r="D294" s="30" t="inlineStr">
        <is>
          <t>ERROR</t>
        </is>
      </c>
      <c r="E294" s="51">
        <f>IF(ISNUMBER(D294),IF(ISNUMBER(BC287),ABS(BC287-D294),"N/A"),"N/A")</f>
        <v/>
      </c>
      <c r="F294" s="15">
        <f>IFERROR(IF(ISNUMBER(D294),IF(ISNUMBER(BC287),IF(ABS(BC287-D294)&lt;=1e-06,"PASS","FAIL"),"FAIL"),IF(NOT(ISNUMBER(BC287)),IF(BC287=D294,"PASS","FAIL"),"FAIL")),"FAIL")</f>
        <v/>
      </c>
      <c r="G294" s="16">
        <f>BD287</f>
        <v/>
      </c>
      <c r="H294" s="30" t="inlineStr">
        <is>
          <t>ERROR</t>
        </is>
      </c>
      <c r="I294" s="15">
        <f>IF(BD287=H294,"PASS","FAIL")</f>
        <v/>
      </c>
    </row>
    <row r="295">
      <c r="B295" s="8" t="inlineStr">
        <is>
          <t>Module Status</t>
        </is>
      </c>
      <c r="C295" s="16">
        <f>BE287</f>
        <v/>
      </c>
      <c r="D295" s="30" t="inlineStr">
        <is>
          <t>ERROR</t>
        </is>
      </c>
      <c r="F295" s="15">
        <f>IF(BE287=D295,"PASS","FAIL")</f>
        <v/>
      </c>
    </row>
    <row r="296">
      <c r="B296" s="8" t="inlineStr">
        <is>
          <t>Analysis Period Basis</t>
        </is>
      </c>
      <c r="C296" s="16">
        <f>BF287</f>
        <v/>
      </c>
      <c r="D296" s="30" t="inlineStr"/>
      <c r="F296" s="15">
        <f>IF(BF287=D296,"PASS","FAIL")</f>
        <v/>
      </c>
    </row>
    <row r="297">
      <c r="B297" s="8" t="inlineStr">
        <is>
          <t>Self-Check: |MoS qty × CMu − Operating Profit| ≤ tol</t>
        </is>
      </c>
      <c r="C297" s="36">
        <f>IF(OR(NOT(ISNUMBER(BA287)),NOT(ISNUMBER(AN287)),NOT(ISNUMBER(AU287))),"SKIP",IF(ABS(BA287*AN287-AU287)&lt;=0.01,"PASS","FAIL"))</f>
        <v/>
      </c>
      <c r="D297" s="34" t="n"/>
      <c r="F297" s="15">
        <f>IF(C297="FAIL","FAIL","PASS")</f>
        <v/>
      </c>
    </row>
    <row r="299" ht="20" customHeight="1">
      <c r="B299" s="2" t="inlineStr">
        <is>
          <t>V22. Price blank (N UNKNOWN)</t>
        </is>
      </c>
      <c r="C299" s="7" t="n"/>
      <c r="D299" s="7" t="n"/>
      <c r="E299" s="7" t="n"/>
      <c r="F299" s="7" t="n"/>
      <c r="G299" s="7" t="n"/>
      <c r="H299" s="7" t="n"/>
      <c r="I299" s="7" t="n"/>
    </row>
    <row r="300">
      <c r="B300" s="4" t="inlineStr">
        <is>
          <t>Metric</t>
        </is>
      </c>
      <c r="C300" s="4" t="inlineStr">
        <is>
          <t>Excel Result</t>
        </is>
      </c>
      <c r="D300" s="4" t="inlineStr">
        <is>
          <t>Python Reference</t>
        </is>
      </c>
      <c r="E300" s="4" t="inlineStr">
        <is>
          <t>Difference</t>
        </is>
      </c>
      <c r="F300" s="4" t="inlineStr">
        <is>
          <t>PASS / FAIL</t>
        </is>
      </c>
      <c r="G300" s="4" t="inlineStr">
        <is>
          <t>Excel Status</t>
        </is>
      </c>
      <c r="H300" s="4" t="inlineStr">
        <is>
          <t>Python Status</t>
        </is>
      </c>
      <c r="I300" s="4" t="inlineStr">
        <is>
          <t>Status PASS</t>
        </is>
      </c>
    </row>
    <row r="301">
      <c r="B301" s="8" t="inlineStr">
        <is>
          <t>Planned Quantity (units)</t>
        </is>
      </c>
      <c r="C301" s="25">
        <f>AO301</f>
        <v/>
      </c>
      <c r="D301" s="21" t="n">
        <v>200</v>
      </c>
      <c r="E301" s="51">
        <f>IF(ISNUMBER(D301),IF(ISNUMBER(AO301),ABS(AO301-D301),"N/A"),"N/A")</f>
        <v/>
      </c>
      <c r="F301" s="15">
        <f>IFERROR(IF(ISNUMBER(D301),IF(ISNUMBER(AO301),IF(ABS(AO301-D301)&lt;=0.01,"PASS","FAIL"),"FAIL"),IF(NOT(ISNUMBER(AO301)),IF(AO301=D301,"PASS","FAIL"),"FAIL")),"FAIL")</f>
        <v/>
      </c>
      <c r="G301" s="16">
        <f>AP301</f>
        <v/>
      </c>
      <c r="H301" s="30" t="inlineStr">
        <is>
          <t>OK</t>
        </is>
      </c>
      <c r="I301" s="15">
        <f>IF(AP301=H301,"PASS","FAIL")</f>
        <v/>
      </c>
      <c r="N301" t="b">
        <v>1</v>
      </c>
      <c r="O301" t="n">
        <v>0.1</v>
      </c>
      <c r="P301" t="n">
        <v>13500</v>
      </c>
      <c r="Q301" t="n">
        <v>3000</v>
      </c>
      <c r="R301" t="b">
        <v>0</v>
      </c>
      <c r="S301" t="n">
        <v>0</v>
      </c>
      <c r="T301" t="n">
        <v>0.025</v>
      </c>
      <c r="U301" t="n">
        <v>2000000</v>
      </c>
      <c r="V301" t="inlineStr">
        <is>
          <t>per_month</t>
        </is>
      </c>
      <c r="W301" t="inlineStr">
        <is>
          <t>component</t>
        </is>
      </c>
      <c r="X301" t="inlineStr">
        <is>
          <t>consistent</t>
        </is>
      </c>
      <c r="Y301" t="n">
        <v>1</v>
      </c>
      <c r="Z301" t="inlineStr">
        <is>
          <t>present</t>
        </is>
      </c>
      <c r="AA301" t="n">
        <v>200</v>
      </c>
      <c r="AB301" t="inlineStr">
        <is>
          <t>per_month</t>
        </is>
      </c>
      <c r="AD301">
        <f>IFERROR(IF(ISBLANK($M$301),"UNKNOWN",IF(ISBLANK($N$301),"UNKNOWN",IF($N$301=FALSE,$M$301,IF(ISBLANK($O$301),"UNKNOWN",$M$301/(1+$O$301))))),"ERROR")</f>
        <v/>
      </c>
      <c r="AE301">
        <f>IFERROR(IF(ISBLANK($M$301),"UNKNOWN",IF(ISBLANK($N$301),"UNKNOWN",IF($N$301=TRUE,$M$301,IF(ISBLANK($O$301),"UNKNOWN",$M$301*(1+$O$301))))),"ERROR")</f>
        <v/>
      </c>
      <c r="AF301">
        <f>IF($Y$301&gt;1,"ERROR",IFERROR(IF(AD301="ERROR","ERROR",IF(OR(NOT(ISNUMBER(AD301)),ISBLANK($P$301),ISBLANK($Q$301),ISBLANK($S$301),ISBLANK($T$301)),"UNKNOWN",IF($T$301&gt;0,IF(AE301="ERROR","ERROR",IF(NOT(ISNUMBER(AE301)),"UNKNOWN",AD301-$P$301-$Q$301-$S$301*AD301-$T$301*AE301)),AD301-$P$301-$Q$301-$S$301*AD301))),"ERROR"))</f>
        <v/>
      </c>
      <c r="AG301">
        <f>IF($Y$301&gt;1,"ERROR",IFERROR(IF($W$301="invalid_direct","ERROR",IF($X$301="inconsistent","ERROR",IF($W$301="none",0,IF(OR($W$301="unresolved",$W$301="blended_only"),"UNKNOWN",IF(ISBLANK($U$301),"UNKNOWN",IF($U$301&lt;0,"ERROR",$U$301)))))),"ERROR"))</f>
        <v/>
      </c>
      <c r="AH301">
        <f>IF($Y$301&gt;1,"",IF(OR($W$301="invalid_direct",$X$301="inconsistent"),"",IF($W$301="none","",IF(OR($W$301="unresolved",$W$301="blended_only"),"",IF(ISBLANK($U$301),"",IF($U$301&lt;0,"",$V$301))))))</f>
        <v/>
      </c>
      <c r="AI301">
        <f>IF($Y$301&gt;1,"ERROR",IFERROR(IF(OR(AF301="ERROR",AG301="ERROR"),"ERROR",IF(OR(NOT(ISNUMBER(AF301)),NOT(ISNUMBER(AG301))),"UNKNOWN",IF(AF301&lt;=0,"NOT_APPLICABLE",AG301/AF301))),"ERROR"))</f>
        <v/>
      </c>
      <c r="AJ301">
        <f>IF($Y$301&gt;1,"MULTI_COMPONENT_BEP_NOT_SUPPORTED",IF($W$301="invalid_direct","INVALID_ALLOCATION_CONFIGURATION",IF($X$301="inconsistent","INCONSISTENT_FIXED_COST_BASIS",IF(AND($W$301="component",NOT(ISBLANK($U$301)),$U$301&lt;0),"INVALID_NEGATIVE_COST",IF(AF301="ERROR","CALCULATION_ERROR",IF($W$301="blended_only","FIXED_COST_BLENDED_ONLY_NOT_ALLOCATED",IF($W$301="unresolved","UNSUPPORTED_SHARED_COST_ALLOCATION",IF(NOT(ISNUMBER(AF301)),"MISSING_DEPENDENCY",IF(AND($W$301="component",ISBLANK($U$301)),"MISSING_DEPENDENCY",IF(AND(AF301=0,AG301=0),"BREAK_EVEN_UNDEFINED_ZERO_MARGIN_ZERO_FIXED_COST",IF(AF301=0,"BREAK_EVEN_UNDEFINED_ZERO_MARGIN",IF(AF301&lt;0,"BREAK_EVEN_UNDEFINED_NEGATIVE_MARGIN","NONE"))))))))))))</f>
        <v/>
      </c>
      <c r="AK301">
        <f>IF(AND(NOT(ISBLANK($AA$301)),$AA$301&lt;0),"ERROR",IF(AND($AB$301&lt;&gt;"",$AB$301&lt;&gt;"per_month"),"ERROR",IF(OR(ISBLANK($AA$301),$AB$301=""),"UNKNOWN",$AA$301)))</f>
        <v/>
      </c>
      <c r="AL301">
        <f>IF(AND(ISNUMBER(AG301),AH301&lt;&gt;"",AH301&lt;&gt;"per_month"),"ERROR",AG301)</f>
        <v/>
      </c>
      <c r="AM301">
        <f>IF(ISBLANK($AC$301),"none",IF(AND(ISNUMBER($AC$301),$AC$301&gt;0),"valid","invalid"))</f>
        <v/>
      </c>
      <c r="AN301">
        <f>IF(AM301="invalid","ERROR",IF(AND(AM301="valid",$R$301=TRUE,ISNUMBER(AF301)),AF301+$Q$301*(1-1/$AC$301),AF301))</f>
        <v/>
      </c>
      <c r="AO301">
        <f>IF($Z$301="absent","NOT_RUN",IF($Y$301&gt;1,"ERROR",AK301))</f>
        <v/>
      </c>
      <c r="AP301">
        <f>IF(ISNUMBER(AO301),"OK",AO301)</f>
        <v/>
      </c>
      <c r="AQ301">
        <f>IF($Z$301="absent","NOT_RUN",IF($Y$301&gt;1,"ERROR",IFERROR(IF(OR(AK301="ERROR",AD301="ERROR"),"ERROR",IF(OR(NOT(ISNUMBER(AK301)),NOT(ISNUMBER(AD301))),"UNKNOWN",AD301*AK301)),"ERROR")))</f>
        <v/>
      </c>
      <c r="AR301">
        <f>IF(ISNUMBER(AQ301),"OK",AQ301)</f>
        <v/>
      </c>
      <c r="AS301">
        <f>IF($Z$301="absent","NOT_RUN",IF($Y$301&gt;1,"ERROR",IFERROR(IF(OR(AK301="ERROR",AN301="ERROR"),"ERROR",IF(OR(NOT(ISNUMBER(AK301)),NOT(ISNUMBER(AN301))),"UNKNOWN",AN301*AK301)),"ERROR")))</f>
        <v/>
      </c>
      <c r="AT301">
        <f>IF(ISNUMBER(AS301),IF(AND($R$301=TRUE,AM301="none"),"ESTIMATED","OK"),AS301)</f>
        <v/>
      </c>
      <c r="AU301">
        <f>IF($Z$301="absent","NOT_RUN",IF($Y$301&gt;1,"ERROR",IFERROR(IF(OR(AK301="ERROR",AN301="ERROR",AL301="ERROR"),"ERROR",IF(OR(NOT(ISNUMBER(AK301)),NOT(ISNUMBER(AN301)),NOT(ISNUMBER(AL301))),"UNKNOWN",AN301*AK301-AL301)),"ERROR")))</f>
        <v/>
      </c>
      <c r="AV301">
        <f>IF(ISNUMBER(AU301),IF(AND($R$301=TRUE,AM301="none"),"ESTIMATED","OK"),AU301)</f>
        <v/>
      </c>
      <c r="AW301">
        <f>IF($Z$301="absent","NOT_RUN",IF($Y$301&gt;1,"ERROR",IFERROR(IF(OR(AU301="ERROR",AQ301="ERROR"),"ERROR",IF(OR(NOT(ISNUMBER(AU301)),NOT(ISNUMBER(AQ301))),"UNKNOWN",IF(AQ301=0,"NOT_APPLICABLE",AU301/AQ301))),"ERROR")))</f>
        <v/>
      </c>
      <c r="AX301">
        <f>IF(ISNUMBER(AW301),IF(AND($R$301=TRUE,AM301="none"),"ESTIMATED","OK"),AW301)</f>
        <v/>
      </c>
      <c r="AY301">
        <f>IF($Z$301="absent","NOT_RUN",IF($Y$301&gt;1,"ERROR",IFERROR(IF(OR(AN301="ERROR",AL301="ERROR"),"ERROR",IF(OR(NOT(ISNUMBER(AN301)),NOT(ISNUMBER(AL301))),"UNKNOWN",IF(AN301&lt;=0,"NOT_APPLICABLE",AL301/AN301))),"ERROR")))</f>
        <v/>
      </c>
      <c r="AZ301">
        <f>IF(ISNUMBER(AY301),IF(AND($R$301=TRUE,AM301="none"),"ESTIMATED","OK"),AY301)</f>
        <v/>
      </c>
      <c r="BA301">
        <f>IF($Z$301="absent","NOT_RUN",IF($Y$301&gt;1,"ERROR",IFERROR(IF(OR(AK301="ERROR",AN301="ERROR",AL301="ERROR"),"ERROR",IF(OR(NOT(ISNUMBER(AK301)),NOT(ISNUMBER(AN301)),NOT(ISNUMBER(AL301))),"UNKNOWN",IF(AN301&lt;=0,"NOT_APPLICABLE",AK301-AY301))),"ERROR")))</f>
        <v/>
      </c>
      <c r="BB301">
        <f>IF(ISNUMBER(BA301),IF(AND($R$301=TRUE,AM301="none"),"ESTIMATED","OK"),BA301)</f>
        <v/>
      </c>
      <c r="BC301">
        <f>IF($Z$301="absent","NOT_RUN",IF($Y$301&gt;1,"ERROR",IFERROR(IF(OR(AK301="ERROR",AN301="ERROR",AL301="ERROR"),"ERROR",IF(OR(NOT(ISNUMBER(AK301)),NOT(ISNUMBER(AN301)),NOT(ISNUMBER(AL301))),"UNKNOWN",IF(OR(AN301&lt;=0,AK301=0),"NOT_APPLICABLE",(AK301-AY301)/AK301))),"ERROR")))</f>
        <v/>
      </c>
      <c r="BD301">
        <f>IF(ISNUMBER(BC301),IF(AND($R$301=TRUE,AM301="none"),"ESTIMATED","OK"),BC301)</f>
        <v/>
      </c>
      <c r="BE301">
        <f>IF($Z$301="absent","NOT_RUN",IF(OR(AP301="ERROR",AR301="ERROR",AT301="ERROR",AV301="ERROR",AX301="ERROR",AZ301="ERROR",BB301="ERROR",BD301="ERROR"),"ERROR",IF(OR(AP301="UNKNOWN",AR301="UNKNOWN",AT301="UNKNOWN",AV301="UNKNOWN",AX301="UNKNOWN",AZ301="UNKNOWN",BB301="UNKNOWN",BD301="UNKNOWN"),"INCOMPLETE","OK")))</f>
        <v/>
      </c>
      <c r="BF301">
        <f>IF($Z$301="absent","",AH301)</f>
        <v/>
      </c>
    </row>
    <row r="302">
      <c r="B302" s="8" t="inlineStr">
        <is>
          <t>Total Net Sales ex VAT</t>
        </is>
      </c>
      <c r="C302" s="52">
        <f>AQ301</f>
        <v/>
      </c>
      <c r="D302" s="30" t="inlineStr">
        <is>
          <t>UNKNOWN</t>
        </is>
      </c>
      <c r="E302" s="51">
        <f>IF(ISNUMBER(D302),IF(ISNUMBER(AQ301),ABS(AQ301-D302),"N/A"),"N/A")</f>
        <v/>
      </c>
      <c r="F302" s="15">
        <f>IFERROR(IF(ISNUMBER(D302),IF(ISNUMBER(AQ301),IF(ABS(AQ301-D302)&lt;=0.01,"PASS","FAIL"),"FAIL"),IF(NOT(ISNUMBER(AQ301)),IF(AQ301=D302,"PASS","FAIL"),"FAIL")),"FAIL")</f>
        <v/>
      </c>
      <c r="G302" s="16">
        <f>AR301</f>
        <v/>
      </c>
      <c r="H302" s="30" t="inlineStr">
        <is>
          <t>UNKNOWN</t>
        </is>
      </c>
      <c r="I302" s="15">
        <f>IF(AR301=H302,"PASS","FAIL")</f>
        <v/>
      </c>
    </row>
    <row r="303">
      <c r="B303" s="8" t="inlineStr">
        <is>
          <t>Total Contribution Margin</t>
        </is>
      </c>
      <c r="C303" s="52">
        <f>AS301</f>
        <v/>
      </c>
      <c r="D303" s="30" t="inlineStr">
        <is>
          <t>UNKNOWN</t>
        </is>
      </c>
      <c r="E303" s="51">
        <f>IF(ISNUMBER(D303),IF(ISNUMBER(AS301),ABS(AS301-D303),"N/A"),"N/A")</f>
        <v/>
      </c>
      <c r="F303" s="15">
        <f>IFERROR(IF(ISNUMBER(D303),IF(ISNUMBER(AS301),IF(ABS(AS301-D303)&lt;=0.01,"PASS","FAIL"),"FAIL"),IF(NOT(ISNUMBER(AS301)),IF(AS301=D303,"PASS","FAIL"),"FAIL")),"FAIL")</f>
        <v/>
      </c>
      <c r="G303" s="16">
        <f>AT301</f>
        <v/>
      </c>
      <c r="H303" s="30" t="inlineStr">
        <is>
          <t>UNKNOWN</t>
        </is>
      </c>
      <c r="I303" s="15">
        <f>IF(AT301=H303,"PASS","FAIL")</f>
        <v/>
      </c>
    </row>
    <row r="304">
      <c r="B304" s="8" t="inlineStr">
        <is>
          <t>Operating Profit</t>
        </is>
      </c>
      <c r="C304" s="52">
        <f>AU301</f>
        <v/>
      </c>
      <c r="D304" s="30" t="inlineStr">
        <is>
          <t>UNKNOWN</t>
        </is>
      </c>
      <c r="E304" s="51">
        <f>IF(ISNUMBER(D304),IF(ISNUMBER(AU301),ABS(AU301-D304),"N/A"),"N/A")</f>
        <v/>
      </c>
      <c r="F304" s="15">
        <f>IFERROR(IF(ISNUMBER(D304),IF(ISNUMBER(AU301),IF(ABS(AU301-D304)&lt;=0.01,"PASS","FAIL"),"FAIL"),IF(NOT(ISNUMBER(AU301)),IF(AU301=D304,"PASS","FAIL"),"FAIL")),"FAIL")</f>
        <v/>
      </c>
      <c r="G304" s="16">
        <f>AV301</f>
        <v/>
      </c>
      <c r="H304" s="30" t="inlineStr">
        <is>
          <t>UNKNOWN</t>
        </is>
      </c>
      <c r="I304" s="15">
        <f>IF(AV301=H304,"PASS","FAIL")</f>
        <v/>
      </c>
    </row>
    <row r="305">
      <c r="B305" s="8" t="inlineStr">
        <is>
          <t>Operating Profit Rate</t>
        </is>
      </c>
      <c r="C305" s="54">
        <f>AW301</f>
        <v/>
      </c>
      <c r="D305" s="30" t="inlineStr">
        <is>
          <t>UNKNOWN</t>
        </is>
      </c>
      <c r="E305" s="51">
        <f>IF(ISNUMBER(D305),IF(ISNUMBER(AW301),ABS(AW301-D305),"N/A"),"N/A")</f>
        <v/>
      </c>
      <c r="F305" s="15">
        <f>IFERROR(IF(ISNUMBER(D305),IF(ISNUMBER(AW301),IF(ABS(AW301-D305)&lt;=1e-06,"PASS","FAIL"),"FAIL"),IF(NOT(ISNUMBER(AW301)),IF(AW301=D305,"PASS","FAIL"),"FAIL")),"FAIL")</f>
        <v/>
      </c>
      <c r="G305" s="16">
        <f>AX301</f>
        <v/>
      </c>
      <c r="H305" s="30" t="inlineStr">
        <is>
          <t>UNKNOWN</t>
        </is>
      </c>
      <c r="I305" s="15">
        <f>IF(AX301=H305,"PASS","FAIL")</f>
        <v/>
      </c>
    </row>
    <row r="306">
      <c r="B306" s="8" t="inlineStr">
        <is>
          <t>Break-Even Quantity (Q_BEP)</t>
        </is>
      </c>
      <c r="C306" s="25">
        <f>AY301</f>
        <v/>
      </c>
      <c r="D306" s="30" t="inlineStr">
        <is>
          <t>UNKNOWN</t>
        </is>
      </c>
      <c r="E306" s="51">
        <f>IF(ISNUMBER(D306),IF(ISNUMBER(AY301),ABS(AY301-D306),"N/A"),"N/A")</f>
        <v/>
      </c>
      <c r="F306" s="15">
        <f>IFERROR(IF(ISNUMBER(D306),IF(ISNUMBER(AY301),IF(ABS(AY301-D306)&lt;=0.01,"PASS","FAIL"),"FAIL"),IF(NOT(ISNUMBER(AY301)),IF(AY301=D306,"PASS","FAIL"),"FAIL")),"FAIL")</f>
        <v/>
      </c>
      <c r="G306" s="16">
        <f>AZ301</f>
        <v/>
      </c>
      <c r="H306" s="30" t="inlineStr">
        <is>
          <t>UNKNOWN</t>
        </is>
      </c>
      <c r="I306" s="15">
        <f>IF(AZ301=H306,"PASS","FAIL")</f>
        <v/>
      </c>
    </row>
    <row r="307">
      <c r="B307" s="8" t="inlineStr">
        <is>
          <t>Margin of Safety Quantity</t>
        </is>
      </c>
      <c r="C307" s="25">
        <f>BA301</f>
        <v/>
      </c>
      <c r="D307" s="30" t="inlineStr">
        <is>
          <t>UNKNOWN</t>
        </is>
      </c>
      <c r="E307" s="51">
        <f>IF(ISNUMBER(D307),IF(ISNUMBER(BA301),ABS(BA301-D307),"N/A"),"N/A")</f>
        <v/>
      </c>
      <c r="F307" s="15">
        <f>IFERROR(IF(ISNUMBER(D307),IF(ISNUMBER(BA301),IF(ABS(BA301-D307)&lt;=0.01,"PASS","FAIL"),"FAIL"),IF(NOT(ISNUMBER(BA301)),IF(BA301=D307,"PASS","FAIL"),"FAIL")),"FAIL")</f>
        <v/>
      </c>
      <c r="G307" s="16">
        <f>BB301</f>
        <v/>
      </c>
      <c r="H307" s="30" t="inlineStr">
        <is>
          <t>UNKNOWN</t>
        </is>
      </c>
      <c r="I307" s="15">
        <f>IF(BB301=H307,"PASS","FAIL")</f>
        <v/>
      </c>
    </row>
    <row r="308">
      <c r="B308" s="8" t="inlineStr">
        <is>
          <t>Margin of Safety Rate</t>
        </is>
      </c>
      <c r="C308" s="54">
        <f>BC301</f>
        <v/>
      </c>
      <c r="D308" s="30" t="inlineStr">
        <is>
          <t>UNKNOWN</t>
        </is>
      </c>
      <c r="E308" s="51">
        <f>IF(ISNUMBER(D308),IF(ISNUMBER(BC301),ABS(BC301-D308),"N/A"),"N/A")</f>
        <v/>
      </c>
      <c r="F308" s="15">
        <f>IFERROR(IF(ISNUMBER(D308),IF(ISNUMBER(BC301),IF(ABS(BC301-D308)&lt;=1e-06,"PASS","FAIL"),"FAIL"),IF(NOT(ISNUMBER(BC301)),IF(BC301=D308,"PASS","FAIL"),"FAIL")),"FAIL")</f>
        <v/>
      </c>
      <c r="G308" s="16">
        <f>BD301</f>
        <v/>
      </c>
      <c r="H308" s="30" t="inlineStr">
        <is>
          <t>UNKNOWN</t>
        </is>
      </c>
      <c r="I308" s="15">
        <f>IF(BD301=H308,"PASS","FAIL")</f>
        <v/>
      </c>
    </row>
    <row r="309">
      <c r="B309" s="8" t="inlineStr">
        <is>
          <t>Module Status</t>
        </is>
      </c>
      <c r="C309" s="16">
        <f>BE301</f>
        <v/>
      </c>
      <c r="D309" s="30" t="inlineStr">
        <is>
          <t>INCOMPLETE</t>
        </is>
      </c>
      <c r="F309" s="15">
        <f>IF(BE301=D309,"PASS","FAIL")</f>
        <v/>
      </c>
    </row>
    <row r="310">
      <c r="B310" s="8" t="inlineStr">
        <is>
          <t>Analysis Period Basis</t>
        </is>
      </c>
      <c r="C310" s="16">
        <f>BF301</f>
        <v/>
      </c>
      <c r="D310" s="30" t="inlineStr">
        <is>
          <t>per_month</t>
        </is>
      </c>
      <c r="F310" s="15">
        <f>IF(BF301=D310,"PASS","FAIL")</f>
        <v/>
      </c>
    </row>
    <row r="311">
      <c r="B311" s="8" t="inlineStr">
        <is>
          <t>Self-Check: |MoS qty × CMu − Operating Profit| ≤ tol</t>
        </is>
      </c>
      <c r="C311" s="36">
        <f>IF(OR(NOT(ISNUMBER(BA301)),NOT(ISNUMBER(AN301)),NOT(ISNUMBER(AU301))),"SKIP",IF(ABS(BA301*AN301-AU301)&lt;=0.01,"PASS","FAIL"))</f>
        <v/>
      </c>
      <c r="D311" s="34" t="n"/>
      <c r="F311" s="15">
        <f>IF(C311="FAIL","FAIL","PASS")</f>
        <v/>
      </c>
    </row>
    <row r="313" ht="20" customHeight="1">
      <c r="B313" s="2" t="inlineStr">
        <is>
          <t>V23. VAT-inclusive price, VAT rate blank (N UNKNOWN)</t>
        </is>
      </c>
      <c r="C313" s="7" t="n"/>
      <c r="D313" s="7" t="n"/>
      <c r="E313" s="7" t="n"/>
      <c r="F313" s="7" t="n"/>
      <c r="G313" s="7" t="n"/>
      <c r="H313" s="7" t="n"/>
      <c r="I313" s="7" t="n"/>
    </row>
    <row r="314">
      <c r="B314" s="4" t="inlineStr">
        <is>
          <t>Metric</t>
        </is>
      </c>
      <c r="C314" s="4" t="inlineStr">
        <is>
          <t>Excel Result</t>
        </is>
      </c>
      <c r="D314" s="4" t="inlineStr">
        <is>
          <t>Python Reference</t>
        </is>
      </c>
      <c r="E314" s="4" t="inlineStr">
        <is>
          <t>Difference</t>
        </is>
      </c>
      <c r="F314" s="4" t="inlineStr">
        <is>
          <t>PASS / FAIL</t>
        </is>
      </c>
      <c r="G314" s="4" t="inlineStr">
        <is>
          <t>Excel Status</t>
        </is>
      </c>
      <c r="H314" s="4" t="inlineStr">
        <is>
          <t>Python Status</t>
        </is>
      </c>
      <c r="I314" s="4" t="inlineStr">
        <is>
          <t>Status PASS</t>
        </is>
      </c>
    </row>
    <row r="315">
      <c r="B315" s="8" t="inlineStr">
        <is>
          <t>Planned Quantity (units)</t>
        </is>
      </c>
      <c r="C315" s="25">
        <f>AO315</f>
        <v/>
      </c>
      <c r="D315" s="21" t="n">
        <v>200</v>
      </c>
      <c r="E315" s="51">
        <f>IF(ISNUMBER(D315),IF(ISNUMBER(AO315),ABS(AO315-D315),"N/A"),"N/A")</f>
        <v/>
      </c>
      <c r="F315" s="15">
        <f>IFERROR(IF(ISNUMBER(D315),IF(ISNUMBER(AO315),IF(ABS(AO315-D315)&lt;=0.01,"PASS","FAIL"),"FAIL"),IF(NOT(ISNUMBER(AO315)),IF(AO315=D315,"PASS","FAIL"),"FAIL")),"FAIL")</f>
        <v/>
      </c>
      <c r="G315" s="16">
        <f>AP315</f>
        <v/>
      </c>
      <c r="H315" s="30" t="inlineStr">
        <is>
          <t>OK</t>
        </is>
      </c>
      <c r="I315" s="15">
        <f>IF(AP315=H315,"PASS","FAIL")</f>
        <v/>
      </c>
      <c r="M315" t="n">
        <v>35000</v>
      </c>
      <c r="N315" t="b">
        <v>1</v>
      </c>
      <c r="P315" t="n">
        <v>13500</v>
      </c>
      <c r="Q315" t="n">
        <v>3000</v>
      </c>
      <c r="R315" t="b">
        <v>0</v>
      </c>
      <c r="S315" t="n">
        <v>0</v>
      </c>
      <c r="T315" t="n">
        <v>0.025</v>
      </c>
      <c r="U315" t="n">
        <v>2000000</v>
      </c>
      <c r="V315" t="inlineStr">
        <is>
          <t>per_month</t>
        </is>
      </c>
      <c r="W315" t="inlineStr">
        <is>
          <t>component</t>
        </is>
      </c>
      <c r="X315" t="inlineStr">
        <is>
          <t>consistent</t>
        </is>
      </c>
      <c r="Y315" t="n">
        <v>1</v>
      </c>
      <c r="Z315" t="inlineStr">
        <is>
          <t>present</t>
        </is>
      </c>
      <c r="AA315" t="n">
        <v>200</v>
      </c>
      <c r="AB315" t="inlineStr">
        <is>
          <t>per_month</t>
        </is>
      </c>
      <c r="AD315">
        <f>IFERROR(IF(ISBLANK($M$315),"UNKNOWN",IF(ISBLANK($N$315),"UNKNOWN",IF($N$315=FALSE,$M$315,IF(ISBLANK($O$315),"UNKNOWN",$M$315/(1+$O$315))))),"ERROR")</f>
        <v/>
      </c>
      <c r="AE315">
        <f>IFERROR(IF(ISBLANK($M$315),"UNKNOWN",IF(ISBLANK($N$315),"UNKNOWN",IF($N$315=TRUE,$M$315,IF(ISBLANK($O$315),"UNKNOWN",$M$315*(1+$O$315))))),"ERROR")</f>
        <v/>
      </c>
      <c r="AF315">
        <f>IF($Y$315&gt;1,"ERROR",IFERROR(IF(AD315="ERROR","ERROR",IF(OR(NOT(ISNUMBER(AD315)),ISBLANK($P$315),ISBLANK($Q$315),ISBLANK($S$315),ISBLANK($T$315)),"UNKNOWN",IF($T$315&gt;0,IF(AE315="ERROR","ERROR",IF(NOT(ISNUMBER(AE315)),"UNKNOWN",AD315-$P$315-$Q$315-$S$315*AD315-$T$315*AE315)),AD315-$P$315-$Q$315-$S$315*AD315))),"ERROR"))</f>
        <v/>
      </c>
      <c r="AG315">
        <f>IF($Y$315&gt;1,"ERROR",IFERROR(IF($W$315="invalid_direct","ERROR",IF($X$315="inconsistent","ERROR",IF($W$315="none",0,IF(OR($W$315="unresolved",$W$315="blended_only"),"UNKNOWN",IF(ISBLANK($U$315),"UNKNOWN",IF($U$315&lt;0,"ERROR",$U$315)))))),"ERROR"))</f>
        <v/>
      </c>
      <c r="AH315">
        <f>IF($Y$315&gt;1,"",IF(OR($W$315="invalid_direct",$X$315="inconsistent"),"",IF($W$315="none","",IF(OR($W$315="unresolved",$W$315="blended_only"),"",IF(ISBLANK($U$315),"",IF($U$315&lt;0,"",$V$315))))))</f>
        <v/>
      </c>
      <c r="AI315">
        <f>IF($Y$315&gt;1,"ERROR",IFERROR(IF(OR(AF315="ERROR",AG315="ERROR"),"ERROR",IF(OR(NOT(ISNUMBER(AF315)),NOT(ISNUMBER(AG315))),"UNKNOWN",IF(AF315&lt;=0,"NOT_APPLICABLE",AG315/AF315))),"ERROR"))</f>
        <v/>
      </c>
      <c r="AJ315">
        <f>IF($Y$315&gt;1,"MULTI_COMPONENT_BEP_NOT_SUPPORTED",IF($W$315="invalid_direct","INVALID_ALLOCATION_CONFIGURATION",IF($X$315="inconsistent","INCONSISTENT_FIXED_COST_BASIS",IF(AND($W$315="component",NOT(ISBLANK($U$315)),$U$315&lt;0),"INVALID_NEGATIVE_COST",IF(AF315="ERROR","CALCULATION_ERROR",IF($W$315="blended_only","FIXED_COST_BLENDED_ONLY_NOT_ALLOCATED",IF($W$315="unresolved","UNSUPPORTED_SHARED_COST_ALLOCATION",IF(NOT(ISNUMBER(AF315)),"MISSING_DEPENDENCY",IF(AND($W$315="component",ISBLANK($U$315)),"MISSING_DEPENDENCY",IF(AND(AF315=0,AG315=0),"BREAK_EVEN_UNDEFINED_ZERO_MARGIN_ZERO_FIXED_COST",IF(AF315=0,"BREAK_EVEN_UNDEFINED_ZERO_MARGIN",IF(AF315&lt;0,"BREAK_EVEN_UNDEFINED_NEGATIVE_MARGIN","NONE"))))))))))))</f>
        <v/>
      </c>
      <c r="AK315">
        <f>IF(AND(NOT(ISBLANK($AA$315)),$AA$315&lt;0),"ERROR",IF(AND($AB$315&lt;&gt;"",$AB$315&lt;&gt;"per_month"),"ERROR",IF(OR(ISBLANK($AA$315),$AB$315=""),"UNKNOWN",$AA$315)))</f>
        <v/>
      </c>
      <c r="AL315">
        <f>IF(AND(ISNUMBER(AG315),AH315&lt;&gt;"",AH315&lt;&gt;"per_month"),"ERROR",AG315)</f>
        <v/>
      </c>
      <c r="AM315">
        <f>IF(ISBLANK($AC$315),"none",IF(AND(ISNUMBER($AC$315),$AC$315&gt;0),"valid","invalid"))</f>
        <v/>
      </c>
      <c r="AN315">
        <f>IF(AM315="invalid","ERROR",IF(AND(AM315="valid",$R$315=TRUE,ISNUMBER(AF315)),AF315+$Q$315*(1-1/$AC$315),AF315))</f>
        <v/>
      </c>
      <c r="AO315">
        <f>IF($Z$315="absent","NOT_RUN",IF($Y$315&gt;1,"ERROR",AK315))</f>
        <v/>
      </c>
      <c r="AP315">
        <f>IF(ISNUMBER(AO315),"OK",AO315)</f>
        <v/>
      </c>
      <c r="AQ315">
        <f>IF($Z$315="absent","NOT_RUN",IF($Y$315&gt;1,"ERROR",IFERROR(IF(OR(AK315="ERROR",AD315="ERROR"),"ERROR",IF(OR(NOT(ISNUMBER(AK315)),NOT(ISNUMBER(AD315))),"UNKNOWN",AD315*AK315)),"ERROR")))</f>
        <v/>
      </c>
      <c r="AR315">
        <f>IF(ISNUMBER(AQ315),"OK",AQ315)</f>
        <v/>
      </c>
      <c r="AS315">
        <f>IF($Z$315="absent","NOT_RUN",IF($Y$315&gt;1,"ERROR",IFERROR(IF(OR(AK315="ERROR",AN315="ERROR"),"ERROR",IF(OR(NOT(ISNUMBER(AK315)),NOT(ISNUMBER(AN315))),"UNKNOWN",AN315*AK315)),"ERROR")))</f>
        <v/>
      </c>
      <c r="AT315">
        <f>IF(ISNUMBER(AS315),IF(AND($R$315=TRUE,AM315="none"),"ESTIMATED","OK"),AS315)</f>
        <v/>
      </c>
      <c r="AU315">
        <f>IF($Z$315="absent","NOT_RUN",IF($Y$315&gt;1,"ERROR",IFERROR(IF(OR(AK315="ERROR",AN315="ERROR",AL315="ERROR"),"ERROR",IF(OR(NOT(ISNUMBER(AK315)),NOT(ISNUMBER(AN315)),NOT(ISNUMBER(AL315))),"UNKNOWN",AN315*AK315-AL315)),"ERROR")))</f>
        <v/>
      </c>
      <c r="AV315">
        <f>IF(ISNUMBER(AU315),IF(AND($R$315=TRUE,AM315="none"),"ESTIMATED","OK"),AU315)</f>
        <v/>
      </c>
      <c r="AW315">
        <f>IF($Z$315="absent","NOT_RUN",IF($Y$315&gt;1,"ERROR",IFERROR(IF(OR(AU315="ERROR",AQ315="ERROR"),"ERROR",IF(OR(NOT(ISNUMBER(AU315)),NOT(ISNUMBER(AQ315))),"UNKNOWN",IF(AQ315=0,"NOT_APPLICABLE",AU315/AQ315))),"ERROR")))</f>
        <v/>
      </c>
      <c r="AX315">
        <f>IF(ISNUMBER(AW315),IF(AND($R$315=TRUE,AM315="none"),"ESTIMATED","OK"),AW315)</f>
        <v/>
      </c>
      <c r="AY315">
        <f>IF($Z$315="absent","NOT_RUN",IF($Y$315&gt;1,"ERROR",IFERROR(IF(OR(AN315="ERROR",AL315="ERROR"),"ERROR",IF(OR(NOT(ISNUMBER(AN315)),NOT(ISNUMBER(AL315))),"UNKNOWN",IF(AN315&lt;=0,"NOT_APPLICABLE",AL315/AN315))),"ERROR")))</f>
        <v/>
      </c>
      <c r="AZ315">
        <f>IF(ISNUMBER(AY315),IF(AND($R$315=TRUE,AM315="none"),"ESTIMATED","OK"),AY315)</f>
        <v/>
      </c>
      <c r="BA315">
        <f>IF($Z$315="absent","NOT_RUN",IF($Y$315&gt;1,"ERROR",IFERROR(IF(OR(AK315="ERROR",AN315="ERROR",AL315="ERROR"),"ERROR",IF(OR(NOT(ISNUMBER(AK315)),NOT(ISNUMBER(AN315)),NOT(ISNUMBER(AL315))),"UNKNOWN",IF(AN315&lt;=0,"NOT_APPLICABLE",AK315-AY315))),"ERROR")))</f>
        <v/>
      </c>
      <c r="BB315">
        <f>IF(ISNUMBER(BA315),IF(AND($R$315=TRUE,AM315="none"),"ESTIMATED","OK"),BA315)</f>
        <v/>
      </c>
      <c r="BC315">
        <f>IF($Z$315="absent","NOT_RUN",IF($Y$315&gt;1,"ERROR",IFERROR(IF(OR(AK315="ERROR",AN315="ERROR",AL315="ERROR"),"ERROR",IF(OR(NOT(ISNUMBER(AK315)),NOT(ISNUMBER(AN315)),NOT(ISNUMBER(AL315))),"UNKNOWN",IF(OR(AN315&lt;=0,AK315=0),"NOT_APPLICABLE",(AK315-AY315)/AK315))),"ERROR")))</f>
        <v/>
      </c>
      <c r="BD315">
        <f>IF(ISNUMBER(BC315),IF(AND($R$315=TRUE,AM315="none"),"ESTIMATED","OK"),BC315)</f>
        <v/>
      </c>
      <c r="BE315">
        <f>IF($Z$315="absent","NOT_RUN",IF(OR(AP315="ERROR",AR315="ERROR",AT315="ERROR",AV315="ERROR",AX315="ERROR",AZ315="ERROR",BB315="ERROR",BD315="ERROR"),"ERROR",IF(OR(AP315="UNKNOWN",AR315="UNKNOWN",AT315="UNKNOWN",AV315="UNKNOWN",AX315="UNKNOWN",AZ315="UNKNOWN",BB315="UNKNOWN",BD315="UNKNOWN"),"INCOMPLETE","OK")))</f>
        <v/>
      </c>
      <c r="BF315">
        <f>IF($Z$315="absent","",AH315)</f>
        <v/>
      </c>
    </row>
    <row r="316">
      <c r="B316" s="8" t="inlineStr">
        <is>
          <t>Total Net Sales ex VAT</t>
        </is>
      </c>
      <c r="C316" s="52">
        <f>AQ315</f>
        <v/>
      </c>
      <c r="D316" s="30" t="inlineStr">
        <is>
          <t>UNKNOWN</t>
        </is>
      </c>
      <c r="E316" s="51">
        <f>IF(ISNUMBER(D316),IF(ISNUMBER(AQ315),ABS(AQ315-D316),"N/A"),"N/A")</f>
        <v/>
      </c>
      <c r="F316" s="15">
        <f>IFERROR(IF(ISNUMBER(D316),IF(ISNUMBER(AQ315),IF(ABS(AQ315-D316)&lt;=0.01,"PASS","FAIL"),"FAIL"),IF(NOT(ISNUMBER(AQ315)),IF(AQ315=D316,"PASS","FAIL"),"FAIL")),"FAIL")</f>
        <v/>
      </c>
      <c r="G316" s="16">
        <f>AR315</f>
        <v/>
      </c>
      <c r="H316" s="30" t="inlineStr">
        <is>
          <t>UNKNOWN</t>
        </is>
      </c>
      <c r="I316" s="15">
        <f>IF(AR315=H316,"PASS","FAIL")</f>
        <v/>
      </c>
    </row>
    <row r="317">
      <c r="B317" s="8" t="inlineStr">
        <is>
          <t>Total Contribution Margin</t>
        </is>
      </c>
      <c r="C317" s="52">
        <f>AS315</f>
        <v/>
      </c>
      <c r="D317" s="30" t="inlineStr">
        <is>
          <t>UNKNOWN</t>
        </is>
      </c>
      <c r="E317" s="51">
        <f>IF(ISNUMBER(D317),IF(ISNUMBER(AS315),ABS(AS315-D317),"N/A"),"N/A")</f>
        <v/>
      </c>
      <c r="F317" s="15">
        <f>IFERROR(IF(ISNUMBER(D317),IF(ISNUMBER(AS315),IF(ABS(AS315-D317)&lt;=0.01,"PASS","FAIL"),"FAIL"),IF(NOT(ISNUMBER(AS315)),IF(AS315=D317,"PASS","FAIL"),"FAIL")),"FAIL")</f>
        <v/>
      </c>
      <c r="G317" s="16">
        <f>AT315</f>
        <v/>
      </c>
      <c r="H317" s="30" t="inlineStr">
        <is>
          <t>UNKNOWN</t>
        </is>
      </c>
      <c r="I317" s="15">
        <f>IF(AT315=H317,"PASS","FAIL")</f>
        <v/>
      </c>
    </row>
    <row r="318">
      <c r="B318" s="8" t="inlineStr">
        <is>
          <t>Operating Profit</t>
        </is>
      </c>
      <c r="C318" s="52">
        <f>AU315</f>
        <v/>
      </c>
      <c r="D318" s="30" t="inlineStr">
        <is>
          <t>UNKNOWN</t>
        </is>
      </c>
      <c r="E318" s="51">
        <f>IF(ISNUMBER(D318),IF(ISNUMBER(AU315),ABS(AU315-D318),"N/A"),"N/A")</f>
        <v/>
      </c>
      <c r="F318" s="15">
        <f>IFERROR(IF(ISNUMBER(D318),IF(ISNUMBER(AU315),IF(ABS(AU315-D318)&lt;=0.01,"PASS","FAIL"),"FAIL"),IF(NOT(ISNUMBER(AU315)),IF(AU315=D318,"PASS","FAIL"),"FAIL")),"FAIL")</f>
        <v/>
      </c>
      <c r="G318" s="16">
        <f>AV315</f>
        <v/>
      </c>
      <c r="H318" s="30" t="inlineStr">
        <is>
          <t>UNKNOWN</t>
        </is>
      </c>
      <c r="I318" s="15">
        <f>IF(AV315=H318,"PASS","FAIL")</f>
        <v/>
      </c>
    </row>
    <row r="319">
      <c r="B319" s="8" t="inlineStr">
        <is>
          <t>Operating Profit Rate</t>
        </is>
      </c>
      <c r="C319" s="54">
        <f>AW315</f>
        <v/>
      </c>
      <c r="D319" s="30" t="inlineStr">
        <is>
          <t>UNKNOWN</t>
        </is>
      </c>
      <c r="E319" s="51">
        <f>IF(ISNUMBER(D319),IF(ISNUMBER(AW315),ABS(AW315-D319),"N/A"),"N/A")</f>
        <v/>
      </c>
      <c r="F319" s="15">
        <f>IFERROR(IF(ISNUMBER(D319),IF(ISNUMBER(AW315),IF(ABS(AW315-D319)&lt;=1e-06,"PASS","FAIL"),"FAIL"),IF(NOT(ISNUMBER(AW315)),IF(AW315=D319,"PASS","FAIL"),"FAIL")),"FAIL")</f>
        <v/>
      </c>
      <c r="G319" s="16">
        <f>AX315</f>
        <v/>
      </c>
      <c r="H319" s="30" t="inlineStr">
        <is>
          <t>UNKNOWN</t>
        </is>
      </c>
      <c r="I319" s="15">
        <f>IF(AX315=H319,"PASS","FAIL")</f>
        <v/>
      </c>
    </row>
    <row r="320">
      <c r="B320" s="8" t="inlineStr">
        <is>
          <t>Break-Even Quantity (Q_BEP)</t>
        </is>
      </c>
      <c r="C320" s="25">
        <f>AY315</f>
        <v/>
      </c>
      <c r="D320" s="30" t="inlineStr">
        <is>
          <t>UNKNOWN</t>
        </is>
      </c>
      <c r="E320" s="51">
        <f>IF(ISNUMBER(D320),IF(ISNUMBER(AY315),ABS(AY315-D320),"N/A"),"N/A")</f>
        <v/>
      </c>
      <c r="F320" s="15">
        <f>IFERROR(IF(ISNUMBER(D320),IF(ISNUMBER(AY315),IF(ABS(AY315-D320)&lt;=0.01,"PASS","FAIL"),"FAIL"),IF(NOT(ISNUMBER(AY315)),IF(AY315=D320,"PASS","FAIL"),"FAIL")),"FAIL")</f>
        <v/>
      </c>
      <c r="G320" s="16">
        <f>AZ315</f>
        <v/>
      </c>
      <c r="H320" s="30" t="inlineStr">
        <is>
          <t>UNKNOWN</t>
        </is>
      </c>
      <c r="I320" s="15">
        <f>IF(AZ315=H320,"PASS","FAIL")</f>
        <v/>
      </c>
    </row>
    <row r="321">
      <c r="B321" s="8" t="inlineStr">
        <is>
          <t>Margin of Safety Quantity</t>
        </is>
      </c>
      <c r="C321" s="25">
        <f>BA315</f>
        <v/>
      </c>
      <c r="D321" s="30" t="inlineStr">
        <is>
          <t>UNKNOWN</t>
        </is>
      </c>
      <c r="E321" s="51">
        <f>IF(ISNUMBER(D321),IF(ISNUMBER(BA315),ABS(BA315-D321),"N/A"),"N/A")</f>
        <v/>
      </c>
      <c r="F321" s="15">
        <f>IFERROR(IF(ISNUMBER(D321),IF(ISNUMBER(BA315),IF(ABS(BA315-D321)&lt;=0.01,"PASS","FAIL"),"FAIL"),IF(NOT(ISNUMBER(BA315)),IF(BA315=D321,"PASS","FAIL"),"FAIL")),"FAIL")</f>
        <v/>
      </c>
      <c r="G321" s="16">
        <f>BB315</f>
        <v/>
      </c>
      <c r="H321" s="30" t="inlineStr">
        <is>
          <t>UNKNOWN</t>
        </is>
      </c>
      <c r="I321" s="15">
        <f>IF(BB315=H321,"PASS","FAIL")</f>
        <v/>
      </c>
    </row>
    <row r="322">
      <c r="B322" s="8" t="inlineStr">
        <is>
          <t>Margin of Safety Rate</t>
        </is>
      </c>
      <c r="C322" s="54">
        <f>BC315</f>
        <v/>
      </c>
      <c r="D322" s="30" t="inlineStr">
        <is>
          <t>UNKNOWN</t>
        </is>
      </c>
      <c r="E322" s="51">
        <f>IF(ISNUMBER(D322),IF(ISNUMBER(BC315),ABS(BC315-D322),"N/A"),"N/A")</f>
        <v/>
      </c>
      <c r="F322" s="15">
        <f>IFERROR(IF(ISNUMBER(D322),IF(ISNUMBER(BC315),IF(ABS(BC315-D322)&lt;=1e-06,"PASS","FAIL"),"FAIL"),IF(NOT(ISNUMBER(BC315)),IF(BC315=D322,"PASS","FAIL"),"FAIL")),"FAIL")</f>
        <v/>
      </c>
      <c r="G322" s="16">
        <f>BD315</f>
        <v/>
      </c>
      <c r="H322" s="30" t="inlineStr">
        <is>
          <t>UNKNOWN</t>
        </is>
      </c>
      <c r="I322" s="15">
        <f>IF(BD315=H322,"PASS","FAIL")</f>
        <v/>
      </c>
    </row>
    <row r="323">
      <c r="B323" s="8" t="inlineStr">
        <is>
          <t>Module Status</t>
        </is>
      </c>
      <c r="C323" s="16">
        <f>BE315</f>
        <v/>
      </c>
      <c r="D323" s="30" t="inlineStr">
        <is>
          <t>INCOMPLETE</t>
        </is>
      </c>
      <c r="F323" s="15">
        <f>IF(BE315=D323,"PASS","FAIL")</f>
        <v/>
      </c>
    </row>
    <row r="324">
      <c r="B324" s="8" t="inlineStr">
        <is>
          <t>Analysis Period Basis</t>
        </is>
      </c>
      <c r="C324" s="16">
        <f>BF315</f>
        <v/>
      </c>
      <c r="D324" s="30" t="inlineStr">
        <is>
          <t>per_month</t>
        </is>
      </c>
      <c r="F324" s="15">
        <f>IF(BF315=D324,"PASS","FAIL")</f>
        <v/>
      </c>
    </row>
    <row r="325">
      <c r="B325" s="8" t="inlineStr">
        <is>
          <t>Self-Check: |MoS qty × CMu − Operating Profit| ≤ tol</t>
        </is>
      </c>
      <c r="C325" s="36">
        <f>IF(OR(NOT(ISNUMBER(BA315)),NOT(ISNUMBER(AN315)),NOT(ISNUMBER(AU315))),"SKIP",IF(ABS(BA315*AN315-AU315)&lt;=0.01,"PASS","FAIL"))</f>
        <v/>
      </c>
      <c r="D325" s="34" t="n"/>
      <c r="F325" s="15">
        <f>IF(C325="FAIL","FAIL","PASS")</f>
        <v/>
      </c>
    </row>
    <row r="327" ht="20" customHeight="1">
      <c r="B327" s="2" t="inlineStr">
        <is>
          <t>V24. Direct cost blank (cost UNKNOWN)</t>
        </is>
      </c>
      <c r="C327" s="7" t="n"/>
      <c r="D327" s="7" t="n"/>
      <c r="E327" s="7" t="n"/>
      <c r="F327" s="7" t="n"/>
      <c r="G327" s="7" t="n"/>
      <c r="H327" s="7" t="n"/>
      <c r="I327" s="7" t="n"/>
    </row>
    <row r="328">
      <c r="B328" s="4" t="inlineStr">
        <is>
          <t>Metric</t>
        </is>
      </c>
      <c r="C328" s="4" t="inlineStr">
        <is>
          <t>Excel Result</t>
        </is>
      </c>
      <c r="D328" s="4" t="inlineStr">
        <is>
          <t>Python Reference</t>
        </is>
      </c>
      <c r="E328" s="4" t="inlineStr">
        <is>
          <t>Difference</t>
        </is>
      </c>
      <c r="F328" s="4" t="inlineStr">
        <is>
          <t>PASS / FAIL</t>
        </is>
      </c>
      <c r="G328" s="4" t="inlineStr">
        <is>
          <t>Excel Status</t>
        </is>
      </c>
      <c r="H328" s="4" t="inlineStr">
        <is>
          <t>Python Status</t>
        </is>
      </c>
      <c r="I328" s="4" t="inlineStr">
        <is>
          <t>Status PASS</t>
        </is>
      </c>
    </row>
    <row r="329">
      <c r="B329" s="8" t="inlineStr">
        <is>
          <t>Planned Quantity (units)</t>
        </is>
      </c>
      <c r="C329" s="25">
        <f>AO329</f>
        <v/>
      </c>
      <c r="D329" s="21" t="n">
        <v>200</v>
      </c>
      <c r="E329" s="51">
        <f>IF(ISNUMBER(D329),IF(ISNUMBER(AO329),ABS(AO329-D329),"N/A"),"N/A")</f>
        <v/>
      </c>
      <c r="F329" s="15">
        <f>IFERROR(IF(ISNUMBER(D329),IF(ISNUMBER(AO329),IF(ABS(AO329-D329)&lt;=0.01,"PASS","FAIL"),"FAIL"),IF(NOT(ISNUMBER(AO329)),IF(AO329=D329,"PASS","FAIL"),"FAIL")),"FAIL")</f>
        <v/>
      </c>
      <c r="G329" s="16">
        <f>AP329</f>
        <v/>
      </c>
      <c r="H329" s="30" t="inlineStr">
        <is>
          <t>OK</t>
        </is>
      </c>
      <c r="I329" s="15">
        <f>IF(AP329=H329,"PASS","FAIL")</f>
        <v/>
      </c>
      <c r="M329" t="n">
        <v>35000</v>
      </c>
      <c r="N329" t="b">
        <v>1</v>
      </c>
      <c r="O329" t="n">
        <v>0.1</v>
      </c>
      <c r="Q329" t="n">
        <v>3000</v>
      </c>
      <c r="R329" t="b">
        <v>0</v>
      </c>
      <c r="S329" t="n">
        <v>0</v>
      </c>
      <c r="T329" t="n">
        <v>0.025</v>
      </c>
      <c r="U329" t="n">
        <v>2000000</v>
      </c>
      <c r="V329" t="inlineStr">
        <is>
          <t>per_month</t>
        </is>
      </c>
      <c r="W329" t="inlineStr">
        <is>
          <t>component</t>
        </is>
      </c>
      <c r="X329" t="inlineStr">
        <is>
          <t>consistent</t>
        </is>
      </c>
      <c r="Y329" t="n">
        <v>1</v>
      </c>
      <c r="Z329" t="inlineStr">
        <is>
          <t>present</t>
        </is>
      </c>
      <c r="AA329" t="n">
        <v>200</v>
      </c>
      <c r="AB329" t="inlineStr">
        <is>
          <t>per_month</t>
        </is>
      </c>
      <c r="AD329">
        <f>IFERROR(IF(ISBLANK($M$329),"UNKNOWN",IF(ISBLANK($N$329),"UNKNOWN",IF($N$329=FALSE,$M$329,IF(ISBLANK($O$329),"UNKNOWN",$M$329/(1+$O$329))))),"ERROR")</f>
        <v/>
      </c>
      <c r="AE329">
        <f>IFERROR(IF(ISBLANK($M$329),"UNKNOWN",IF(ISBLANK($N$329),"UNKNOWN",IF($N$329=TRUE,$M$329,IF(ISBLANK($O$329),"UNKNOWN",$M$329*(1+$O$329))))),"ERROR")</f>
        <v/>
      </c>
      <c r="AF329">
        <f>IF($Y$329&gt;1,"ERROR",IFERROR(IF(AD329="ERROR","ERROR",IF(OR(NOT(ISNUMBER(AD329)),ISBLANK($P$329),ISBLANK($Q$329),ISBLANK($S$329),ISBLANK($T$329)),"UNKNOWN",IF($T$329&gt;0,IF(AE329="ERROR","ERROR",IF(NOT(ISNUMBER(AE329)),"UNKNOWN",AD329-$P$329-$Q$329-$S$329*AD329-$T$329*AE329)),AD329-$P$329-$Q$329-$S$329*AD329))),"ERROR"))</f>
        <v/>
      </c>
      <c r="AG329">
        <f>IF($Y$329&gt;1,"ERROR",IFERROR(IF($W$329="invalid_direct","ERROR",IF($X$329="inconsistent","ERROR",IF($W$329="none",0,IF(OR($W$329="unresolved",$W$329="blended_only"),"UNKNOWN",IF(ISBLANK($U$329),"UNKNOWN",IF($U$329&lt;0,"ERROR",$U$329)))))),"ERROR"))</f>
        <v/>
      </c>
      <c r="AH329">
        <f>IF($Y$329&gt;1,"",IF(OR($W$329="invalid_direct",$X$329="inconsistent"),"",IF($W$329="none","",IF(OR($W$329="unresolved",$W$329="blended_only"),"",IF(ISBLANK($U$329),"",IF($U$329&lt;0,"",$V$329))))))</f>
        <v/>
      </c>
      <c r="AI329">
        <f>IF($Y$329&gt;1,"ERROR",IFERROR(IF(OR(AF329="ERROR",AG329="ERROR"),"ERROR",IF(OR(NOT(ISNUMBER(AF329)),NOT(ISNUMBER(AG329))),"UNKNOWN",IF(AF329&lt;=0,"NOT_APPLICABLE",AG329/AF329))),"ERROR"))</f>
        <v/>
      </c>
      <c r="AJ329">
        <f>IF($Y$329&gt;1,"MULTI_COMPONENT_BEP_NOT_SUPPORTED",IF($W$329="invalid_direct","INVALID_ALLOCATION_CONFIGURATION",IF($X$329="inconsistent","INCONSISTENT_FIXED_COST_BASIS",IF(AND($W$329="component",NOT(ISBLANK($U$329)),$U$329&lt;0),"INVALID_NEGATIVE_COST",IF(AF329="ERROR","CALCULATION_ERROR",IF($W$329="blended_only","FIXED_COST_BLENDED_ONLY_NOT_ALLOCATED",IF($W$329="unresolved","UNSUPPORTED_SHARED_COST_ALLOCATION",IF(NOT(ISNUMBER(AF329)),"MISSING_DEPENDENCY",IF(AND($W$329="component",ISBLANK($U$329)),"MISSING_DEPENDENCY",IF(AND(AF329=0,AG329=0),"BREAK_EVEN_UNDEFINED_ZERO_MARGIN_ZERO_FIXED_COST",IF(AF329=0,"BREAK_EVEN_UNDEFINED_ZERO_MARGIN",IF(AF329&lt;0,"BREAK_EVEN_UNDEFINED_NEGATIVE_MARGIN","NONE"))))))))))))</f>
        <v/>
      </c>
      <c r="AK329">
        <f>IF(AND(NOT(ISBLANK($AA$329)),$AA$329&lt;0),"ERROR",IF(AND($AB$329&lt;&gt;"",$AB$329&lt;&gt;"per_month"),"ERROR",IF(OR(ISBLANK($AA$329),$AB$329=""),"UNKNOWN",$AA$329)))</f>
        <v/>
      </c>
      <c r="AL329">
        <f>IF(AND(ISNUMBER(AG329),AH329&lt;&gt;"",AH329&lt;&gt;"per_month"),"ERROR",AG329)</f>
        <v/>
      </c>
      <c r="AM329">
        <f>IF(ISBLANK($AC$329),"none",IF(AND(ISNUMBER($AC$329),$AC$329&gt;0),"valid","invalid"))</f>
        <v/>
      </c>
      <c r="AN329">
        <f>IF(AM329="invalid","ERROR",IF(AND(AM329="valid",$R$329=TRUE,ISNUMBER(AF329)),AF329+$Q$329*(1-1/$AC$329),AF329))</f>
        <v/>
      </c>
      <c r="AO329">
        <f>IF($Z$329="absent","NOT_RUN",IF($Y$329&gt;1,"ERROR",AK329))</f>
        <v/>
      </c>
      <c r="AP329">
        <f>IF(ISNUMBER(AO329),"OK",AO329)</f>
        <v/>
      </c>
      <c r="AQ329">
        <f>IF($Z$329="absent","NOT_RUN",IF($Y$329&gt;1,"ERROR",IFERROR(IF(OR(AK329="ERROR",AD329="ERROR"),"ERROR",IF(OR(NOT(ISNUMBER(AK329)),NOT(ISNUMBER(AD329))),"UNKNOWN",AD329*AK329)),"ERROR")))</f>
        <v/>
      </c>
      <c r="AR329">
        <f>IF(ISNUMBER(AQ329),"OK",AQ329)</f>
        <v/>
      </c>
      <c r="AS329">
        <f>IF($Z$329="absent","NOT_RUN",IF($Y$329&gt;1,"ERROR",IFERROR(IF(OR(AK329="ERROR",AN329="ERROR"),"ERROR",IF(OR(NOT(ISNUMBER(AK329)),NOT(ISNUMBER(AN329))),"UNKNOWN",AN329*AK329)),"ERROR")))</f>
        <v/>
      </c>
      <c r="AT329">
        <f>IF(ISNUMBER(AS329),IF(AND($R$329=TRUE,AM329="none"),"ESTIMATED","OK"),AS329)</f>
        <v/>
      </c>
      <c r="AU329">
        <f>IF($Z$329="absent","NOT_RUN",IF($Y$329&gt;1,"ERROR",IFERROR(IF(OR(AK329="ERROR",AN329="ERROR",AL329="ERROR"),"ERROR",IF(OR(NOT(ISNUMBER(AK329)),NOT(ISNUMBER(AN329)),NOT(ISNUMBER(AL329))),"UNKNOWN",AN329*AK329-AL329)),"ERROR")))</f>
        <v/>
      </c>
      <c r="AV329">
        <f>IF(ISNUMBER(AU329),IF(AND($R$329=TRUE,AM329="none"),"ESTIMATED","OK"),AU329)</f>
        <v/>
      </c>
      <c r="AW329">
        <f>IF($Z$329="absent","NOT_RUN",IF($Y$329&gt;1,"ERROR",IFERROR(IF(OR(AU329="ERROR",AQ329="ERROR"),"ERROR",IF(OR(NOT(ISNUMBER(AU329)),NOT(ISNUMBER(AQ329))),"UNKNOWN",IF(AQ329=0,"NOT_APPLICABLE",AU329/AQ329))),"ERROR")))</f>
        <v/>
      </c>
      <c r="AX329">
        <f>IF(ISNUMBER(AW329),IF(AND($R$329=TRUE,AM329="none"),"ESTIMATED","OK"),AW329)</f>
        <v/>
      </c>
      <c r="AY329">
        <f>IF($Z$329="absent","NOT_RUN",IF($Y$329&gt;1,"ERROR",IFERROR(IF(OR(AN329="ERROR",AL329="ERROR"),"ERROR",IF(OR(NOT(ISNUMBER(AN329)),NOT(ISNUMBER(AL329))),"UNKNOWN",IF(AN329&lt;=0,"NOT_APPLICABLE",AL329/AN329))),"ERROR")))</f>
        <v/>
      </c>
      <c r="AZ329">
        <f>IF(ISNUMBER(AY329),IF(AND($R$329=TRUE,AM329="none"),"ESTIMATED","OK"),AY329)</f>
        <v/>
      </c>
      <c r="BA329">
        <f>IF($Z$329="absent","NOT_RUN",IF($Y$329&gt;1,"ERROR",IFERROR(IF(OR(AK329="ERROR",AN329="ERROR",AL329="ERROR"),"ERROR",IF(OR(NOT(ISNUMBER(AK329)),NOT(ISNUMBER(AN329)),NOT(ISNUMBER(AL329))),"UNKNOWN",IF(AN329&lt;=0,"NOT_APPLICABLE",AK329-AY329))),"ERROR")))</f>
        <v/>
      </c>
      <c r="BB329">
        <f>IF(ISNUMBER(BA329),IF(AND($R$329=TRUE,AM329="none"),"ESTIMATED","OK"),BA329)</f>
        <v/>
      </c>
      <c r="BC329">
        <f>IF($Z$329="absent","NOT_RUN",IF($Y$329&gt;1,"ERROR",IFERROR(IF(OR(AK329="ERROR",AN329="ERROR",AL329="ERROR"),"ERROR",IF(OR(NOT(ISNUMBER(AK329)),NOT(ISNUMBER(AN329)),NOT(ISNUMBER(AL329))),"UNKNOWN",IF(OR(AN329&lt;=0,AK329=0),"NOT_APPLICABLE",(AK329-AY329)/AK329))),"ERROR")))</f>
        <v/>
      </c>
      <c r="BD329">
        <f>IF(ISNUMBER(BC329),IF(AND($R$329=TRUE,AM329="none"),"ESTIMATED","OK"),BC329)</f>
        <v/>
      </c>
      <c r="BE329">
        <f>IF($Z$329="absent","NOT_RUN",IF(OR(AP329="ERROR",AR329="ERROR",AT329="ERROR",AV329="ERROR",AX329="ERROR",AZ329="ERROR",BB329="ERROR",BD329="ERROR"),"ERROR",IF(OR(AP329="UNKNOWN",AR329="UNKNOWN",AT329="UNKNOWN",AV329="UNKNOWN",AX329="UNKNOWN",AZ329="UNKNOWN",BB329="UNKNOWN",BD329="UNKNOWN"),"INCOMPLETE","OK")))</f>
        <v/>
      </c>
      <c r="BF329">
        <f>IF($Z$329="absent","",AH329)</f>
        <v/>
      </c>
    </row>
    <row r="330">
      <c r="B330" s="8" t="inlineStr">
        <is>
          <t>Total Net Sales ex VAT</t>
        </is>
      </c>
      <c r="C330" s="52">
        <f>AQ329</f>
        <v/>
      </c>
      <c r="D330" s="53" t="n">
        <v>6363636.363636363</v>
      </c>
      <c r="E330" s="51">
        <f>IF(ISNUMBER(D330),IF(ISNUMBER(AQ329),ABS(AQ329-D330),"N/A"),"N/A")</f>
        <v/>
      </c>
      <c r="F330" s="15">
        <f>IFERROR(IF(ISNUMBER(D330),IF(ISNUMBER(AQ329),IF(ABS(AQ329-D330)&lt;=0.01,"PASS","FAIL"),"FAIL"),IF(NOT(ISNUMBER(AQ329)),IF(AQ329=D330,"PASS","FAIL"),"FAIL")),"FAIL")</f>
        <v/>
      </c>
      <c r="G330" s="16">
        <f>AR329</f>
        <v/>
      </c>
      <c r="H330" s="30" t="inlineStr">
        <is>
          <t>OK</t>
        </is>
      </c>
      <c r="I330" s="15">
        <f>IF(AR329=H330,"PASS","FAIL")</f>
        <v/>
      </c>
    </row>
    <row r="331">
      <c r="B331" s="8" t="inlineStr">
        <is>
          <t>Total Contribution Margin</t>
        </is>
      </c>
      <c r="C331" s="52">
        <f>AS329</f>
        <v/>
      </c>
      <c r="D331" s="30" t="inlineStr">
        <is>
          <t>UNKNOWN</t>
        </is>
      </c>
      <c r="E331" s="51">
        <f>IF(ISNUMBER(D331),IF(ISNUMBER(AS329),ABS(AS329-D331),"N/A"),"N/A")</f>
        <v/>
      </c>
      <c r="F331" s="15">
        <f>IFERROR(IF(ISNUMBER(D331),IF(ISNUMBER(AS329),IF(ABS(AS329-D331)&lt;=0.01,"PASS","FAIL"),"FAIL"),IF(NOT(ISNUMBER(AS329)),IF(AS329=D331,"PASS","FAIL"),"FAIL")),"FAIL")</f>
        <v/>
      </c>
      <c r="G331" s="16">
        <f>AT329</f>
        <v/>
      </c>
      <c r="H331" s="30" t="inlineStr">
        <is>
          <t>UNKNOWN</t>
        </is>
      </c>
      <c r="I331" s="15">
        <f>IF(AT329=H331,"PASS","FAIL")</f>
        <v/>
      </c>
    </row>
    <row r="332">
      <c r="B332" s="8" t="inlineStr">
        <is>
          <t>Operating Profit</t>
        </is>
      </c>
      <c r="C332" s="52">
        <f>AU329</f>
        <v/>
      </c>
      <c r="D332" s="30" t="inlineStr">
        <is>
          <t>UNKNOWN</t>
        </is>
      </c>
      <c r="E332" s="51">
        <f>IF(ISNUMBER(D332),IF(ISNUMBER(AU329),ABS(AU329-D332),"N/A"),"N/A")</f>
        <v/>
      </c>
      <c r="F332" s="15">
        <f>IFERROR(IF(ISNUMBER(D332),IF(ISNUMBER(AU329),IF(ABS(AU329-D332)&lt;=0.01,"PASS","FAIL"),"FAIL"),IF(NOT(ISNUMBER(AU329)),IF(AU329=D332,"PASS","FAIL"),"FAIL")),"FAIL")</f>
        <v/>
      </c>
      <c r="G332" s="16">
        <f>AV329</f>
        <v/>
      </c>
      <c r="H332" s="30" t="inlineStr">
        <is>
          <t>UNKNOWN</t>
        </is>
      </c>
      <c r="I332" s="15">
        <f>IF(AV329=H332,"PASS","FAIL")</f>
        <v/>
      </c>
    </row>
    <row r="333">
      <c r="B333" s="8" t="inlineStr">
        <is>
          <t>Operating Profit Rate</t>
        </is>
      </c>
      <c r="C333" s="54">
        <f>AW329</f>
        <v/>
      </c>
      <c r="D333" s="30" t="inlineStr">
        <is>
          <t>UNKNOWN</t>
        </is>
      </c>
      <c r="E333" s="51">
        <f>IF(ISNUMBER(D333),IF(ISNUMBER(AW329),ABS(AW329-D333),"N/A"),"N/A")</f>
        <v/>
      </c>
      <c r="F333" s="15">
        <f>IFERROR(IF(ISNUMBER(D333),IF(ISNUMBER(AW329),IF(ABS(AW329-D333)&lt;=1e-06,"PASS","FAIL"),"FAIL"),IF(NOT(ISNUMBER(AW329)),IF(AW329=D333,"PASS","FAIL"),"FAIL")),"FAIL")</f>
        <v/>
      </c>
      <c r="G333" s="16">
        <f>AX329</f>
        <v/>
      </c>
      <c r="H333" s="30" t="inlineStr">
        <is>
          <t>UNKNOWN</t>
        </is>
      </c>
      <c r="I333" s="15">
        <f>IF(AX329=H333,"PASS","FAIL")</f>
        <v/>
      </c>
    </row>
    <row r="334">
      <c r="B334" s="8" t="inlineStr">
        <is>
          <t>Break-Even Quantity (Q_BEP)</t>
        </is>
      </c>
      <c r="C334" s="25">
        <f>AY329</f>
        <v/>
      </c>
      <c r="D334" s="30" t="inlineStr">
        <is>
          <t>UNKNOWN</t>
        </is>
      </c>
      <c r="E334" s="51">
        <f>IF(ISNUMBER(D334),IF(ISNUMBER(AY329),ABS(AY329-D334),"N/A"),"N/A")</f>
        <v/>
      </c>
      <c r="F334" s="15">
        <f>IFERROR(IF(ISNUMBER(D334),IF(ISNUMBER(AY329),IF(ABS(AY329-D334)&lt;=0.01,"PASS","FAIL"),"FAIL"),IF(NOT(ISNUMBER(AY329)),IF(AY329=D334,"PASS","FAIL"),"FAIL")),"FAIL")</f>
        <v/>
      </c>
      <c r="G334" s="16">
        <f>AZ329</f>
        <v/>
      </c>
      <c r="H334" s="30" t="inlineStr">
        <is>
          <t>UNKNOWN</t>
        </is>
      </c>
      <c r="I334" s="15">
        <f>IF(AZ329=H334,"PASS","FAIL")</f>
        <v/>
      </c>
    </row>
    <row r="335">
      <c r="B335" s="8" t="inlineStr">
        <is>
          <t>Margin of Safety Quantity</t>
        </is>
      </c>
      <c r="C335" s="25">
        <f>BA329</f>
        <v/>
      </c>
      <c r="D335" s="30" t="inlineStr">
        <is>
          <t>UNKNOWN</t>
        </is>
      </c>
      <c r="E335" s="51">
        <f>IF(ISNUMBER(D335),IF(ISNUMBER(BA329),ABS(BA329-D335),"N/A"),"N/A")</f>
        <v/>
      </c>
      <c r="F335" s="15">
        <f>IFERROR(IF(ISNUMBER(D335),IF(ISNUMBER(BA329),IF(ABS(BA329-D335)&lt;=0.01,"PASS","FAIL"),"FAIL"),IF(NOT(ISNUMBER(BA329)),IF(BA329=D335,"PASS","FAIL"),"FAIL")),"FAIL")</f>
        <v/>
      </c>
      <c r="G335" s="16">
        <f>BB329</f>
        <v/>
      </c>
      <c r="H335" s="30" t="inlineStr">
        <is>
          <t>UNKNOWN</t>
        </is>
      </c>
      <c r="I335" s="15">
        <f>IF(BB329=H335,"PASS","FAIL")</f>
        <v/>
      </c>
    </row>
    <row r="336">
      <c r="B336" s="8" t="inlineStr">
        <is>
          <t>Margin of Safety Rate</t>
        </is>
      </c>
      <c r="C336" s="54">
        <f>BC329</f>
        <v/>
      </c>
      <c r="D336" s="30" t="inlineStr">
        <is>
          <t>UNKNOWN</t>
        </is>
      </c>
      <c r="E336" s="51">
        <f>IF(ISNUMBER(D336),IF(ISNUMBER(BC329),ABS(BC329-D336),"N/A"),"N/A")</f>
        <v/>
      </c>
      <c r="F336" s="15">
        <f>IFERROR(IF(ISNUMBER(D336),IF(ISNUMBER(BC329),IF(ABS(BC329-D336)&lt;=1e-06,"PASS","FAIL"),"FAIL"),IF(NOT(ISNUMBER(BC329)),IF(BC329=D336,"PASS","FAIL"),"FAIL")),"FAIL")</f>
        <v/>
      </c>
      <c r="G336" s="16">
        <f>BD329</f>
        <v/>
      </c>
      <c r="H336" s="30" t="inlineStr">
        <is>
          <t>UNKNOWN</t>
        </is>
      </c>
      <c r="I336" s="15">
        <f>IF(BD329=H336,"PASS","FAIL")</f>
        <v/>
      </c>
    </row>
    <row r="337">
      <c r="B337" s="8" t="inlineStr">
        <is>
          <t>Module Status</t>
        </is>
      </c>
      <c r="C337" s="16">
        <f>BE329</f>
        <v/>
      </c>
      <c r="D337" s="30" t="inlineStr">
        <is>
          <t>INCOMPLETE</t>
        </is>
      </c>
      <c r="F337" s="15">
        <f>IF(BE329=D337,"PASS","FAIL")</f>
        <v/>
      </c>
    </row>
    <row r="338">
      <c r="B338" s="8" t="inlineStr">
        <is>
          <t>Analysis Period Basis</t>
        </is>
      </c>
      <c r="C338" s="16">
        <f>BF329</f>
        <v/>
      </c>
      <c r="D338" s="30" t="inlineStr">
        <is>
          <t>per_month</t>
        </is>
      </c>
      <c r="F338" s="15">
        <f>IF(BF329=D338,"PASS","FAIL")</f>
        <v/>
      </c>
    </row>
    <row r="339">
      <c r="B339" s="8" t="inlineStr">
        <is>
          <t>Self-Check: |MoS qty × CMu − Operating Profit| ≤ tol</t>
        </is>
      </c>
      <c r="C339" s="36">
        <f>IF(OR(NOT(ISNUMBER(BA329)),NOT(ISNUMBER(AN329)),NOT(ISNUMBER(AU329))),"SKIP",IF(ABS(BA329*AN329-AU329)&lt;=0.01,"PASS","FAIL"))</f>
        <v/>
      </c>
      <c r="D339" s="34" t="n"/>
      <c r="F339" s="15">
        <f>IF(C339="FAIL","FAIL","PASS")</f>
        <v/>
      </c>
    </row>
    <row r="341" ht="20" customHeight="1">
      <c r="B341" s="2" t="inlineStr">
        <is>
          <t>V25. No sales_plan -&gt; NOT_RUN</t>
        </is>
      </c>
      <c r="C341" s="7" t="n"/>
      <c r="D341" s="7" t="n"/>
      <c r="E341" s="7" t="n"/>
      <c r="F341" s="7" t="n"/>
      <c r="G341" s="7" t="n"/>
      <c r="H341" s="7" t="n"/>
      <c r="I341" s="7" t="n"/>
    </row>
    <row r="342">
      <c r="B342" s="4" t="inlineStr">
        <is>
          <t>Metric</t>
        </is>
      </c>
      <c r="C342" s="4" t="inlineStr">
        <is>
          <t>Excel Result</t>
        </is>
      </c>
      <c r="D342" s="4" t="inlineStr">
        <is>
          <t>Python Reference</t>
        </is>
      </c>
      <c r="E342" s="4" t="inlineStr">
        <is>
          <t>Difference</t>
        </is>
      </c>
      <c r="F342" s="4" t="inlineStr">
        <is>
          <t>PASS / FAIL</t>
        </is>
      </c>
      <c r="G342" s="4" t="inlineStr">
        <is>
          <t>Excel Status</t>
        </is>
      </c>
      <c r="H342" s="4" t="inlineStr">
        <is>
          <t>Python Status</t>
        </is>
      </c>
      <c r="I342" s="4" t="inlineStr">
        <is>
          <t>Status PASS</t>
        </is>
      </c>
    </row>
    <row r="343">
      <c r="B343" s="8" t="inlineStr">
        <is>
          <t>Planned Quantity (units)</t>
        </is>
      </c>
      <c r="C343" s="25">
        <f>AO343</f>
        <v/>
      </c>
      <c r="D343" s="30" t="inlineStr">
        <is>
          <t>NOT_RUN</t>
        </is>
      </c>
      <c r="E343" s="51">
        <f>IF(ISNUMBER(D343),IF(ISNUMBER(AO343),ABS(AO343-D343),"N/A"),"N/A")</f>
        <v/>
      </c>
      <c r="F343" s="15">
        <f>IFERROR(IF(ISNUMBER(D343),IF(ISNUMBER(AO343),IF(ABS(AO343-D343)&lt;=0.01,"PASS","FAIL"),"FAIL"),IF(NOT(ISNUMBER(AO343)),IF(AO343=D343,"PASS","FAIL"),"FAIL")),"FAIL")</f>
        <v/>
      </c>
      <c r="G343" s="16">
        <f>AP343</f>
        <v/>
      </c>
      <c r="H343" s="30" t="inlineStr">
        <is>
          <t>NOT_RUN</t>
        </is>
      </c>
      <c r="I343" s="15">
        <f>IF(AP343=H343,"PASS","FAIL")</f>
        <v/>
      </c>
      <c r="M343" t="n">
        <v>35000</v>
      </c>
      <c r="N343" t="b">
        <v>1</v>
      </c>
      <c r="O343" t="n">
        <v>0.1</v>
      </c>
      <c r="P343" t="n">
        <v>13500</v>
      </c>
      <c r="Q343" t="n">
        <v>3000</v>
      </c>
      <c r="R343" t="b">
        <v>0</v>
      </c>
      <c r="S343" t="n">
        <v>0</v>
      </c>
      <c r="T343" t="n">
        <v>0.025</v>
      </c>
      <c r="U343" t="n">
        <v>2000000</v>
      </c>
      <c r="V343" t="inlineStr">
        <is>
          <t>per_month</t>
        </is>
      </c>
      <c r="W343" t="inlineStr">
        <is>
          <t>component</t>
        </is>
      </c>
      <c r="X343" t="inlineStr">
        <is>
          <t>consistent</t>
        </is>
      </c>
      <c r="Y343" t="n">
        <v>1</v>
      </c>
      <c r="Z343" t="inlineStr">
        <is>
          <t>absent</t>
        </is>
      </c>
      <c r="AA343" t="n">
        <v>200</v>
      </c>
      <c r="AB343" t="inlineStr">
        <is>
          <t>per_month</t>
        </is>
      </c>
      <c r="AD343">
        <f>IFERROR(IF(ISBLANK($M$343),"UNKNOWN",IF(ISBLANK($N$343),"UNKNOWN",IF($N$343=FALSE,$M$343,IF(ISBLANK($O$343),"UNKNOWN",$M$343/(1+$O$343))))),"ERROR")</f>
        <v/>
      </c>
      <c r="AE343">
        <f>IFERROR(IF(ISBLANK($M$343),"UNKNOWN",IF(ISBLANK($N$343),"UNKNOWN",IF($N$343=TRUE,$M$343,IF(ISBLANK($O$343),"UNKNOWN",$M$343*(1+$O$343))))),"ERROR")</f>
        <v/>
      </c>
      <c r="AF343">
        <f>IF($Y$343&gt;1,"ERROR",IFERROR(IF(AD343="ERROR","ERROR",IF(OR(NOT(ISNUMBER(AD343)),ISBLANK($P$343),ISBLANK($Q$343),ISBLANK($S$343),ISBLANK($T$343)),"UNKNOWN",IF($T$343&gt;0,IF(AE343="ERROR","ERROR",IF(NOT(ISNUMBER(AE343)),"UNKNOWN",AD343-$P$343-$Q$343-$S$343*AD343-$T$343*AE343)),AD343-$P$343-$Q$343-$S$343*AD343))),"ERROR"))</f>
        <v/>
      </c>
      <c r="AG343">
        <f>IF($Y$343&gt;1,"ERROR",IFERROR(IF($W$343="invalid_direct","ERROR",IF($X$343="inconsistent","ERROR",IF($W$343="none",0,IF(OR($W$343="unresolved",$W$343="blended_only"),"UNKNOWN",IF(ISBLANK($U$343),"UNKNOWN",IF($U$343&lt;0,"ERROR",$U$343)))))),"ERROR"))</f>
        <v/>
      </c>
      <c r="AH343">
        <f>IF($Y$343&gt;1,"",IF(OR($W$343="invalid_direct",$X$343="inconsistent"),"",IF($W$343="none","",IF(OR($W$343="unresolved",$W$343="blended_only"),"",IF(ISBLANK($U$343),"",IF($U$343&lt;0,"",$V$343))))))</f>
        <v/>
      </c>
      <c r="AI343">
        <f>IF($Y$343&gt;1,"ERROR",IFERROR(IF(OR(AF343="ERROR",AG343="ERROR"),"ERROR",IF(OR(NOT(ISNUMBER(AF343)),NOT(ISNUMBER(AG343))),"UNKNOWN",IF(AF343&lt;=0,"NOT_APPLICABLE",AG343/AF343))),"ERROR"))</f>
        <v/>
      </c>
      <c r="AJ343">
        <f>IF($Y$343&gt;1,"MULTI_COMPONENT_BEP_NOT_SUPPORTED",IF($W$343="invalid_direct","INVALID_ALLOCATION_CONFIGURATION",IF($X$343="inconsistent","INCONSISTENT_FIXED_COST_BASIS",IF(AND($W$343="component",NOT(ISBLANK($U$343)),$U$343&lt;0),"INVALID_NEGATIVE_COST",IF(AF343="ERROR","CALCULATION_ERROR",IF($W$343="blended_only","FIXED_COST_BLENDED_ONLY_NOT_ALLOCATED",IF($W$343="unresolved","UNSUPPORTED_SHARED_COST_ALLOCATION",IF(NOT(ISNUMBER(AF343)),"MISSING_DEPENDENCY",IF(AND($W$343="component",ISBLANK($U$343)),"MISSING_DEPENDENCY",IF(AND(AF343=0,AG343=0),"BREAK_EVEN_UNDEFINED_ZERO_MARGIN_ZERO_FIXED_COST",IF(AF343=0,"BREAK_EVEN_UNDEFINED_ZERO_MARGIN",IF(AF343&lt;0,"BREAK_EVEN_UNDEFINED_NEGATIVE_MARGIN","NONE"))))))))))))</f>
        <v/>
      </c>
      <c r="AK343">
        <f>IF(AND(NOT(ISBLANK($AA$343)),$AA$343&lt;0),"ERROR",IF(AND($AB$343&lt;&gt;"",$AB$343&lt;&gt;"per_month"),"ERROR",IF(OR(ISBLANK($AA$343),$AB$343=""),"UNKNOWN",$AA$343)))</f>
        <v/>
      </c>
      <c r="AL343">
        <f>IF(AND(ISNUMBER(AG343),AH343&lt;&gt;"",AH343&lt;&gt;"per_month"),"ERROR",AG343)</f>
        <v/>
      </c>
      <c r="AM343">
        <f>IF(ISBLANK($AC$343),"none",IF(AND(ISNUMBER($AC$343),$AC$343&gt;0),"valid","invalid"))</f>
        <v/>
      </c>
      <c r="AN343">
        <f>IF(AM343="invalid","ERROR",IF(AND(AM343="valid",$R$343=TRUE,ISNUMBER(AF343)),AF343+$Q$343*(1-1/$AC$343),AF343))</f>
        <v/>
      </c>
      <c r="AO343">
        <f>IF($Z$343="absent","NOT_RUN",IF($Y$343&gt;1,"ERROR",AK343))</f>
        <v/>
      </c>
      <c r="AP343">
        <f>IF(ISNUMBER(AO343),"OK",AO343)</f>
        <v/>
      </c>
      <c r="AQ343">
        <f>IF($Z$343="absent","NOT_RUN",IF($Y$343&gt;1,"ERROR",IFERROR(IF(OR(AK343="ERROR",AD343="ERROR"),"ERROR",IF(OR(NOT(ISNUMBER(AK343)),NOT(ISNUMBER(AD343))),"UNKNOWN",AD343*AK343)),"ERROR")))</f>
        <v/>
      </c>
      <c r="AR343">
        <f>IF(ISNUMBER(AQ343),"OK",AQ343)</f>
        <v/>
      </c>
      <c r="AS343">
        <f>IF($Z$343="absent","NOT_RUN",IF($Y$343&gt;1,"ERROR",IFERROR(IF(OR(AK343="ERROR",AN343="ERROR"),"ERROR",IF(OR(NOT(ISNUMBER(AK343)),NOT(ISNUMBER(AN343))),"UNKNOWN",AN343*AK343)),"ERROR")))</f>
        <v/>
      </c>
      <c r="AT343">
        <f>IF(ISNUMBER(AS343),IF(AND($R$343=TRUE,AM343="none"),"ESTIMATED","OK"),AS343)</f>
        <v/>
      </c>
      <c r="AU343">
        <f>IF($Z$343="absent","NOT_RUN",IF($Y$343&gt;1,"ERROR",IFERROR(IF(OR(AK343="ERROR",AN343="ERROR",AL343="ERROR"),"ERROR",IF(OR(NOT(ISNUMBER(AK343)),NOT(ISNUMBER(AN343)),NOT(ISNUMBER(AL343))),"UNKNOWN",AN343*AK343-AL343)),"ERROR")))</f>
        <v/>
      </c>
      <c r="AV343">
        <f>IF(ISNUMBER(AU343),IF(AND($R$343=TRUE,AM343="none"),"ESTIMATED","OK"),AU343)</f>
        <v/>
      </c>
      <c r="AW343">
        <f>IF($Z$343="absent","NOT_RUN",IF($Y$343&gt;1,"ERROR",IFERROR(IF(OR(AU343="ERROR",AQ343="ERROR"),"ERROR",IF(OR(NOT(ISNUMBER(AU343)),NOT(ISNUMBER(AQ343))),"UNKNOWN",IF(AQ343=0,"NOT_APPLICABLE",AU343/AQ343))),"ERROR")))</f>
        <v/>
      </c>
      <c r="AX343">
        <f>IF(ISNUMBER(AW343),IF(AND($R$343=TRUE,AM343="none"),"ESTIMATED","OK"),AW343)</f>
        <v/>
      </c>
      <c r="AY343">
        <f>IF($Z$343="absent","NOT_RUN",IF($Y$343&gt;1,"ERROR",IFERROR(IF(OR(AN343="ERROR",AL343="ERROR"),"ERROR",IF(OR(NOT(ISNUMBER(AN343)),NOT(ISNUMBER(AL343))),"UNKNOWN",IF(AN343&lt;=0,"NOT_APPLICABLE",AL343/AN343))),"ERROR")))</f>
        <v/>
      </c>
      <c r="AZ343">
        <f>IF(ISNUMBER(AY343),IF(AND($R$343=TRUE,AM343="none"),"ESTIMATED","OK"),AY343)</f>
        <v/>
      </c>
      <c r="BA343">
        <f>IF($Z$343="absent","NOT_RUN",IF($Y$343&gt;1,"ERROR",IFERROR(IF(OR(AK343="ERROR",AN343="ERROR",AL343="ERROR"),"ERROR",IF(OR(NOT(ISNUMBER(AK343)),NOT(ISNUMBER(AN343)),NOT(ISNUMBER(AL343))),"UNKNOWN",IF(AN343&lt;=0,"NOT_APPLICABLE",AK343-AY343))),"ERROR")))</f>
        <v/>
      </c>
      <c r="BB343">
        <f>IF(ISNUMBER(BA343),IF(AND($R$343=TRUE,AM343="none"),"ESTIMATED","OK"),BA343)</f>
        <v/>
      </c>
      <c r="BC343">
        <f>IF($Z$343="absent","NOT_RUN",IF($Y$343&gt;1,"ERROR",IFERROR(IF(OR(AK343="ERROR",AN343="ERROR",AL343="ERROR"),"ERROR",IF(OR(NOT(ISNUMBER(AK343)),NOT(ISNUMBER(AN343)),NOT(ISNUMBER(AL343))),"UNKNOWN",IF(OR(AN343&lt;=0,AK343=0),"NOT_APPLICABLE",(AK343-AY343)/AK343))),"ERROR")))</f>
        <v/>
      </c>
      <c r="BD343">
        <f>IF(ISNUMBER(BC343),IF(AND($R$343=TRUE,AM343="none"),"ESTIMATED","OK"),BC343)</f>
        <v/>
      </c>
      <c r="BE343">
        <f>IF($Z$343="absent","NOT_RUN",IF(OR(AP343="ERROR",AR343="ERROR",AT343="ERROR",AV343="ERROR",AX343="ERROR",AZ343="ERROR",BB343="ERROR",BD343="ERROR"),"ERROR",IF(OR(AP343="UNKNOWN",AR343="UNKNOWN",AT343="UNKNOWN",AV343="UNKNOWN",AX343="UNKNOWN",AZ343="UNKNOWN",BB343="UNKNOWN",BD343="UNKNOWN"),"INCOMPLETE","OK")))</f>
        <v/>
      </c>
      <c r="BF343">
        <f>IF($Z$343="absent","",AH343)</f>
        <v/>
      </c>
    </row>
    <row r="344">
      <c r="B344" s="8" t="inlineStr">
        <is>
          <t>Total Net Sales ex VAT</t>
        </is>
      </c>
      <c r="C344" s="52">
        <f>AQ343</f>
        <v/>
      </c>
      <c r="D344" s="30" t="inlineStr">
        <is>
          <t>NOT_RUN</t>
        </is>
      </c>
      <c r="E344" s="51">
        <f>IF(ISNUMBER(D344),IF(ISNUMBER(AQ343),ABS(AQ343-D344),"N/A"),"N/A")</f>
        <v/>
      </c>
      <c r="F344" s="15">
        <f>IFERROR(IF(ISNUMBER(D344),IF(ISNUMBER(AQ343),IF(ABS(AQ343-D344)&lt;=0.01,"PASS","FAIL"),"FAIL"),IF(NOT(ISNUMBER(AQ343)),IF(AQ343=D344,"PASS","FAIL"),"FAIL")),"FAIL")</f>
        <v/>
      </c>
      <c r="G344" s="16">
        <f>AR343</f>
        <v/>
      </c>
      <c r="H344" s="30" t="inlineStr">
        <is>
          <t>NOT_RUN</t>
        </is>
      </c>
      <c r="I344" s="15">
        <f>IF(AR343=H344,"PASS","FAIL")</f>
        <v/>
      </c>
    </row>
    <row r="345">
      <c r="B345" s="8" t="inlineStr">
        <is>
          <t>Total Contribution Margin</t>
        </is>
      </c>
      <c r="C345" s="52">
        <f>AS343</f>
        <v/>
      </c>
      <c r="D345" s="30" t="inlineStr">
        <is>
          <t>NOT_RUN</t>
        </is>
      </c>
      <c r="E345" s="51">
        <f>IF(ISNUMBER(D345),IF(ISNUMBER(AS343),ABS(AS343-D345),"N/A"),"N/A")</f>
        <v/>
      </c>
      <c r="F345" s="15">
        <f>IFERROR(IF(ISNUMBER(D345),IF(ISNUMBER(AS343),IF(ABS(AS343-D345)&lt;=0.01,"PASS","FAIL"),"FAIL"),IF(NOT(ISNUMBER(AS343)),IF(AS343=D345,"PASS","FAIL"),"FAIL")),"FAIL")</f>
        <v/>
      </c>
      <c r="G345" s="16">
        <f>AT343</f>
        <v/>
      </c>
      <c r="H345" s="30" t="inlineStr">
        <is>
          <t>NOT_RUN</t>
        </is>
      </c>
      <c r="I345" s="15">
        <f>IF(AT343=H345,"PASS","FAIL")</f>
        <v/>
      </c>
    </row>
    <row r="346">
      <c r="B346" s="8" t="inlineStr">
        <is>
          <t>Operating Profit</t>
        </is>
      </c>
      <c r="C346" s="52">
        <f>AU343</f>
        <v/>
      </c>
      <c r="D346" s="30" t="inlineStr">
        <is>
          <t>NOT_RUN</t>
        </is>
      </c>
      <c r="E346" s="51">
        <f>IF(ISNUMBER(D346),IF(ISNUMBER(AU343),ABS(AU343-D346),"N/A"),"N/A")</f>
        <v/>
      </c>
      <c r="F346" s="15">
        <f>IFERROR(IF(ISNUMBER(D346),IF(ISNUMBER(AU343),IF(ABS(AU343-D346)&lt;=0.01,"PASS","FAIL"),"FAIL"),IF(NOT(ISNUMBER(AU343)),IF(AU343=D346,"PASS","FAIL"),"FAIL")),"FAIL")</f>
        <v/>
      </c>
      <c r="G346" s="16">
        <f>AV343</f>
        <v/>
      </c>
      <c r="H346" s="30" t="inlineStr">
        <is>
          <t>NOT_RUN</t>
        </is>
      </c>
      <c r="I346" s="15">
        <f>IF(AV343=H346,"PASS","FAIL")</f>
        <v/>
      </c>
    </row>
    <row r="347">
      <c r="B347" s="8" t="inlineStr">
        <is>
          <t>Operating Profit Rate</t>
        </is>
      </c>
      <c r="C347" s="54">
        <f>AW343</f>
        <v/>
      </c>
      <c r="D347" s="30" t="inlineStr">
        <is>
          <t>NOT_RUN</t>
        </is>
      </c>
      <c r="E347" s="51">
        <f>IF(ISNUMBER(D347),IF(ISNUMBER(AW343),ABS(AW343-D347),"N/A"),"N/A")</f>
        <v/>
      </c>
      <c r="F347" s="15">
        <f>IFERROR(IF(ISNUMBER(D347),IF(ISNUMBER(AW343),IF(ABS(AW343-D347)&lt;=1e-06,"PASS","FAIL"),"FAIL"),IF(NOT(ISNUMBER(AW343)),IF(AW343=D347,"PASS","FAIL"),"FAIL")),"FAIL")</f>
        <v/>
      </c>
      <c r="G347" s="16">
        <f>AX343</f>
        <v/>
      </c>
      <c r="H347" s="30" t="inlineStr">
        <is>
          <t>NOT_RUN</t>
        </is>
      </c>
      <c r="I347" s="15">
        <f>IF(AX343=H347,"PASS","FAIL")</f>
        <v/>
      </c>
    </row>
    <row r="348">
      <c r="B348" s="8" t="inlineStr">
        <is>
          <t>Break-Even Quantity (Q_BEP)</t>
        </is>
      </c>
      <c r="C348" s="25">
        <f>AY343</f>
        <v/>
      </c>
      <c r="D348" s="30" t="inlineStr">
        <is>
          <t>NOT_RUN</t>
        </is>
      </c>
      <c r="E348" s="51">
        <f>IF(ISNUMBER(D348),IF(ISNUMBER(AY343),ABS(AY343-D348),"N/A"),"N/A")</f>
        <v/>
      </c>
      <c r="F348" s="15">
        <f>IFERROR(IF(ISNUMBER(D348),IF(ISNUMBER(AY343),IF(ABS(AY343-D348)&lt;=0.01,"PASS","FAIL"),"FAIL"),IF(NOT(ISNUMBER(AY343)),IF(AY343=D348,"PASS","FAIL"),"FAIL")),"FAIL")</f>
        <v/>
      </c>
      <c r="G348" s="16">
        <f>AZ343</f>
        <v/>
      </c>
      <c r="H348" s="30" t="inlineStr">
        <is>
          <t>NOT_RUN</t>
        </is>
      </c>
      <c r="I348" s="15">
        <f>IF(AZ343=H348,"PASS","FAIL")</f>
        <v/>
      </c>
    </row>
    <row r="349">
      <c r="B349" s="8" t="inlineStr">
        <is>
          <t>Margin of Safety Quantity</t>
        </is>
      </c>
      <c r="C349" s="25">
        <f>BA343</f>
        <v/>
      </c>
      <c r="D349" s="30" t="inlineStr">
        <is>
          <t>NOT_RUN</t>
        </is>
      </c>
      <c r="E349" s="51">
        <f>IF(ISNUMBER(D349),IF(ISNUMBER(BA343),ABS(BA343-D349),"N/A"),"N/A")</f>
        <v/>
      </c>
      <c r="F349" s="15">
        <f>IFERROR(IF(ISNUMBER(D349),IF(ISNUMBER(BA343),IF(ABS(BA343-D349)&lt;=0.01,"PASS","FAIL"),"FAIL"),IF(NOT(ISNUMBER(BA343)),IF(BA343=D349,"PASS","FAIL"),"FAIL")),"FAIL")</f>
        <v/>
      </c>
      <c r="G349" s="16">
        <f>BB343</f>
        <v/>
      </c>
      <c r="H349" s="30" t="inlineStr">
        <is>
          <t>NOT_RUN</t>
        </is>
      </c>
      <c r="I349" s="15">
        <f>IF(BB343=H349,"PASS","FAIL")</f>
        <v/>
      </c>
    </row>
    <row r="350">
      <c r="B350" s="8" t="inlineStr">
        <is>
          <t>Margin of Safety Rate</t>
        </is>
      </c>
      <c r="C350" s="54">
        <f>BC343</f>
        <v/>
      </c>
      <c r="D350" s="30" t="inlineStr">
        <is>
          <t>NOT_RUN</t>
        </is>
      </c>
      <c r="E350" s="51">
        <f>IF(ISNUMBER(D350),IF(ISNUMBER(BC343),ABS(BC343-D350),"N/A"),"N/A")</f>
        <v/>
      </c>
      <c r="F350" s="15">
        <f>IFERROR(IF(ISNUMBER(D350),IF(ISNUMBER(BC343),IF(ABS(BC343-D350)&lt;=1e-06,"PASS","FAIL"),"FAIL"),IF(NOT(ISNUMBER(BC343)),IF(BC343=D350,"PASS","FAIL"),"FAIL")),"FAIL")</f>
        <v/>
      </c>
      <c r="G350" s="16">
        <f>BD343</f>
        <v/>
      </c>
      <c r="H350" s="30" t="inlineStr">
        <is>
          <t>NOT_RUN</t>
        </is>
      </c>
      <c r="I350" s="15">
        <f>IF(BD343=H350,"PASS","FAIL")</f>
        <v/>
      </c>
    </row>
    <row r="351">
      <c r="B351" s="8" t="inlineStr">
        <is>
          <t>Module Status</t>
        </is>
      </c>
      <c r="C351" s="16">
        <f>BE343</f>
        <v/>
      </c>
      <c r="D351" s="30" t="inlineStr">
        <is>
          <t>NOT_RUN</t>
        </is>
      </c>
      <c r="F351" s="15">
        <f>IF(BE343=D351,"PASS","FAIL")</f>
        <v/>
      </c>
    </row>
    <row r="352">
      <c r="B352" s="8" t="inlineStr">
        <is>
          <t>Analysis Period Basis</t>
        </is>
      </c>
      <c r="C352" s="16">
        <f>BF343</f>
        <v/>
      </c>
      <c r="D352" s="30" t="inlineStr"/>
      <c r="F352" s="15">
        <f>IF(BF343=D352,"PASS","FAIL")</f>
        <v/>
      </c>
    </row>
    <row r="353">
      <c r="B353" s="8" t="inlineStr">
        <is>
          <t>Self-Check: |MoS qty × CMu − Operating Profit| ≤ tol</t>
        </is>
      </c>
      <c r="C353" s="36">
        <f>IF(OR(NOT(ISNUMBER(BA343)),NOT(ISNUMBER(AN343)),NOT(ISNUMBER(AU343))),"SKIP",IF(ABS(BA343*AN343-AU343)&lt;=0.01,"PASS","FAIL"))</f>
        <v/>
      </c>
      <c r="D353" s="34" t="n"/>
      <c r="F353" s="15">
        <f>IF(C353="FAIL","FAIL","PASS")</f>
        <v/>
      </c>
    </row>
    <row r="355" ht="20" customHeight="1">
      <c r="B355" s="2" t="inlineStr">
        <is>
          <t>V26. Multi-component -&gt; ERROR gate</t>
        </is>
      </c>
      <c r="C355" s="7" t="n"/>
      <c r="D355" s="7" t="n"/>
      <c r="E355" s="7" t="n"/>
      <c r="F355" s="7" t="n"/>
      <c r="G355" s="7" t="n"/>
      <c r="H355" s="7" t="n"/>
      <c r="I355" s="7" t="n"/>
    </row>
    <row r="356">
      <c r="B356" s="4" t="inlineStr">
        <is>
          <t>Metric</t>
        </is>
      </c>
      <c r="C356" s="4" t="inlineStr">
        <is>
          <t>Excel Result</t>
        </is>
      </c>
      <c r="D356" s="4" t="inlineStr">
        <is>
          <t>Python Reference</t>
        </is>
      </c>
      <c r="E356" s="4" t="inlineStr">
        <is>
          <t>Difference</t>
        </is>
      </c>
      <c r="F356" s="4" t="inlineStr">
        <is>
          <t>PASS / FAIL</t>
        </is>
      </c>
      <c r="G356" s="4" t="inlineStr">
        <is>
          <t>Excel Status</t>
        </is>
      </c>
      <c r="H356" s="4" t="inlineStr">
        <is>
          <t>Python Status</t>
        </is>
      </c>
      <c r="I356" s="4" t="inlineStr">
        <is>
          <t>Status PASS</t>
        </is>
      </c>
    </row>
    <row r="357">
      <c r="B357" s="8" t="inlineStr">
        <is>
          <t>Planned Quantity (units)</t>
        </is>
      </c>
      <c r="C357" s="25">
        <f>AO357</f>
        <v/>
      </c>
      <c r="D357" s="30" t="inlineStr">
        <is>
          <t>ERROR</t>
        </is>
      </c>
      <c r="E357" s="51">
        <f>IF(ISNUMBER(D357),IF(ISNUMBER(AO357),ABS(AO357-D357),"N/A"),"N/A")</f>
        <v/>
      </c>
      <c r="F357" s="15">
        <f>IFERROR(IF(ISNUMBER(D357),IF(ISNUMBER(AO357),IF(ABS(AO357-D357)&lt;=0.01,"PASS","FAIL"),"FAIL"),IF(NOT(ISNUMBER(AO357)),IF(AO357=D357,"PASS","FAIL"),"FAIL")),"FAIL")</f>
        <v/>
      </c>
      <c r="G357" s="16">
        <f>AP357</f>
        <v/>
      </c>
      <c r="H357" s="30" t="inlineStr">
        <is>
          <t>ERROR</t>
        </is>
      </c>
      <c r="I357" s="15">
        <f>IF(AP357=H357,"PASS","FAIL")</f>
        <v/>
      </c>
      <c r="M357" t="n">
        <v>35000</v>
      </c>
      <c r="N357" t="b">
        <v>1</v>
      </c>
      <c r="O357" t="n">
        <v>0.1</v>
      </c>
      <c r="P357" t="n">
        <v>13500</v>
      </c>
      <c r="Q357" t="n">
        <v>3000</v>
      </c>
      <c r="R357" t="b">
        <v>0</v>
      </c>
      <c r="S357" t="n">
        <v>0</v>
      </c>
      <c r="T357" t="n">
        <v>0.025</v>
      </c>
      <c r="U357" t="n">
        <v>2000000</v>
      </c>
      <c r="V357" t="inlineStr">
        <is>
          <t>per_month</t>
        </is>
      </c>
      <c r="W357" t="inlineStr">
        <is>
          <t>component</t>
        </is>
      </c>
      <c r="X357" t="inlineStr">
        <is>
          <t>consistent</t>
        </is>
      </c>
      <c r="Y357" t="n">
        <v>2</v>
      </c>
      <c r="Z357" t="inlineStr">
        <is>
          <t>present</t>
        </is>
      </c>
      <c r="AA357" t="n">
        <v>200</v>
      </c>
      <c r="AB357" t="inlineStr">
        <is>
          <t>per_month</t>
        </is>
      </c>
      <c r="AD357">
        <f>IFERROR(IF(ISBLANK($M$357),"UNKNOWN",IF(ISBLANK($N$357),"UNKNOWN",IF($N$357=FALSE,$M$357,IF(ISBLANK($O$357),"UNKNOWN",$M$357/(1+$O$357))))),"ERROR")</f>
        <v/>
      </c>
      <c r="AE357">
        <f>IFERROR(IF(ISBLANK($M$357),"UNKNOWN",IF(ISBLANK($N$357),"UNKNOWN",IF($N$357=TRUE,$M$357,IF(ISBLANK($O$357),"UNKNOWN",$M$357*(1+$O$357))))),"ERROR")</f>
        <v/>
      </c>
      <c r="AF357">
        <f>IF($Y$357&gt;1,"ERROR",IFERROR(IF(AD357="ERROR","ERROR",IF(OR(NOT(ISNUMBER(AD357)),ISBLANK($P$357),ISBLANK($Q$357),ISBLANK($S$357),ISBLANK($T$357)),"UNKNOWN",IF($T$357&gt;0,IF(AE357="ERROR","ERROR",IF(NOT(ISNUMBER(AE357)),"UNKNOWN",AD357-$P$357-$Q$357-$S$357*AD357-$T$357*AE357)),AD357-$P$357-$Q$357-$S$357*AD357))),"ERROR"))</f>
        <v/>
      </c>
      <c r="AG357">
        <f>IF($Y$357&gt;1,"ERROR",IFERROR(IF($W$357="invalid_direct","ERROR",IF($X$357="inconsistent","ERROR",IF($W$357="none",0,IF(OR($W$357="unresolved",$W$357="blended_only"),"UNKNOWN",IF(ISBLANK($U$357),"UNKNOWN",IF($U$357&lt;0,"ERROR",$U$357)))))),"ERROR"))</f>
        <v/>
      </c>
      <c r="AH357">
        <f>IF($Y$357&gt;1,"",IF(OR($W$357="invalid_direct",$X$357="inconsistent"),"",IF($W$357="none","",IF(OR($W$357="unresolved",$W$357="blended_only"),"",IF(ISBLANK($U$357),"",IF($U$357&lt;0,"",$V$357))))))</f>
        <v/>
      </c>
      <c r="AI357">
        <f>IF($Y$357&gt;1,"ERROR",IFERROR(IF(OR(AF357="ERROR",AG357="ERROR"),"ERROR",IF(OR(NOT(ISNUMBER(AF357)),NOT(ISNUMBER(AG357))),"UNKNOWN",IF(AF357&lt;=0,"NOT_APPLICABLE",AG357/AF357))),"ERROR"))</f>
        <v/>
      </c>
      <c r="AJ357">
        <f>IF($Y$357&gt;1,"MULTI_COMPONENT_BEP_NOT_SUPPORTED",IF($W$357="invalid_direct","INVALID_ALLOCATION_CONFIGURATION",IF($X$357="inconsistent","INCONSISTENT_FIXED_COST_BASIS",IF(AND($W$357="component",NOT(ISBLANK($U$357)),$U$357&lt;0),"INVALID_NEGATIVE_COST",IF(AF357="ERROR","CALCULATION_ERROR",IF($W$357="blended_only","FIXED_COST_BLENDED_ONLY_NOT_ALLOCATED",IF($W$357="unresolved","UNSUPPORTED_SHARED_COST_ALLOCATION",IF(NOT(ISNUMBER(AF357)),"MISSING_DEPENDENCY",IF(AND($W$357="component",ISBLANK($U$357)),"MISSING_DEPENDENCY",IF(AND(AF357=0,AG357=0),"BREAK_EVEN_UNDEFINED_ZERO_MARGIN_ZERO_FIXED_COST",IF(AF357=0,"BREAK_EVEN_UNDEFINED_ZERO_MARGIN",IF(AF357&lt;0,"BREAK_EVEN_UNDEFINED_NEGATIVE_MARGIN","NONE"))))))))))))</f>
        <v/>
      </c>
      <c r="AK357">
        <f>IF(AND(NOT(ISBLANK($AA$357)),$AA$357&lt;0),"ERROR",IF(AND($AB$357&lt;&gt;"",$AB$357&lt;&gt;"per_month"),"ERROR",IF(OR(ISBLANK($AA$357),$AB$357=""),"UNKNOWN",$AA$357)))</f>
        <v/>
      </c>
      <c r="AL357">
        <f>IF(AND(ISNUMBER(AG357),AH357&lt;&gt;"",AH357&lt;&gt;"per_month"),"ERROR",AG357)</f>
        <v/>
      </c>
      <c r="AM357">
        <f>IF(ISBLANK($AC$357),"none",IF(AND(ISNUMBER($AC$357),$AC$357&gt;0),"valid","invalid"))</f>
        <v/>
      </c>
      <c r="AN357">
        <f>IF(AM357="invalid","ERROR",IF(AND(AM357="valid",$R$357=TRUE,ISNUMBER(AF357)),AF357+$Q$357*(1-1/$AC$357),AF357))</f>
        <v/>
      </c>
      <c r="AO357">
        <f>IF($Z$357="absent","NOT_RUN",IF($Y$357&gt;1,"ERROR",AK357))</f>
        <v/>
      </c>
      <c r="AP357">
        <f>IF(ISNUMBER(AO357),"OK",AO357)</f>
        <v/>
      </c>
      <c r="AQ357">
        <f>IF($Z$357="absent","NOT_RUN",IF($Y$357&gt;1,"ERROR",IFERROR(IF(OR(AK357="ERROR",AD357="ERROR"),"ERROR",IF(OR(NOT(ISNUMBER(AK357)),NOT(ISNUMBER(AD357))),"UNKNOWN",AD357*AK357)),"ERROR")))</f>
        <v/>
      </c>
      <c r="AR357">
        <f>IF(ISNUMBER(AQ357),"OK",AQ357)</f>
        <v/>
      </c>
      <c r="AS357">
        <f>IF($Z$357="absent","NOT_RUN",IF($Y$357&gt;1,"ERROR",IFERROR(IF(OR(AK357="ERROR",AN357="ERROR"),"ERROR",IF(OR(NOT(ISNUMBER(AK357)),NOT(ISNUMBER(AN357))),"UNKNOWN",AN357*AK357)),"ERROR")))</f>
        <v/>
      </c>
      <c r="AT357">
        <f>IF(ISNUMBER(AS357),IF(AND($R$357=TRUE,AM357="none"),"ESTIMATED","OK"),AS357)</f>
        <v/>
      </c>
      <c r="AU357">
        <f>IF($Z$357="absent","NOT_RUN",IF($Y$357&gt;1,"ERROR",IFERROR(IF(OR(AK357="ERROR",AN357="ERROR",AL357="ERROR"),"ERROR",IF(OR(NOT(ISNUMBER(AK357)),NOT(ISNUMBER(AN357)),NOT(ISNUMBER(AL357))),"UNKNOWN",AN357*AK357-AL357)),"ERROR")))</f>
        <v/>
      </c>
      <c r="AV357">
        <f>IF(ISNUMBER(AU357),IF(AND($R$357=TRUE,AM357="none"),"ESTIMATED","OK"),AU357)</f>
        <v/>
      </c>
      <c r="AW357">
        <f>IF($Z$357="absent","NOT_RUN",IF($Y$357&gt;1,"ERROR",IFERROR(IF(OR(AU357="ERROR",AQ357="ERROR"),"ERROR",IF(OR(NOT(ISNUMBER(AU357)),NOT(ISNUMBER(AQ357))),"UNKNOWN",IF(AQ357=0,"NOT_APPLICABLE",AU357/AQ357))),"ERROR")))</f>
        <v/>
      </c>
      <c r="AX357">
        <f>IF(ISNUMBER(AW357),IF(AND($R$357=TRUE,AM357="none"),"ESTIMATED","OK"),AW357)</f>
        <v/>
      </c>
      <c r="AY357">
        <f>IF($Z$357="absent","NOT_RUN",IF($Y$357&gt;1,"ERROR",IFERROR(IF(OR(AN357="ERROR",AL357="ERROR"),"ERROR",IF(OR(NOT(ISNUMBER(AN357)),NOT(ISNUMBER(AL357))),"UNKNOWN",IF(AN357&lt;=0,"NOT_APPLICABLE",AL357/AN357))),"ERROR")))</f>
        <v/>
      </c>
      <c r="AZ357">
        <f>IF(ISNUMBER(AY357),IF(AND($R$357=TRUE,AM357="none"),"ESTIMATED","OK"),AY357)</f>
        <v/>
      </c>
      <c r="BA357">
        <f>IF($Z$357="absent","NOT_RUN",IF($Y$357&gt;1,"ERROR",IFERROR(IF(OR(AK357="ERROR",AN357="ERROR",AL357="ERROR"),"ERROR",IF(OR(NOT(ISNUMBER(AK357)),NOT(ISNUMBER(AN357)),NOT(ISNUMBER(AL357))),"UNKNOWN",IF(AN357&lt;=0,"NOT_APPLICABLE",AK357-AY357))),"ERROR")))</f>
        <v/>
      </c>
      <c r="BB357">
        <f>IF(ISNUMBER(BA357),IF(AND($R$357=TRUE,AM357="none"),"ESTIMATED","OK"),BA357)</f>
        <v/>
      </c>
      <c r="BC357">
        <f>IF($Z$357="absent","NOT_RUN",IF($Y$357&gt;1,"ERROR",IFERROR(IF(OR(AK357="ERROR",AN357="ERROR",AL357="ERROR"),"ERROR",IF(OR(NOT(ISNUMBER(AK357)),NOT(ISNUMBER(AN357)),NOT(ISNUMBER(AL357))),"UNKNOWN",IF(OR(AN357&lt;=0,AK357=0),"NOT_APPLICABLE",(AK357-AY357)/AK357))),"ERROR")))</f>
        <v/>
      </c>
      <c r="BD357">
        <f>IF(ISNUMBER(BC357),IF(AND($R$357=TRUE,AM357="none"),"ESTIMATED","OK"),BC357)</f>
        <v/>
      </c>
      <c r="BE357">
        <f>IF($Z$357="absent","NOT_RUN",IF(OR(AP357="ERROR",AR357="ERROR",AT357="ERROR",AV357="ERROR",AX357="ERROR",AZ357="ERROR",BB357="ERROR",BD357="ERROR"),"ERROR",IF(OR(AP357="UNKNOWN",AR357="UNKNOWN",AT357="UNKNOWN",AV357="UNKNOWN",AX357="UNKNOWN",AZ357="UNKNOWN",BB357="UNKNOWN",BD357="UNKNOWN"),"INCOMPLETE","OK")))</f>
        <v/>
      </c>
      <c r="BF357">
        <f>IF($Z$357="absent","",AH357)</f>
        <v/>
      </c>
    </row>
    <row r="358">
      <c r="B358" s="8" t="inlineStr">
        <is>
          <t>Total Net Sales ex VAT</t>
        </is>
      </c>
      <c r="C358" s="52">
        <f>AQ357</f>
        <v/>
      </c>
      <c r="D358" s="30" t="inlineStr">
        <is>
          <t>ERROR</t>
        </is>
      </c>
      <c r="E358" s="51">
        <f>IF(ISNUMBER(D358),IF(ISNUMBER(AQ357),ABS(AQ357-D358),"N/A"),"N/A")</f>
        <v/>
      </c>
      <c r="F358" s="15">
        <f>IFERROR(IF(ISNUMBER(D358),IF(ISNUMBER(AQ357),IF(ABS(AQ357-D358)&lt;=0.01,"PASS","FAIL"),"FAIL"),IF(NOT(ISNUMBER(AQ357)),IF(AQ357=D358,"PASS","FAIL"),"FAIL")),"FAIL")</f>
        <v/>
      </c>
      <c r="G358" s="16">
        <f>AR357</f>
        <v/>
      </c>
      <c r="H358" s="30" t="inlineStr">
        <is>
          <t>ERROR</t>
        </is>
      </c>
      <c r="I358" s="15">
        <f>IF(AR357=H358,"PASS","FAIL")</f>
        <v/>
      </c>
    </row>
    <row r="359">
      <c r="B359" s="8" t="inlineStr">
        <is>
          <t>Total Contribution Margin</t>
        </is>
      </c>
      <c r="C359" s="52">
        <f>AS357</f>
        <v/>
      </c>
      <c r="D359" s="30" t="inlineStr">
        <is>
          <t>ERROR</t>
        </is>
      </c>
      <c r="E359" s="51">
        <f>IF(ISNUMBER(D359),IF(ISNUMBER(AS357),ABS(AS357-D359),"N/A"),"N/A")</f>
        <v/>
      </c>
      <c r="F359" s="15">
        <f>IFERROR(IF(ISNUMBER(D359),IF(ISNUMBER(AS357),IF(ABS(AS357-D359)&lt;=0.01,"PASS","FAIL"),"FAIL"),IF(NOT(ISNUMBER(AS357)),IF(AS357=D359,"PASS","FAIL"),"FAIL")),"FAIL")</f>
        <v/>
      </c>
      <c r="G359" s="16">
        <f>AT357</f>
        <v/>
      </c>
      <c r="H359" s="30" t="inlineStr">
        <is>
          <t>ERROR</t>
        </is>
      </c>
      <c r="I359" s="15">
        <f>IF(AT357=H359,"PASS","FAIL")</f>
        <v/>
      </c>
    </row>
    <row r="360">
      <c r="B360" s="8" t="inlineStr">
        <is>
          <t>Operating Profit</t>
        </is>
      </c>
      <c r="C360" s="52">
        <f>AU357</f>
        <v/>
      </c>
      <c r="D360" s="30" t="inlineStr">
        <is>
          <t>ERROR</t>
        </is>
      </c>
      <c r="E360" s="51">
        <f>IF(ISNUMBER(D360),IF(ISNUMBER(AU357),ABS(AU357-D360),"N/A"),"N/A")</f>
        <v/>
      </c>
      <c r="F360" s="15">
        <f>IFERROR(IF(ISNUMBER(D360),IF(ISNUMBER(AU357),IF(ABS(AU357-D360)&lt;=0.01,"PASS","FAIL"),"FAIL"),IF(NOT(ISNUMBER(AU357)),IF(AU357=D360,"PASS","FAIL"),"FAIL")),"FAIL")</f>
        <v/>
      </c>
      <c r="G360" s="16">
        <f>AV357</f>
        <v/>
      </c>
      <c r="H360" s="30" t="inlineStr">
        <is>
          <t>ERROR</t>
        </is>
      </c>
      <c r="I360" s="15">
        <f>IF(AV357=H360,"PASS","FAIL")</f>
        <v/>
      </c>
    </row>
    <row r="361">
      <c r="B361" s="8" t="inlineStr">
        <is>
          <t>Operating Profit Rate</t>
        </is>
      </c>
      <c r="C361" s="54">
        <f>AW357</f>
        <v/>
      </c>
      <c r="D361" s="30" t="inlineStr">
        <is>
          <t>ERROR</t>
        </is>
      </c>
      <c r="E361" s="51">
        <f>IF(ISNUMBER(D361),IF(ISNUMBER(AW357),ABS(AW357-D361),"N/A"),"N/A")</f>
        <v/>
      </c>
      <c r="F361" s="15">
        <f>IFERROR(IF(ISNUMBER(D361),IF(ISNUMBER(AW357),IF(ABS(AW357-D361)&lt;=1e-06,"PASS","FAIL"),"FAIL"),IF(NOT(ISNUMBER(AW357)),IF(AW357=D361,"PASS","FAIL"),"FAIL")),"FAIL")</f>
        <v/>
      </c>
      <c r="G361" s="16">
        <f>AX357</f>
        <v/>
      </c>
      <c r="H361" s="30" t="inlineStr">
        <is>
          <t>ERROR</t>
        </is>
      </c>
      <c r="I361" s="15">
        <f>IF(AX357=H361,"PASS","FAIL")</f>
        <v/>
      </c>
    </row>
    <row r="362">
      <c r="B362" s="8" t="inlineStr">
        <is>
          <t>Break-Even Quantity (Q_BEP)</t>
        </is>
      </c>
      <c r="C362" s="25">
        <f>AY357</f>
        <v/>
      </c>
      <c r="D362" s="30" t="inlineStr">
        <is>
          <t>ERROR</t>
        </is>
      </c>
      <c r="E362" s="51">
        <f>IF(ISNUMBER(D362),IF(ISNUMBER(AY357),ABS(AY357-D362),"N/A"),"N/A")</f>
        <v/>
      </c>
      <c r="F362" s="15">
        <f>IFERROR(IF(ISNUMBER(D362),IF(ISNUMBER(AY357),IF(ABS(AY357-D362)&lt;=0.01,"PASS","FAIL"),"FAIL"),IF(NOT(ISNUMBER(AY357)),IF(AY357=D362,"PASS","FAIL"),"FAIL")),"FAIL")</f>
        <v/>
      </c>
      <c r="G362" s="16">
        <f>AZ357</f>
        <v/>
      </c>
      <c r="H362" s="30" t="inlineStr">
        <is>
          <t>ERROR</t>
        </is>
      </c>
      <c r="I362" s="15">
        <f>IF(AZ357=H362,"PASS","FAIL")</f>
        <v/>
      </c>
    </row>
    <row r="363">
      <c r="B363" s="8" t="inlineStr">
        <is>
          <t>Margin of Safety Quantity</t>
        </is>
      </c>
      <c r="C363" s="25">
        <f>BA357</f>
        <v/>
      </c>
      <c r="D363" s="30" t="inlineStr">
        <is>
          <t>ERROR</t>
        </is>
      </c>
      <c r="E363" s="51">
        <f>IF(ISNUMBER(D363),IF(ISNUMBER(BA357),ABS(BA357-D363),"N/A"),"N/A")</f>
        <v/>
      </c>
      <c r="F363" s="15">
        <f>IFERROR(IF(ISNUMBER(D363),IF(ISNUMBER(BA357),IF(ABS(BA357-D363)&lt;=0.01,"PASS","FAIL"),"FAIL"),IF(NOT(ISNUMBER(BA357)),IF(BA357=D363,"PASS","FAIL"),"FAIL")),"FAIL")</f>
        <v/>
      </c>
      <c r="G363" s="16">
        <f>BB357</f>
        <v/>
      </c>
      <c r="H363" s="30" t="inlineStr">
        <is>
          <t>ERROR</t>
        </is>
      </c>
      <c r="I363" s="15">
        <f>IF(BB357=H363,"PASS","FAIL")</f>
        <v/>
      </c>
    </row>
    <row r="364">
      <c r="B364" s="8" t="inlineStr">
        <is>
          <t>Margin of Safety Rate</t>
        </is>
      </c>
      <c r="C364" s="54">
        <f>BC357</f>
        <v/>
      </c>
      <c r="D364" s="30" t="inlineStr">
        <is>
          <t>ERROR</t>
        </is>
      </c>
      <c r="E364" s="51">
        <f>IF(ISNUMBER(D364),IF(ISNUMBER(BC357),ABS(BC357-D364),"N/A"),"N/A")</f>
        <v/>
      </c>
      <c r="F364" s="15">
        <f>IFERROR(IF(ISNUMBER(D364),IF(ISNUMBER(BC357),IF(ABS(BC357-D364)&lt;=1e-06,"PASS","FAIL"),"FAIL"),IF(NOT(ISNUMBER(BC357)),IF(BC357=D364,"PASS","FAIL"),"FAIL")),"FAIL")</f>
        <v/>
      </c>
      <c r="G364" s="16">
        <f>BD357</f>
        <v/>
      </c>
      <c r="H364" s="30" t="inlineStr">
        <is>
          <t>ERROR</t>
        </is>
      </c>
      <c r="I364" s="15">
        <f>IF(BD357=H364,"PASS","FAIL")</f>
        <v/>
      </c>
    </row>
    <row r="365">
      <c r="B365" s="8" t="inlineStr">
        <is>
          <t>Module Status</t>
        </is>
      </c>
      <c r="C365" s="16">
        <f>BE357</f>
        <v/>
      </c>
      <c r="D365" s="30" t="inlineStr">
        <is>
          <t>ERROR</t>
        </is>
      </c>
      <c r="F365" s="15">
        <f>IF(BE357=D365,"PASS","FAIL")</f>
        <v/>
      </c>
    </row>
    <row r="366">
      <c r="B366" s="8" t="inlineStr">
        <is>
          <t>Analysis Period Basis</t>
        </is>
      </c>
      <c r="C366" s="16">
        <f>BF357</f>
        <v/>
      </c>
      <c r="D366" s="30" t="inlineStr"/>
      <c r="F366" s="15">
        <f>IF(BF357=D366,"PASS","FAIL")</f>
        <v/>
      </c>
    </row>
    <row r="367">
      <c r="B367" s="8" t="inlineStr">
        <is>
          <t>Self-Check: |MoS qty × CMu − Operating Profit| ≤ tol</t>
        </is>
      </c>
      <c r="C367" s="36">
        <f>IF(OR(NOT(ISNUMBER(BA357)),NOT(ISNUMBER(AN357)),NOT(ISNUMBER(AU357))),"SKIP",IF(ABS(BA357*AN357-AU357)&lt;=0.01,"PASS","FAIL"))</f>
        <v/>
      </c>
      <c r="D367" s="34" t="n"/>
      <c r="F367" s="15">
        <f>IF(C367="FAIL","FAIL","PASS")</f>
        <v/>
      </c>
    </row>
    <row r="369" ht="20" customHeight="1">
      <c r="B369" s="2" t="inlineStr">
        <is>
          <t>V27. NOT_RUN gate beats multi-component gate</t>
        </is>
      </c>
      <c r="C369" s="7" t="n"/>
      <c r="D369" s="7" t="n"/>
      <c r="E369" s="7" t="n"/>
      <c r="F369" s="7" t="n"/>
      <c r="G369" s="7" t="n"/>
      <c r="H369" s="7" t="n"/>
      <c r="I369" s="7" t="n"/>
    </row>
    <row r="370">
      <c r="B370" s="4" t="inlineStr">
        <is>
          <t>Metric</t>
        </is>
      </c>
      <c r="C370" s="4" t="inlineStr">
        <is>
          <t>Excel Result</t>
        </is>
      </c>
      <c r="D370" s="4" t="inlineStr">
        <is>
          <t>Python Reference</t>
        </is>
      </c>
      <c r="E370" s="4" t="inlineStr">
        <is>
          <t>Difference</t>
        </is>
      </c>
      <c r="F370" s="4" t="inlineStr">
        <is>
          <t>PASS / FAIL</t>
        </is>
      </c>
      <c r="G370" s="4" t="inlineStr">
        <is>
          <t>Excel Status</t>
        </is>
      </c>
      <c r="H370" s="4" t="inlineStr">
        <is>
          <t>Python Status</t>
        </is>
      </c>
      <c r="I370" s="4" t="inlineStr">
        <is>
          <t>Status PASS</t>
        </is>
      </c>
    </row>
    <row r="371">
      <c r="B371" s="8" t="inlineStr">
        <is>
          <t>Planned Quantity (units)</t>
        </is>
      </c>
      <c r="C371" s="25">
        <f>AO371</f>
        <v/>
      </c>
      <c r="D371" s="30" t="inlineStr">
        <is>
          <t>NOT_RUN</t>
        </is>
      </c>
      <c r="E371" s="51">
        <f>IF(ISNUMBER(D371),IF(ISNUMBER(AO371),ABS(AO371-D371),"N/A"),"N/A")</f>
        <v/>
      </c>
      <c r="F371" s="15">
        <f>IFERROR(IF(ISNUMBER(D371),IF(ISNUMBER(AO371),IF(ABS(AO371-D371)&lt;=0.01,"PASS","FAIL"),"FAIL"),IF(NOT(ISNUMBER(AO371)),IF(AO371=D371,"PASS","FAIL"),"FAIL")),"FAIL")</f>
        <v/>
      </c>
      <c r="G371" s="16">
        <f>AP371</f>
        <v/>
      </c>
      <c r="H371" s="30" t="inlineStr">
        <is>
          <t>NOT_RUN</t>
        </is>
      </c>
      <c r="I371" s="15">
        <f>IF(AP371=H371,"PASS","FAIL")</f>
        <v/>
      </c>
      <c r="M371" t="n">
        <v>35000</v>
      </c>
      <c r="N371" t="b">
        <v>1</v>
      </c>
      <c r="O371" t="n">
        <v>0.1</v>
      </c>
      <c r="P371" t="n">
        <v>13500</v>
      </c>
      <c r="Q371" t="n">
        <v>3000</v>
      </c>
      <c r="R371" t="b">
        <v>0</v>
      </c>
      <c r="S371" t="n">
        <v>0</v>
      </c>
      <c r="T371" t="n">
        <v>0.025</v>
      </c>
      <c r="U371" t="n">
        <v>2000000</v>
      </c>
      <c r="V371" t="inlineStr">
        <is>
          <t>per_month</t>
        </is>
      </c>
      <c r="W371" t="inlineStr">
        <is>
          <t>component</t>
        </is>
      </c>
      <c r="X371" t="inlineStr">
        <is>
          <t>consistent</t>
        </is>
      </c>
      <c r="Y371" t="n">
        <v>2</v>
      </c>
      <c r="Z371" t="inlineStr">
        <is>
          <t>absent</t>
        </is>
      </c>
      <c r="AA371" t="n">
        <v>200</v>
      </c>
      <c r="AB371" t="inlineStr">
        <is>
          <t>per_month</t>
        </is>
      </c>
      <c r="AD371">
        <f>IFERROR(IF(ISBLANK($M$371),"UNKNOWN",IF(ISBLANK($N$371),"UNKNOWN",IF($N$371=FALSE,$M$371,IF(ISBLANK($O$371),"UNKNOWN",$M$371/(1+$O$371))))),"ERROR")</f>
        <v/>
      </c>
      <c r="AE371">
        <f>IFERROR(IF(ISBLANK($M$371),"UNKNOWN",IF(ISBLANK($N$371),"UNKNOWN",IF($N$371=TRUE,$M$371,IF(ISBLANK($O$371),"UNKNOWN",$M$371*(1+$O$371))))),"ERROR")</f>
        <v/>
      </c>
      <c r="AF371">
        <f>IF($Y$371&gt;1,"ERROR",IFERROR(IF(AD371="ERROR","ERROR",IF(OR(NOT(ISNUMBER(AD371)),ISBLANK($P$371),ISBLANK($Q$371),ISBLANK($S$371),ISBLANK($T$371)),"UNKNOWN",IF($T$371&gt;0,IF(AE371="ERROR","ERROR",IF(NOT(ISNUMBER(AE371)),"UNKNOWN",AD371-$P$371-$Q$371-$S$371*AD371-$T$371*AE371)),AD371-$P$371-$Q$371-$S$371*AD371))),"ERROR"))</f>
        <v/>
      </c>
      <c r="AG371">
        <f>IF($Y$371&gt;1,"ERROR",IFERROR(IF($W$371="invalid_direct","ERROR",IF($X$371="inconsistent","ERROR",IF($W$371="none",0,IF(OR($W$371="unresolved",$W$371="blended_only"),"UNKNOWN",IF(ISBLANK($U$371),"UNKNOWN",IF($U$371&lt;0,"ERROR",$U$371)))))),"ERROR"))</f>
        <v/>
      </c>
      <c r="AH371">
        <f>IF($Y$371&gt;1,"",IF(OR($W$371="invalid_direct",$X$371="inconsistent"),"",IF($W$371="none","",IF(OR($W$371="unresolved",$W$371="blended_only"),"",IF(ISBLANK($U$371),"",IF($U$371&lt;0,"",$V$371))))))</f>
        <v/>
      </c>
      <c r="AI371">
        <f>IF($Y$371&gt;1,"ERROR",IFERROR(IF(OR(AF371="ERROR",AG371="ERROR"),"ERROR",IF(OR(NOT(ISNUMBER(AF371)),NOT(ISNUMBER(AG371))),"UNKNOWN",IF(AF371&lt;=0,"NOT_APPLICABLE",AG371/AF371))),"ERROR"))</f>
        <v/>
      </c>
      <c r="AJ371">
        <f>IF($Y$371&gt;1,"MULTI_COMPONENT_BEP_NOT_SUPPORTED",IF($W$371="invalid_direct","INVALID_ALLOCATION_CONFIGURATION",IF($X$371="inconsistent","INCONSISTENT_FIXED_COST_BASIS",IF(AND($W$371="component",NOT(ISBLANK($U$371)),$U$371&lt;0),"INVALID_NEGATIVE_COST",IF(AF371="ERROR","CALCULATION_ERROR",IF($W$371="blended_only","FIXED_COST_BLENDED_ONLY_NOT_ALLOCATED",IF($W$371="unresolved","UNSUPPORTED_SHARED_COST_ALLOCATION",IF(NOT(ISNUMBER(AF371)),"MISSING_DEPENDENCY",IF(AND($W$371="component",ISBLANK($U$371)),"MISSING_DEPENDENCY",IF(AND(AF371=0,AG371=0),"BREAK_EVEN_UNDEFINED_ZERO_MARGIN_ZERO_FIXED_COST",IF(AF371=0,"BREAK_EVEN_UNDEFINED_ZERO_MARGIN",IF(AF371&lt;0,"BREAK_EVEN_UNDEFINED_NEGATIVE_MARGIN","NONE"))))))))))))</f>
        <v/>
      </c>
      <c r="AK371">
        <f>IF(AND(NOT(ISBLANK($AA$371)),$AA$371&lt;0),"ERROR",IF(AND($AB$371&lt;&gt;"",$AB$371&lt;&gt;"per_month"),"ERROR",IF(OR(ISBLANK($AA$371),$AB$371=""),"UNKNOWN",$AA$371)))</f>
        <v/>
      </c>
      <c r="AL371">
        <f>IF(AND(ISNUMBER(AG371),AH371&lt;&gt;"",AH371&lt;&gt;"per_month"),"ERROR",AG371)</f>
        <v/>
      </c>
      <c r="AM371">
        <f>IF(ISBLANK($AC$371),"none",IF(AND(ISNUMBER($AC$371),$AC$371&gt;0),"valid","invalid"))</f>
        <v/>
      </c>
      <c r="AN371">
        <f>IF(AM371="invalid","ERROR",IF(AND(AM371="valid",$R$371=TRUE,ISNUMBER(AF371)),AF371+$Q$371*(1-1/$AC$371),AF371))</f>
        <v/>
      </c>
      <c r="AO371">
        <f>IF($Z$371="absent","NOT_RUN",IF($Y$371&gt;1,"ERROR",AK371))</f>
        <v/>
      </c>
      <c r="AP371">
        <f>IF(ISNUMBER(AO371),"OK",AO371)</f>
        <v/>
      </c>
      <c r="AQ371">
        <f>IF($Z$371="absent","NOT_RUN",IF($Y$371&gt;1,"ERROR",IFERROR(IF(OR(AK371="ERROR",AD371="ERROR"),"ERROR",IF(OR(NOT(ISNUMBER(AK371)),NOT(ISNUMBER(AD371))),"UNKNOWN",AD371*AK371)),"ERROR")))</f>
        <v/>
      </c>
      <c r="AR371">
        <f>IF(ISNUMBER(AQ371),"OK",AQ371)</f>
        <v/>
      </c>
      <c r="AS371">
        <f>IF($Z$371="absent","NOT_RUN",IF($Y$371&gt;1,"ERROR",IFERROR(IF(OR(AK371="ERROR",AN371="ERROR"),"ERROR",IF(OR(NOT(ISNUMBER(AK371)),NOT(ISNUMBER(AN371))),"UNKNOWN",AN371*AK371)),"ERROR")))</f>
        <v/>
      </c>
      <c r="AT371">
        <f>IF(ISNUMBER(AS371),IF(AND($R$371=TRUE,AM371="none"),"ESTIMATED","OK"),AS371)</f>
        <v/>
      </c>
      <c r="AU371">
        <f>IF($Z$371="absent","NOT_RUN",IF($Y$371&gt;1,"ERROR",IFERROR(IF(OR(AK371="ERROR",AN371="ERROR",AL371="ERROR"),"ERROR",IF(OR(NOT(ISNUMBER(AK371)),NOT(ISNUMBER(AN371)),NOT(ISNUMBER(AL371))),"UNKNOWN",AN371*AK371-AL371)),"ERROR")))</f>
        <v/>
      </c>
      <c r="AV371">
        <f>IF(ISNUMBER(AU371),IF(AND($R$371=TRUE,AM371="none"),"ESTIMATED","OK"),AU371)</f>
        <v/>
      </c>
      <c r="AW371">
        <f>IF($Z$371="absent","NOT_RUN",IF($Y$371&gt;1,"ERROR",IFERROR(IF(OR(AU371="ERROR",AQ371="ERROR"),"ERROR",IF(OR(NOT(ISNUMBER(AU371)),NOT(ISNUMBER(AQ371))),"UNKNOWN",IF(AQ371=0,"NOT_APPLICABLE",AU371/AQ371))),"ERROR")))</f>
        <v/>
      </c>
      <c r="AX371">
        <f>IF(ISNUMBER(AW371),IF(AND($R$371=TRUE,AM371="none"),"ESTIMATED","OK"),AW371)</f>
        <v/>
      </c>
      <c r="AY371">
        <f>IF($Z$371="absent","NOT_RUN",IF($Y$371&gt;1,"ERROR",IFERROR(IF(OR(AN371="ERROR",AL371="ERROR"),"ERROR",IF(OR(NOT(ISNUMBER(AN371)),NOT(ISNUMBER(AL371))),"UNKNOWN",IF(AN371&lt;=0,"NOT_APPLICABLE",AL371/AN371))),"ERROR")))</f>
        <v/>
      </c>
      <c r="AZ371">
        <f>IF(ISNUMBER(AY371),IF(AND($R$371=TRUE,AM371="none"),"ESTIMATED","OK"),AY371)</f>
        <v/>
      </c>
      <c r="BA371">
        <f>IF($Z$371="absent","NOT_RUN",IF($Y$371&gt;1,"ERROR",IFERROR(IF(OR(AK371="ERROR",AN371="ERROR",AL371="ERROR"),"ERROR",IF(OR(NOT(ISNUMBER(AK371)),NOT(ISNUMBER(AN371)),NOT(ISNUMBER(AL371))),"UNKNOWN",IF(AN371&lt;=0,"NOT_APPLICABLE",AK371-AY371))),"ERROR")))</f>
        <v/>
      </c>
      <c r="BB371">
        <f>IF(ISNUMBER(BA371),IF(AND($R$371=TRUE,AM371="none"),"ESTIMATED","OK"),BA371)</f>
        <v/>
      </c>
      <c r="BC371">
        <f>IF($Z$371="absent","NOT_RUN",IF($Y$371&gt;1,"ERROR",IFERROR(IF(OR(AK371="ERROR",AN371="ERROR",AL371="ERROR"),"ERROR",IF(OR(NOT(ISNUMBER(AK371)),NOT(ISNUMBER(AN371)),NOT(ISNUMBER(AL371))),"UNKNOWN",IF(OR(AN371&lt;=0,AK371=0),"NOT_APPLICABLE",(AK371-AY371)/AK371))),"ERROR")))</f>
        <v/>
      </c>
      <c r="BD371">
        <f>IF(ISNUMBER(BC371),IF(AND($R$371=TRUE,AM371="none"),"ESTIMATED","OK"),BC371)</f>
        <v/>
      </c>
      <c r="BE371">
        <f>IF($Z$371="absent","NOT_RUN",IF(OR(AP371="ERROR",AR371="ERROR",AT371="ERROR",AV371="ERROR",AX371="ERROR",AZ371="ERROR",BB371="ERROR",BD371="ERROR"),"ERROR",IF(OR(AP371="UNKNOWN",AR371="UNKNOWN",AT371="UNKNOWN",AV371="UNKNOWN",AX371="UNKNOWN",AZ371="UNKNOWN",BB371="UNKNOWN",BD371="UNKNOWN"),"INCOMPLETE","OK")))</f>
        <v/>
      </c>
      <c r="BF371">
        <f>IF($Z$371="absent","",AH371)</f>
        <v/>
      </c>
    </row>
    <row r="372">
      <c r="B372" s="8" t="inlineStr">
        <is>
          <t>Total Net Sales ex VAT</t>
        </is>
      </c>
      <c r="C372" s="52">
        <f>AQ371</f>
        <v/>
      </c>
      <c r="D372" s="30" t="inlineStr">
        <is>
          <t>NOT_RUN</t>
        </is>
      </c>
      <c r="E372" s="51">
        <f>IF(ISNUMBER(D372),IF(ISNUMBER(AQ371),ABS(AQ371-D372),"N/A"),"N/A")</f>
        <v/>
      </c>
      <c r="F372" s="15">
        <f>IFERROR(IF(ISNUMBER(D372),IF(ISNUMBER(AQ371),IF(ABS(AQ371-D372)&lt;=0.01,"PASS","FAIL"),"FAIL"),IF(NOT(ISNUMBER(AQ371)),IF(AQ371=D372,"PASS","FAIL"),"FAIL")),"FAIL")</f>
        <v/>
      </c>
      <c r="G372" s="16">
        <f>AR371</f>
        <v/>
      </c>
      <c r="H372" s="30" t="inlineStr">
        <is>
          <t>NOT_RUN</t>
        </is>
      </c>
      <c r="I372" s="15">
        <f>IF(AR371=H372,"PASS","FAIL")</f>
        <v/>
      </c>
    </row>
    <row r="373">
      <c r="B373" s="8" t="inlineStr">
        <is>
          <t>Total Contribution Margin</t>
        </is>
      </c>
      <c r="C373" s="52">
        <f>AS371</f>
        <v/>
      </c>
      <c r="D373" s="30" t="inlineStr">
        <is>
          <t>NOT_RUN</t>
        </is>
      </c>
      <c r="E373" s="51">
        <f>IF(ISNUMBER(D373),IF(ISNUMBER(AS371),ABS(AS371-D373),"N/A"),"N/A")</f>
        <v/>
      </c>
      <c r="F373" s="15">
        <f>IFERROR(IF(ISNUMBER(D373),IF(ISNUMBER(AS371),IF(ABS(AS371-D373)&lt;=0.01,"PASS","FAIL"),"FAIL"),IF(NOT(ISNUMBER(AS371)),IF(AS371=D373,"PASS","FAIL"),"FAIL")),"FAIL")</f>
        <v/>
      </c>
      <c r="G373" s="16">
        <f>AT371</f>
        <v/>
      </c>
      <c r="H373" s="30" t="inlineStr">
        <is>
          <t>NOT_RUN</t>
        </is>
      </c>
      <c r="I373" s="15">
        <f>IF(AT371=H373,"PASS","FAIL")</f>
        <v/>
      </c>
    </row>
    <row r="374">
      <c r="B374" s="8" t="inlineStr">
        <is>
          <t>Operating Profit</t>
        </is>
      </c>
      <c r="C374" s="52">
        <f>AU371</f>
        <v/>
      </c>
      <c r="D374" s="30" t="inlineStr">
        <is>
          <t>NOT_RUN</t>
        </is>
      </c>
      <c r="E374" s="51">
        <f>IF(ISNUMBER(D374),IF(ISNUMBER(AU371),ABS(AU371-D374),"N/A"),"N/A")</f>
        <v/>
      </c>
      <c r="F374" s="15">
        <f>IFERROR(IF(ISNUMBER(D374),IF(ISNUMBER(AU371),IF(ABS(AU371-D374)&lt;=0.01,"PASS","FAIL"),"FAIL"),IF(NOT(ISNUMBER(AU371)),IF(AU371=D374,"PASS","FAIL"),"FAIL")),"FAIL")</f>
        <v/>
      </c>
      <c r="G374" s="16">
        <f>AV371</f>
        <v/>
      </c>
      <c r="H374" s="30" t="inlineStr">
        <is>
          <t>NOT_RUN</t>
        </is>
      </c>
      <c r="I374" s="15">
        <f>IF(AV371=H374,"PASS","FAIL")</f>
        <v/>
      </c>
    </row>
    <row r="375">
      <c r="B375" s="8" t="inlineStr">
        <is>
          <t>Operating Profit Rate</t>
        </is>
      </c>
      <c r="C375" s="54">
        <f>AW371</f>
        <v/>
      </c>
      <c r="D375" s="30" t="inlineStr">
        <is>
          <t>NOT_RUN</t>
        </is>
      </c>
      <c r="E375" s="51">
        <f>IF(ISNUMBER(D375),IF(ISNUMBER(AW371),ABS(AW371-D375),"N/A"),"N/A")</f>
        <v/>
      </c>
      <c r="F375" s="15">
        <f>IFERROR(IF(ISNUMBER(D375),IF(ISNUMBER(AW371),IF(ABS(AW371-D375)&lt;=1e-06,"PASS","FAIL"),"FAIL"),IF(NOT(ISNUMBER(AW371)),IF(AW371=D375,"PASS","FAIL"),"FAIL")),"FAIL")</f>
        <v/>
      </c>
      <c r="G375" s="16">
        <f>AX371</f>
        <v/>
      </c>
      <c r="H375" s="30" t="inlineStr">
        <is>
          <t>NOT_RUN</t>
        </is>
      </c>
      <c r="I375" s="15">
        <f>IF(AX371=H375,"PASS","FAIL")</f>
        <v/>
      </c>
    </row>
    <row r="376">
      <c r="B376" s="8" t="inlineStr">
        <is>
          <t>Break-Even Quantity (Q_BEP)</t>
        </is>
      </c>
      <c r="C376" s="25">
        <f>AY371</f>
        <v/>
      </c>
      <c r="D376" s="30" t="inlineStr">
        <is>
          <t>NOT_RUN</t>
        </is>
      </c>
      <c r="E376" s="51">
        <f>IF(ISNUMBER(D376),IF(ISNUMBER(AY371),ABS(AY371-D376),"N/A"),"N/A")</f>
        <v/>
      </c>
      <c r="F376" s="15">
        <f>IFERROR(IF(ISNUMBER(D376),IF(ISNUMBER(AY371),IF(ABS(AY371-D376)&lt;=0.01,"PASS","FAIL"),"FAIL"),IF(NOT(ISNUMBER(AY371)),IF(AY371=D376,"PASS","FAIL"),"FAIL")),"FAIL")</f>
        <v/>
      </c>
      <c r="G376" s="16">
        <f>AZ371</f>
        <v/>
      </c>
      <c r="H376" s="30" t="inlineStr">
        <is>
          <t>NOT_RUN</t>
        </is>
      </c>
      <c r="I376" s="15">
        <f>IF(AZ371=H376,"PASS","FAIL")</f>
        <v/>
      </c>
    </row>
    <row r="377">
      <c r="B377" s="8" t="inlineStr">
        <is>
          <t>Margin of Safety Quantity</t>
        </is>
      </c>
      <c r="C377" s="25">
        <f>BA371</f>
        <v/>
      </c>
      <c r="D377" s="30" t="inlineStr">
        <is>
          <t>NOT_RUN</t>
        </is>
      </c>
      <c r="E377" s="51">
        <f>IF(ISNUMBER(D377),IF(ISNUMBER(BA371),ABS(BA371-D377),"N/A"),"N/A")</f>
        <v/>
      </c>
      <c r="F377" s="15">
        <f>IFERROR(IF(ISNUMBER(D377),IF(ISNUMBER(BA371),IF(ABS(BA371-D377)&lt;=0.01,"PASS","FAIL"),"FAIL"),IF(NOT(ISNUMBER(BA371)),IF(BA371=D377,"PASS","FAIL"),"FAIL")),"FAIL")</f>
        <v/>
      </c>
      <c r="G377" s="16">
        <f>BB371</f>
        <v/>
      </c>
      <c r="H377" s="30" t="inlineStr">
        <is>
          <t>NOT_RUN</t>
        </is>
      </c>
      <c r="I377" s="15">
        <f>IF(BB371=H377,"PASS","FAIL")</f>
        <v/>
      </c>
    </row>
    <row r="378">
      <c r="B378" s="8" t="inlineStr">
        <is>
          <t>Margin of Safety Rate</t>
        </is>
      </c>
      <c r="C378" s="54">
        <f>BC371</f>
        <v/>
      </c>
      <c r="D378" s="30" t="inlineStr">
        <is>
          <t>NOT_RUN</t>
        </is>
      </c>
      <c r="E378" s="51">
        <f>IF(ISNUMBER(D378),IF(ISNUMBER(BC371),ABS(BC371-D378),"N/A"),"N/A")</f>
        <v/>
      </c>
      <c r="F378" s="15">
        <f>IFERROR(IF(ISNUMBER(D378),IF(ISNUMBER(BC371),IF(ABS(BC371-D378)&lt;=1e-06,"PASS","FAIL"),"FAIL"),IF(NOT(ISNUMBER(BC371)),IF(BC371=D378,"PASS","FAIL"),"FAIL")),"FAIL")</f>
        <v/>
      </c>
      <c r="G378" s="16">
        <f>BD371</f>
        <v/>
      </c>
      <c r="H378" s="30" t="inlineStr">
        <is>
          <t>NOT_RUN</t>
        </is>
      </c>
      <c r="I378" s="15">
        <f>IF(BD371=H378,"PASS","FAIL")</f>
        <v/>
      </c>
    </row>
    <row r="379">
      <c r="B379" s="8" t="inlineStr">
        <is>
          <t>Module Status</t>
        </is>
      </c>
      <c r="C379" s="16">
        <f>BE371</f>
        <v/>
      </c>
      <c r="D379" s="30" t="inlineStr">
        <is>
          <t>NOT_RUN</t>
        </is>
      </c>
      <c r="F379" s="15">
        <f>IF(BE371=D379,"PASS","FAIL")</f>
        <v/>
      </c>
    </row>
    <row r="380">
      <c r="B380" s="8" t="inlineStr">
        <is>
          <t>Analysis Period Basis</t>
        </is>
      </c>
      <c r="C380" s="16">
        <f>BF371</f>
        <v/>
      </c>
      <c r="D380" s="30" t="inlineStr"/>
      <c r="F380" s="15">
        <f>IF(BF371=D380,"PASS","FAIL")</f>
        <v/>
      </c>
    </row>
    <row r="381">
      <c r="B381" s="8" t="inlineStr">
        <is>
          <t>Self-Check: |MoS qty × CMu − Operating Profit| ≤ tol</t>
        </is>
      </c>
      <c r="C381" s="36">
        <f>IF(OR(NOT(ISNUMBER(BA371)),NOT(ISNUMBER(AN371)),NOT(ISNUMBER(AU371))),"SKIP",IF(ABS(BA371*AN371-AU371)&lt;=0.01,"PASS","FAIL"))</f>
        <v/>
      </c>
      <c r="D381" s="34" t="n"/>
      <c r="F381" s="15">
        <f>IF(C381="FAIL","FAIL","PASS")</f>
        <v/>
      </c>
    </row>
    <row r="383" ht="20" customHeight="1">
      <c r="B383" s="2" t="inlineStr">
        <is>
          <t>V28. per_order + price blank (no ESTIMATED when nothing is computed)</t>
        </is>
      </c>
      <c r="C383" s="7" t="n"/>
      <c r="D383" s="7" t="n"/>
      <c r="E383" s="7" t="n"/>
      <c r="F383" s="7" t="n"/>
      <c r="G383" s="7" t="n"/>
      <c r="H383" s="7" t="n"/>
      <c r="I383" s="7" t="n"/>
    </row>
    <row r="384">
      <c r="B384" s="4" t="inlineStr">
        <is>
          <t>Metric</t>
        </is>
      </c>
      <c r="C384" s="4" t="inlineStr">
        <is>
          <t>Excel Result</t>
        </is>
      </c>
      <c r="D384" s="4" t="inlineStr">
        <is>
          <t>Python Reference</t>
        </is>
      </c>
      <c r="E384" s="4" t="inlineStr">
        <is>
          <t>Difference</t>
        </is>
      </c>
      <c r="F384" s="4" t="inlineStr">
        <is>
          <t>PASS / FAIL</t>
        </is>
      </c>
      <c r="G384" s="4" t="inlineStr">
        <is>
          <t>Excel Status</t>
        </is>
      </c>
      <c r="H384" s="4" t="inlineStr">
        <is>
          <t>Python Status</t>
        </is>
      </c>
      <c r="I384" s="4" t="inlineStr">
        <is>
          <t>Status PASS</t>
        </is>
      </c>
    </row>
    <row r="385">
      <c r="B385" s="8" t="inlineStr">
        <is>
          <t>Planned Quantity (units)</t>
        </is>
      </c>
      <c r="C385" s="25">
        <f>AO385</f>
        <v/>
      </c>
      <c r="D385" s="21" t="n">
        <v>200</v>
      </c>
      <c r="E385" s="51">
        <f>IF(ISNUMBER(D385),IF(ISNUMBER(AO385),ABS(AO385-D385),"N/A"),"N/A")</f>
        <v/>
      </c>
      <c r="F385" s="15">
        <f>IFERROR(IF(ISNUMBER(D385),IF(ISNUMBER(AO385),IF(ABS(AO385-D385)&lt;=0.01,"PASS","FAIL"),"FAIL"),IF(NOT(ISNUMBER(AO385)),IF(AO385=D385,"PASS","FAIL"),"FAIL")),"FAIL")</f>
        <v/>
      </c>
      <c r="G385" s="16">
        <f>AP385</f>
        <v/>
      </c>
      <c r="H385" s="30" t="inlineStr">
        <is>
          <t>OK</t>
        </is>
      </c>
      <c r="I385" s="15">
        <f>IF(AP385=H385,"PASS","FAIL")</f>
        <v/>
      </c>
      <c r="N385" t="b">
        <v>1</v>
      </c>
      <c r="O385" t="n">
        <v>0.1</v>
      </c>
      <c r="P385" t="n">
        <v>13500</v>
      </c>
      <c r="Q385" t="n">
        <v>3000</v>
      </c>
      <c r="R385" t="b">
        <v>1</v>
      </c>
      <c r="S385" t="n">
        <v>0</v>
      </c>
      <c r="T385" t="n">
        <v>0.025</v>
      </c>
      <c r="U385" t="n">
        <v>2000000</v>
      </c>
      <c r="V385" t="inlineStr">
        <is>
          <t>per_month</t>
        </is>
      </c>
      <c r="W385" t="inlineStr">
        <is>
          <t>component</t>
        </is>
      </c>
      <c r="X385" t="inlineStr">
        <is>
          <t>consistent</t>
        </is>
      </c>
      <c r="Y385" t="n">
        <v>1</v>
      </c>
      <c r="Z385" t="inlineStr">
        <is>
          <t>present</t>
        </is>
      </c>
      <c r="AA385" t="n">
        <v>200</v>
      </c>
      <c r="AB385" t="inlineStr">
        <is>
          <t>per_month</t>
        </is>
      </c>
      <c r="AD385">
        <f>IFERROR(IF(ISBLANK($M$385),"UNKNOWN",IF(ISBLANK($N$385),"UNKNOWN",IF($N$385=FALSE,$M$385,IF(ISBLANK($O$385),"UNKNOWN",$M$385/(1+$O$385))))),"ERROR")</f>
        <v/>
      </c>
      <c r="AE385">
        <f>IFERROR(IF(ISBLANK($M$385),"UNKNOWN",IF(ISBLANK($N$385),"UNKNOWN",IF($N$385=TRUE,$M$385,IF(ISBLANK($O$385),"UNKNOWN",$M$385*(1+$O$385))))),"ERROR")</f>
        <v/>
      </c>
      <c r="AF385">
        <f>IF($Y$385&gt;1,"ERROR",IFERROR(IF(AD385="ERROR","ERROR",IF(OR(NOT(ISNUMBER(AD385)),ISBLANK($P$385),ISBLANK($Q$385),ISBLANK($S$385),ISBLANK($T$385)),"UNKNOWN",IF($T$385&gt;0,IF(AE385="ERROR","ERROR",IF(NOT(ISNUMBER(AE385)),"UNKNOWN",AD385-$P$385-$Q$385-$S$385*AD385-$T$385*AE385)),AD385-$P$385-$Q$385-$S$385*AD385))),"ERROR"))</f>
        <v/>
      </c>
      <c r="AG385">
        <f>IF($Y$385&gt;1,"ERROR",IFERROR(IF($W$385="invalid_direct","ERROR",IF($X$385="inconsistent","ERROR",IF($W$385="none",0,IF(OR($W$385="unresolved",$W$385="blended_only"),"UNKNOWN",IF(ISBLANK($U$385),"UNKNOWN",IF($U$385&lt;0,"ERROR",$U$385)))))),"ERROR"))</f>
        <v/>
      </c>
      <c r="AH385">
        <f>IF($Y$385&gt;1,"",IF(OR($W$385="invalid_direct",$X$385="inconsistent"),"",IF($W$385="none","",IF(OR($W$385="unresolved",$W$385="blended_only"),"",IF(ISBLANK($U$385),"",IF($U$385&lt;0,"",$V$385))))))</f>
        <v/>
      </c>
      <c r="AI385">
        <f>IF($Y$385&gt;1,"ERROR",IFERROR(IF(OR(AF385="ERROR",AG385="ERROR"),"ERROR",IF(OR(NOT(ISNUMBER(AF385)),NOT(ISNUMBER(AG385))),"UNKNOWN",IF(AF385&lt;=0,"NOT_APPLICABLE",AG385/AF385))),"ERROR"))</f>
        <v/>
      </c>
      <c r="AJ385">
        <f>IF($Y$385&gt;1,"MULTI_COMPONENT_BEP_NOT_SUPPORTED",IF($W$385="invalid_direct","INVALID_ALLOCATION_CONFIGURATION",IF($X$385="inconsistent","INCONSISTENT_FIXED_COST_BASIS",IF(AND($W$385="component",NOT(ISBLANK($U$385)),$U$385&lt;0),"INVALID_NEGATIVE_COST",IF(AF385="ERROR","CALCULATION_ERROR",IF($W$385="blended_only","FIXED_COST_BLENDED_ONLY_NOT_ALLOCATED",IF($W$385="unresolved","UNSUPPORTED_SHARED_COST_ALLOCATION",IF(NOT(ISNUMBER(AF385)),"MISSING_DEPENDENCY",IF(AND($W$385="component",ISBLANK($U$385)),"MISSING_DEPENDENCY",IF(AND(AF385=0,AG385=0),"BREAK_EVEN_UNDEFINED_ZERO_MARGIN_ZERO_FIXED_COST",IF(AF385=0,"BREAK_EVEN_UNDEFINED_ZERO_MARGIN",IF(AF385&lt;0,"BREAK_EVEN_UNDEFINED_NEGATIVE_MARGIN","NONE"))))))))))))</f>
        <v/>
      </c>
      <c r="AK385">
        <f>IF(AND(NOT(ISBLANK($AA$385)),$AA$385&lt;0),"ERROR",IF(AND($AB$385&lt;&gt;"",$AB$385&lt;&gt;"per_month"),"ERROR",IF(OR(ISBLANK($AA$385),$AB$385=""),"UNKNOWN",$AA$385)))</f>
        <v/>
      </c>
      <c r="AL385">
        <f>IF(AND(ISNUMBER(AG385),AH385&lt;&gt;"",AH385&lt;&gt;"per_month"),"ERROR",AG385)</f>
        <v/>
      </c>
      <c r="AM385">
        <f>IF(ISBLANK($AC$385),"none",IF(AND(ISNUMBER($AC$385),$AC$385&gt;0),"valid","invalid"))</f>
        <v/>
      </c>
      <c r="AN385">
        <f>IF(AM385="invalid","ERROR",IF(AND(AM385="valid",$R$385=TRUE,ISNUMBER(AF385)),AF385+$Q$385*(1-1/$AC$385),AF385))</f>
        <v/>
      </c>
      <c r="AO385">
        <f>IF($Z$385="absent","NOT_RUN",IF($Y$385&gt;1,"ERROR",AK385))</f>
        <v/>
      </c>
      <c r="AP385">
        <f>IF(ISNUMBER(AO385),"OK",AO385)</f>
        <v/>
      </c>
      <c r="AQ385">
        <f>IF($Z$385="absent","NOT_RUN",IF($Y$385&gt;1,"ERROR",IFERROR(IF(OR(AK385="ERROR",AD385="ERROR"),"ERROR",IF(OR(NOT(ISNUMBER(AK385)),NOT(ISNUMBER(AD385))),"UNKNOWN",AD385*AK385)),"ERROR")))</f>
        <v/>
      </c>
      <c r="AR385">
        <f>IF(ISNUMBER(AQ385),"OK",AQ385)</f>
        <v/>
      </c>
      <c r="AS385">
        <f>IF($Z$385="absent","NOT_RUN",IF($Y$385&gt;1,"ERROR",IFERROR(IF(OR(AK385="ERROR",AN385="ERROR"),"ERROR",IF(OR(NOT(ISNUMBER(AK385)),NOT(ISNUMBER(AN385))),"UNKNOWN",AN385*AK385)),"ERROR")))</f>
        <v/>
      </c>
      <c r="AT385">
        <f>IF(ISNUMBER(AS385),IF(AND($R$385=TRUE,AM385="none"),"ESTIMATED","OK"),AS385)</f>
        <v/>
      </c>
      <c r="AU385">
        <f>IF($Z$385="absent","NOT_RUN",IF($Y$385&gt;1,"ERROR",IFERROR(IF(OR(AK385="ERROR",AN385="ERROR",AL385="ERROR"),"ERROR",IF(OR(NOT(ISNUMBER(AK385)),NOT(ISNUMBER(AN385)),NOT(ISNUMBER(AL385))),"UNKNOWN",AN385*AK385-AL385)),"ERROR")))</f>
        <v/>
      </c>
      <c r="AV385">
        <f>IF(ISNUMBER(AU385),IF(AND($R$385=TRUE,AM385="none"),"ESTIMATED","OK"),AU385)</f>
        <v/>
      </c>
      <c r="AW385">
        <f>IF($Z$385="absent","NOT_RUN",IF($Y$385&gt;1,"ERROR",IFERROR(IF(OR(AU385="ERROR",AQ385="ERROR"),"ERROR",IF(OR(NOT(ISNUMBER(AU385)),NOT(ISNUMBER(AQ385))),"UNKNOWN",IF(AQ385=0,"NOT_APPLICABLE",AU385/AQ385))),"ERROR")))</f>
        <v/>
      </c>
      <c r="AX385">
        <f>IF(ISNUMBER(AW385),IF(AND($R$385=TRUE,AM385="none"),"ESTIMATED","OK"),AW385)</f>
        <v/>
      </c>
      <c r="AY385">
        <f>IF($Z$385="absent","NOT_RUN",IF($Y$385&gt;1,"ERROR",IFERROR(IF(OR(AN385="ERROR",AL385="ERROR"),"ERROR",IF(OR(NOT(ISNUMBER(AN385)),NOT(ISNUMBER(AL385))),"UNKNOWN",IF(AN385&lt;=0,"NOT_APPLICABLE",AL385/AN385))),"ERROR")))</f>
        <v/>
      </c>
      <c r="AZ385">
        <f>IF(ISNUMBER(AY385),IF(AND($R$385=TRUE,AM385="none"),"ESTIMATED","OK"),AY385)</f>
        <v/>
      </c>
      <c r="BA385">
        <f>IF($Z$385="absent","NOT_RUN",IF($Y$385&gt;1,"ERROR",IFERROR(IF(OR(AK385="ERROR",AN385="ERROR",AL385="ERROR"),"ERROR",IF(OR(NOT(ISNUMBER(AK385)),NOT(ISNUMBER(AN385)),NOT(ISNUMBER(AL385))),"UNKNOWN",IF(AN385&lt;=0,"NOT_APPLICABLE",AK385-AY385))),"ERROR")))</f>
        <v/>
      </c>
      <c r="BB385">
        <f>IF(ISNUMBER(BA385),IF(AND($R$385=TRUE,AM385="none"),"ESTIMATED","OK"),BA385)</f>
        <v/>
      </c>
      <c r="BC385">
        <f>IF($Z$385="absent","NOT_RUN",IF($Y$385&gt;1,"ERROR",IFERROR(IF(OR(AK385="ERROR",AN385="ERROR",AL385="ERROR"),"ERROR",IF(OR(NOT(ISNUMBER(AK385)),NOT(ISNUMBER(AN385)),NOT(ISNUMBER(AL385))),"UNKNOWN",IF(OR(AN385&lt;=0,AK385=0),"NOT_APPLICABLE",(AK385-AY385)/AK385))),"ERROR")))</f>
        <v/>
      </c>
      <c r="BD385">
        <f>IF(ISNUMBER(BC385),IF(AND($R$385=TRUE,AM385="none"),"ESTIMATED","OK"),BC385)</f>
        <v/>
      </c>
      <c r="BE385">
        <f>IF($Z$385="absent","NOT_RUN",IF(OR(AP385="ERROR",AR385="ERROR",AT385="ERROR",AV385="ERROR",AX385="ERROR",AZ385="ERROR",BB385="ERROR",BD385="ERROR"),"ERROR",IF(OR(AP385="UNKNOWN",AR385="UNKNOWN",AT385="UNKNOWN",AV385="UNKNOWN",AX385="UNKNOWN",AZ385="UNKNOWN",BB385="UNKNOWN",BD385="UNKNOWN"),"INCOMPLETE","OK")))</f>
        <v/>
      </c>
      <c r="BF385">
        <f>IF($Z$385="absent","",AH385)</f>
        <v/>
      </c>
    </row>
    <row r="386">
      <c r="B386" s="8" t="inlineStr">
        <is>
          <t>Total Net Sales ex VAT</t>
        </is>
      </c>
      <c r="C386" s="52">
        <f>AQ385</f>
        <v/>
      </c>
      <c r="D386" s="30" t="inlineStr">
        <is>
          <t>UNKNOWN</t>
        </is>
      </c>
      <c r="E386" s="51">
        <f>IF(ISNUMBER(D386),IF(ISNUMBER(AQ385),ABS(AQ385-D386),"N/A"),"N/A")</f>
        <v/>
      </c>
      <c r="F386" s="15">
        <f>IFERROR(IF(ISNUMBER(D386),IF(ISNUMBER(AQ385),IF(ABS(AQ385-D386)&lt;=0.01,"PASS","FAIL"),"FAIL"),IF(NOT(ISNUMBER(AQ385)),IF(AQ385=D386,"PASS","FAIL"),"FAIL")),"FAIL")</f>
        <v/>
      </c>
      <c r="G386" s="16">
        <f>AR385</f>
        <v/>
      </c>
      <c r="H386" s="30" t="inlineStr">
        <is>
          <t>UNKNOWN</t>
        </is>
      </c>
      <c r="I386" s="15">
        <f>IF(AR385=H386,"PASS","FAIL")</f>
        <v/>
      </c>
    </row>
    <row r="387">
      <c r="B387" s="8" t="inlineStr">
        <is>
          <t>Total Contribution Margin</t>
        </is>
      </c>
      <c r="C387" s="52">
        <f>AS385</f>
        <v/>
      </c>
      <c r="D387" s="30" t="inlineStr">
        <is>
          <t>UNKNOWN</t>
        </is>
      </c>
      <c r="E387" s="51">
        <f>IF(ISNUMBER(D387),IF(ISNUMBER(AS385),ABS(AS385-D387),"N/A"),"N/A")</f>
        <v/>
      </c>
      <c r="F387" s="15">
        <f>IFERROR(IF(ISNUMBER(D387),IF(ISNUMBER(AS385),IF(ABS(AS385-D387)&lt;=0.01,"PASS","FAIL"),"FAIL"),IF(NOT(ISNUMBER(AS385)),IF(AS385=D387,"PASS","FAIL"),"FAIL")),"FAIL")</f>
        <v/>
      </c>
      <c r="G387" s="16">
        <f>AT385</f>
        <v/>
      </c>
      <c r="H387" s="30" t="inlineStr">
        <is>
          <t>UNKNOWN</t>
        </is>
      </c>
      <c r="I387" s="15">
        <f>IF(AT385=H387,"PASS","FAIL")</f>
        <v/>
      </c>
    </row>
    <row r="388">
      <c r="B388" s="8" t="inlineStr">
        <is>
          <t>Operating Profit</t>
        </is>
      </c>
      <c r="C388" s="52">
        <f>AU385</f>
        <v/>
      </c>
      <c r="D388" s="30" t="inlineStr">
        <is>
          <t>UNKNOWN</t>
        </is>
      </c>
      <c r="E388" s="51">
        <f>IF(ISNUMBER(D388),IF(ISNUMBER(AU385),ABS(AU385-D388),"N/A"),"N/A")</f>
        <v/>
      </c>
      <c r="F388" s="15">
        <f>IFERROR(IF(ISNUMBER(D388),IF(ISNUMBER(AU385),IF(ABS(AU385-D388)&lt;=0.01,"PASS","FAIL"),"FAIL"),IF(NOT(ISNUMBER(AU385)),IF(AU385=D388,"PASS","FAIL"),"FAIL")),"FAIL")</f>
        <v/>
      </c>
      <c r="G388" s="16">
        <f>AV385</f>
        <v/>
      </c>
      <c r="H388" s="30" t="inlineStr">
        <is>
          <t>UNKNOWN</t>
        </is>
      </c>
      <c r="I388" s="15">
        <f>IF(AV385=H388,"PASS","FAIL")</f>
        <v/>
      </c>
    </row>
    <row r="389">
      <c r="B389" s="8" t="inlineStr">
        <is>
          <t>Operating Profit Rate</t>
        </is>
      </c>
      <c r="C389" s="54">
        <f>AW385</f>
        <v/>
      </c>
      <c r="D389" s="30" t="inlineStr">
        <is>
          <t>UNKNOWN</t>
        </is>
      </c>
      <c r="E389" s="51">
        <f>IF(ISNUMBER(D389),IF(ISNUMBER(AW385),ABS(AW385-D389),"N/A"),"N/A")</f>
        <v/>
      </c>
      <c r="F389" s="15">
        <f>IFERROR(IF(ISNUMBER(D389),IF(ISNUMBER(AW385),IF(ABS(AW385-D389)&lt;=1e-06,"PASS","FAIL"),"FAIL"),IF(NOT(ISNUMBER(AW385)),IF(AW385=D389,"PASS","FAIL"),"FAIL")),"FAIL")</f>
        <v/>
      </c>
      <c r="G389" s="16">
        <f>AX385</f>
        <v/>
      </c>
      <c r="H389" s="30" t="inlineStr">
        <is>
          <t>UNKNOWN</t>
        </is>
      </c>
      <c r="I389" s="15">
        <f>IF(AX385=H389,"PASS","FAIL")</f>
        <v/>
      </c>
    </row>
    <row r="390">
      <c r="B390" s="8" t="inlineStr">
        <is>
          <t>Break-Even Quantity (Q_BEP)</t>
        </is>
      </c>
      <c r="C390" s="25">
        <f>AY385</f>
        <v/>
      </c>
      <c r="D390" s="30" t="inlineStr">
        <is>
          <t>UNKNOWN</t>
        </is>
      </c>
      <c r="E390" s="51">
        <f>IF(ISNUMBER(D390),IF(ISNUMBER(AY385),ABS(AY385-D390),"N/A"),"N/A")</f>
        <v/>
      </c>
      <c r="F390" s="15">
        <f>IFERROR(IF(ISNUMBER(D390),IF(ISNUMBER(AY385),IF(ABS(AY385-D390)&lt;=0.01,"PASS","FAIL"),"FAIL"),IF(NOT(ISNUMBER(AY385)),IF(AY385=D390,"PASS","FAIL"),"FAIL")),"FAIL")</f>
        <v/>
      </c>
      <c r="G390" s="16">
        <f>AZ385</f>
        <v/>
      </c>
      <c r="H390" s="30" t="inlineStr">
        <is>
          <t>UNKNOWN</t>
        </is>
      </c>
      <c r="I390" s="15">
        <f>IF(AZ385=H390,"PASS","FAIL")</f>
        <v/>
      </c>
    </row>
    <row r="391">
      <c r="B391" s="8" t="inlineStr">
        <is>
          <t>Margin of Safety Quantity</t>
        </is>
      </c>
      <c r="C391" s="25">
        <f>BA385</f>
        <v/>
      </c>
      <c r="D391" s="30" t="inlineStr">
        <is>
          <t>UNKNOWN</t>
        </is>
      </c>
      <c r="E391" s="51">
        <f>IF(ISNUMBER(D391),IF(ISNUMBER(BA385),ABS(BA385-D391),"N/A"),"N/A")</f>
        <v/>
      </c>
      <c r="F391" s="15">
        <f>IFERROR(IF(ISNUMBER(D391),IF(ISNUMBER(BA385),IF(ABS(BA385-D391)&lt;=0.01,"PASS","FAIL"),"FAIL"),IF(NOT(ISNUMBER(BA385)),IF(BA385=D391,"PASS","FAIL"),"FAIL")),"FAIL")</f>
        <v/>
      </c>
      <c r="G391" s="16">
        <f>BB385</f>
        <v/>
      </c>
      <c r="H391" s="30" t="inlineStr">
        <is>
          <t>UNKNOWN</t>
        </is>
      </c>
      <c r="I391" s="15">
        <f>IF(BB385=H391,"PASS","FAIL")</f>
        <v/>
      </c>
    </row>
    <row r="392">
      <c r="B392" s="8" t="inlineStr">
        <is>
          <t>Margin of Safety Rate</t>
        </is>
      </c>
      <c r="C392" s="54">
        <f>BC385</f>
        <v/>
      </c>
      <c r="D392" s="30" t="inlineStr">
        <is>
          <t>UNKNOWN</t>
        </is>
      </c>
      <c r="E392" s="51">
        <f>IF(ISNUMBER(D392),IF(ISNUMBER(BC385),ABS(BC385-D392),"N/A"),"N/A")</f>
        <v/>
      </c>
      <c r="F392" s="15">
        <f>IFERROR(IF(ISNUMBER(D392),IF(ISNUMBER(BC385),IF(ABS(BC385-D392)&lt;=1e-06,"PASS","FAIL"),"FAIL"),IF(NOT(ISNUMBER(BC385)),IF(BC385=D392,"PASS","FAIL"),"FAIL")),"FAIL")</f>
        <v/>
      </c>
      <c r="G392" s="16">
        <f>BD385</f>
        <v/>
      </c>
      <c r="H392" s="30" t="inlineStr">
        <is>
          <t>UNKNOWN</t>
        </is>
      </c>
      <c r="I392" s="15">
        <f>IF(BD385=H392,"PASS","FAIL")</f>
        <v/>
      </c>
    </row>
    <row r="393">
      <c r="B393" s="8" t="inlineStr">
        <is>
          <t>Module Status</t>
        </is>
      </c>
      <c r="C393" s="16">
        <f>BE385</f>
        <v/>
      </c>
      <c r="D393" s="30" t="inlineStr">
        <is>
          <t>INCOMPLETE</t>
        </is>
      </c>
      <c r="F393" s="15">
        <f>IF(BE385=D393,"PASS","FAIL")</f>
        <v/>
      </c>
    </row>
    <row r="394">
      <c r="B394" s="8" t="inlineStr">
        <is>
          <t>Analysis Period Basis</t>
        </is>
      </c>
      <c r="C394" s="16">
        <f>BF385</f>
        <v/>
      </c>
      <c r="D394" s="30" t="inlineStr">
        <is>
          <t>per_month</t>
        </is>
      </c>
      <c r="F394" s="15">
        <f>IF(BF385=D394,"PASS","FAIL")</f>
        <v/>
      </c>
    </row>
    <row r="395">
      <c r="B395" s="8" t="inlineStr">
        <is>
          <t>Self-Check: |MoS qty × CMu − Operating Profit| ≤ tol</t>
        </is>
      </c>
      <c r="C395" s="36">
        <f>IF(OR(NOT(ISNUMBER(BA385)),NOT(ISNUMBER(AN385)),NOT(ISNUMBER(AU385))),"SKIP",IF(ABS(BA385*AN385-AU385)&lt;=0.01,"PASS","FAIL"))</f>
        <v/>
      </c>
      <c r="D395" s="34" t="n"/>
      <c r="F395" s="15">
        <f>IF(C395="FAIL","FAIL","PASS")</f>
        <v/>
      </c>
    </row>
    <row r="397" ht="20" customHeight="1">
      <c r="B397" s="2" t="inlineStr">
        <is>
          <t>V29. per_order + CMu &lt; 0 (loss is ESTIMATED, break-even NOT_APPLICABLE)</t>
        </is>
      </c>
      <c r="C397" s="7" t="n"/>
      <c r="D397" s="7" t="n"/>
      <c r="E397" s="7" t="n"/>
      <c r="F397" s="7" t="n"/>
      <c r="G397" s="7" t="n"/>
      <c r="H397" s="7" t="n"/>
      <c r="I397" s="7" t="n"/>
    </row>
    <row r="398">
      <c r="B398" s="4" t="inlineStr">
        <is>
          <t>Metric</t>
        </is>
      </c>
      <c r="C398" s="4" t="inlineStr">
        <is>
          <t>Excel Result</t>
        </is>
      </c>
      <c r="D398" s="4" t="inlineStr">
        <is>
          <t>Python Reference</t>
        </is>
      </c>
      <c r="E398" s="4" t="inlineStr">
        <is>
          <t>Difference</t>
        </is>
      </c>
      <c r="F398" s="4" t="inlineStr">
        <is>
          <t>PASS / FAIL</t>
        </is>
      </c>
      <c r="G398" s="4" t="inlineStr">
        <is>
          <t>Excel Status</t>
        </is>
      </c>
      <c r="H398" s="4" t="inlineStr">
        <is>
          <t>Python Status</t>
        </is>
      </c>
      <c r="I398" s="4" t="inlineStr">
        <is>
          <t>Status PASS</t>
        </is>
      </c>
    </row>
    <row r="399">
      <c r="B399" s="8" t="inlineStr">
        <is>
          <t>Planned Quantity (units)</t>
        </is>
      </c>
      <c r="C399" s="25">
        <f>AO399</f>
        <v/>
      </c>
      <c r="D399" s="21" t="n">
        <v>10</v>
      </c>
      <c r="E399" s="51">
        <f>IF(ISNUMBER(D399),IF(ISNUMBER(AO399),ABS(AO399-D399),"N/A"),"N/A")</f>
        <v/>
      </c>
      <c r="F399" s="15">
        <f>IFERROR(IF(ISNUMBER(D399),IF(ISNUMBER(AO399),IF(ABS(AO399-D399)&lt;=0.01,"PASS","FAIL"),"FAIL"),IF(NOT(ISNUMBER(AO399)),IF(AO399=D399,"PASS","FAIL"),"FAIL")),"FAIL")</f>
        <v/>
      </c>
      <c r="G399" s="16">
        <f>AP399</f>
        <v/>
      </c>
      <c r="H399" s="30" t="inlineStr">
        <is>
          <t>OK</t>
        </is>
      </c>
      <c r="I399" s="15">
        <f>IF(AP399=H399,"PASS","FAIL")</f>
        <v/>
      </c>
      <c r="M399" t="n">
        <v>1000</v>
      </c>
      <c r="N399" t="b">
        <v>0</v>
      </c>
      <c r="P399" t="n">
        <v>1200</v>
      </c>
      <c r="Q399" t="n">
        <v>0</v>
      </c>
      <c r="R399" t="b">
        <v>1</v>
      </c>
      <c r="S399" t="n">
        <v>0</v>
      </c>
      <c r="T399" t="n">
        <v>0</v>
      </c>
      <c r="U399" t="n">
        <v>50000</v>
      </c>
      <c r="V399" t="inlineStr">
        <is>
          <t>per_month</t>
        </is>
      </c>
      <c r="W399" t="inlineStr">
        <is>
          <t>component</t>
        </is>
      </c>
      <c r="X399" t="inlineStr">
        <is>
          <t>consistent</t>
        </is>
      </c>
      <c r="Y399" t="n">
        <v>1</v>
      </c>
      <c r="Z399" t="inlineStr">
        <is>
          <t>present</t>
        </is>
      </c>
      <c r="AA399" t="n">
        <v>10</v>
      </c>
      <c r="AB399" t="inlineStr">
        <is>
          <t>per_month</t>
        </is>
      </c>
      <c r="AD399">
        <f>IFERROR(IF(ISBLANK($M$399),"UNKNOWN",IF(ISBLANK($N$399),"UNKNOWN",IF($N$399=FALSE,$M$399,IF(ISBLANK($O$399),"UNKNOWN",$M$399/(1+$O$399))))),"ERROR")</f>
        <v/>
      </c>
      <c r="AE399">
        <f>IFERROR(IF(ISBLANK($M$399),"UNKNOWN",IF(ISBLANK($N$399),"UNKNOWN",IF($N$399=TRUE,$M$399,IF(ISBLANK($O$399),"UNKNOWN",$M$399*(1+$O$399))))),"ERROR")</f>
        <v/>
      </c>
      <c r="AF399">
        <f>IF($Y$399&gt;1,"ERROR",IFERROR(IF(AD399="ERROR","ERROR",IF(OR(NOT(ISNUMBER(AD399)),ISBLANK($P$399),ISBLANK($Q$399),ISBLANK($S$399),ISBLANK($T$399)),"UNKNOWN",IF($T$399&gt;0,IF(AE399="ERROR","ERROR",IF(NOT(ISNUMBER(AE399)),"UNKNOWN",AD399-$P$399-$Q$399-$S$399*AD399-$T$399*AE399)),AD399-$P$399-$Q$399-$S$399*AD399))),"ERROR"))</f>
        <v/>
      </c>
      <c r="AG399">
        <f>IF($Y$399&gt;1,"ERROR",IFERROR(IF($W$399="invalid_direct","ERROR",IF($X$399="inconsistent","ERROR",IF($W$399="none",0,IF(OR($W$399="unresolved",$W$399="blended_only"),"UNKNOWN",IF(ISBLANK($U$399),"UNKNOWN",IF($U$399&lt;0,"ERROR",$U$399)))))),"ERROR"))</f>
        <v/>
      </c>
      <c r="AH399">
        <f>IF($Y$399&gt;1,"",IF(OR($W$399="invalid_direct",$X$399="inconsistent"),"",IF($W$399="none","",IF(OR($W$399="unresolved",$W$399="blended_only"),"",IF(ISBLANK($U$399),"",IF($U$399&lt;0,"",$V$399))))))</f>
        <v/>
      </c>
      <c r="AI399">
        <f>IF($Y$399&gt;1,"ERROR",IFERROR(IF(OR(AF399="ERROR",AG399="ERROR"),"ERROR",IF(OR(NOT(ISNUMBER(AF399)),NOT(ISNUMBER(AG399))),"UNKNOWN",IF(AF399&lt;=0,"NOT_APPLICABLE",AG399/AF399))),"ERROR"))</f>
        <v/>
      </c>
      <c r="AJ399">
        <f>IF($Y$399&gt;1,"MULTI_COMPONENT_BEP_NOT_SUPPORTED",IF($W$399="invalid_direct","INVALID_ALLOCATION_CONFIGURATION",IF($X$399="inconsistent","INCONSISTENT_FIXED_COST_BASIS",IF(AND($W$399="component",NOT(ISBLANK($U$399)),$U$399&lt;0),"INVALID_NEGATIVE_COST",IF(AF399="ERROR","CALCULATION_ERROR",IF($W$399="blended_only","FIXED_COST_BLENDED_ONLY_NOT_ALLOCATED",IF($W$399="unresolved","UNSUPPORTED_SHARED_COST_ALLOCATION",IF(NOT(ISNUMBER(AF399)),"MISSING_DEPENDENCY",IF(AND($W$399="component",ISBLANK($U$399)),"MISSING_DEPENDENCY",IF(AND(AF399=0,AG399=0),"BREAK_EVEN_UNDEFINED_ZERO_MARGIN_ZERO_FIXED_COST",IF(AF399=0,"BREAK_EVEN_UNDEFINED_ZERO_MARGIN",IF(AF399&lt;0,"BREAK_EVEN_UNDEFINED_NEGATIVE_MARGIN","NONE"))))))))))))</f>
        <v/>
      </c>
      <c r="AK399">
        <f>IF(AND(NOT(ISBLANK($AA$399)),$AA$399&lt;0),"ERROR",IF(AND($AB$399&lt;&gt;"",$AB$399&lt;&gt;"per_month"),"ERROR",IF(OR(ISBLANK($AA$399),$AB$399=""),"UNKNOWN",$AA$399)))</f>
        <v/>
      </c>
      <c r="AL399">
        <f>IF(AND(ISNUMBER(AG399),AH399&lt;&gt;"",AH399&lt;&gt;"per_month"),"ERROR",AG399)</f>
        <v/>
      </c>
      <c r="AM399">
        <f>IF(ISBLANK($AC$399),"none",IF(AND(ISNUMBER($AC$399),$AC$399&gt;0),"valid","invalid"))</f>
        <v/>
      </c>
      <c r="AN399">
        <f>IF(AM399="invalid","ERROR",IF(AND(AM399="valid",$R$399=TRUE,ISNUMBER(AF399)),AF399+$Q$399*(1-1/$AC$399),AF399))</f>
        <v/>
      </c>
      <c r="AO399">
        <f>IF($Z$399="absent","NOT_RUN",IF($Y$399&gt;1,"ERROR",AK399))</f>
        <v/>
      </c>
      <c r="AP399">
        <f>IF(ISNUMBER(AO399),"OK",AO399)</f>
        <v/>
      </c>
      <c r="AQ399">
        <f>IF($Z$399="absent","NOT_RUN",IF($Y$399&gt;1,"ERROR",IFERROR(IF(OR(AK399="ERROR",AD399="ERROR"),"ERROR",IF(OR(NOT(ISNUMBER(AK399)),NOT(ISNUMBER(AD399))),"UNKNOWN",AD399*AK399)),"ERROR")))</f>
        <v/>
      </c>
      <c r="AR399">
        <f>IF(ISNUMBER(AQ399),"OK",AQ399)</f>
        <v/>
      </c>
      <c r="AS399">
        <f>IF($Z$399="absent","NOT_RUN",IF($Y$399&gt;1,"ERROR",IFERROR(IF(OR(AK399="ERROR",AN399="ERROR"),"ERROR",IF(OR(NOT(ISNUMBER(AK399)),NOT(ISNUMBER(AN399))),"UNKNOWN",AN399*AK399)),"ERROR")))</f>
        <v/>
      </c>
      <c r="AT399">
        <f>IF(ISNUMBER(AS399),IF(AND($R$399=TRUE,AM399="none"),"ESTIMATED","OK"),AS399)</f>
        <v/>
      </c>
      <c r="AU399">
        <f>IF($Z$399="absent","NOT_RUN",IF($Y$399&gt;1,"ERROR",IFERROR(IF(OR(AK399="ERROR",AN399="ERROR",AL399="ERROR"),"ERROR",IF(OR(NOT(ISNUMBER(AK399)),NOT(ISNUMBER(AN399)),NOT(ISNUMBER(AL399))),"UNKNOWN",AN399*AK399-AL399)),"ERROR")))</f>
        <v/>
      </c>
      <c r="AV399">
        <f>IF(ISNUMBER(AU399),IF(AND($R$399=TRUE,AM399="none"),"ESTIMATED","OK"),AU399)</f>
        <v/>
      </c>
      <c r="AW399">
        <f>IF($Z$399="absent","NOT_RUN",IF($Y$399&gt;1,"ERROR",IFERROR(IF(OR(AU399="ERROR",AQ399="ERROR"),"ERROR",IF(OR(NOT(ISNUMBER(AU399)),NOT(ISNUMBER(AQ399))),"UNKNOWN",IF(AQ399=0,"NOT_APPLICABLE",AU399/AQ399))),"ERROR")))</f>
        <v/>
      </c>
      <c r="AX399">
        <f>IF(ISNUMBER(AW399),IF(AND($R$399=TRUE,AM399="none"),"ESTIMATED","OK"),AW399)</f>
        <v/>
      </c>
      <c r="AY399">
        <f>IF($Z$399="absent","NOT_RUN",IF($Y$399&gt;1,"ERROR",IFERROR(IF(OR(AN399="ERROR",AL399="ERROR"),"ERROR",IF(OR(NOT(ISNUMBER(AN399)),NOT(ISNUMBER(AL399))),"UNKNOWN",IF(AN399&lt;=0,"NOT_APPLICABLE",AL399/AN399))),"ERROR")))</f>
        <v/>
      </c>
      <c r="AZ399">
        <f>IF(ISNUMBER(AY399),IF(AND($R$399=TRUE,AM399="none"),"ESTIMATED","OK"),AY399)</f>
        <v/>
      </c>
      <c r="BA399">
        <f>IF($Z$399="absent","NOT_RUN",IF($Y$399&gt;1,"ERROR",IFERROR(IF(OR(AK399="ERROR",AN399="ERROR",AL399="ERROR"),"ERROR",IF(OR(NOT(ISNUMBER(AK399)),NOT(ISNUMBER(AN399)),NOT(ISNUMBER(AL399))),"UNKNOWN",IF(AN399&lt;=0,"NOT_APPLICABLE",AK399-AY399))),"ERROR")))</f>
        <v/>
      </c>
      <c r="BB399">
        <f>IF(ISNUMBER(BA399),IF(AND($R$399=TRUE,AM399="none"),"ESTIMATED","OK"),BA399)</f>
        <v/>
      </c>
      <c r="BC399">
        <f>IF($Z$399="absent","NOT_RUN",IF($Y$399&gt;1,"ERROR",IFERROR(IF(OR(AK399="ERROR",AN399="ERROR",AL399="ERROR"),"ERROR",IF(OR(NOT(ISNUMBER(AK399)),NOT(ISNUMBER(AN399)),NOT(ISNUMBER(AL399))),"UNKNOWN",IF(OR(AN399&lt;=0,AK399=0),"NOT_APPLICABLE",(AK399-AY399)/AK399))),"ERROR")))</f>
        <v/>
      </c>
      <c r="BD399">
        <f>IF(ISNUMBER(BC399),IF(AND($R$399=TRUE,AM399="none"),"ESTIMATED","OK"),BC399)</f>
        <v/>
      </c>
      <c r="BE399">
        <f>IF($Z$399="absent","NOT_RUN",IF(OR(AP399="ERROR",AR399="ERROR",AT399="ERROR",AV399="ERROR",AX399="ERROR",AZ399="ERROR",BB399="ERROR",BD399="ERROR"),"ERROR",IF(OR(AP399="UNKNOWN",AR399="UNKNOWN",AT399="UNKNOWN",AV399="UNKNOWN",AX399="UNKNOWN",AZ399="UNKNOWN",BB399="UNKNOWN",BD399="UNKNOWN"),"INCOMPLETE","OK")))</f>
        <v/>
      </c>
      <c r="BF399">
        <f>IF($Z$399="absent","",AH399)</f>
        <v/>
      </c>
    </row>
    <row r="400">
      <c r="B400" s="8" t="inlineStr">
        <is>
          <t>Total Net Sales ex VAT</t>
        </is>
      </c>
      <c r="C400" s="52">
        <f>AQ399</f>
        <v/>
      </c>
      <c r="D400" s="53" t="n">
        <v>10000</v>
      </c>
      <c r="E400" s="51">
        <f>IF(ISNUMBER(D400),IF(ISNUMBER(AQ399),ABS(AQ399-D400),"N/A"),"N/A")</f>
        <v/>
      </c>
      <c r="F400" s="15">
        <f>IFERROR(IF(ISNUMBER(D400),IF(ISNUMBER(AQ399),IF(ABS(AQ399-D400)&lt;=0.01,"PASS","FAIL"),"FAIL"),IF(NOT(ISNUMBER(AQ399)),IF(AQ399=D400,"PASS","FAIL"),"FAIL")),"FAIL")</f>
        <v/>
      </c>
      <c r="G400" s="16">
        <f>AR399</f>
        <v/>
      </c>
      <c r="H400" s="30" t="inlineStr">
        <is>
          <t>OK</t>
        </is>
      </c>
      <c r="I400" s="15">
        <f>IF(AR399=H400,"PASS","FAIL")</f>
        <v/>
      </c>
    </row>
    <row r="401">
      <c r="B401" s="8" t="inlineStr">
        <is>
          <t>Total Contribution Margin</t>
        </is>
      </c>
      <c r="C401" s="52">
        <f>AS399</f>
        <v/>
      </c>
      <c r="D401" s="53" t="n">
        <v>-2000</v>
      </c>
      <c r="E401" s="51">
        <f>IF(ISNUMBER(D401),IF(ISNUMBER(AS399),ABS(AS399-D401),"N/A"),"N/A")</f>
        <v/>
      </c>
      <c r="F401" s="15">
        <f>IFERROR(IF(ISNUMBER(D401),IF(ISNUMBER(AS399),IF(ABS(AS399-D401)&lt;=0.01,"PASS","FAIL"),"FAIL"),IF(NOT(ISNUMBER(AS399)),IF(AS399=D401,"PASS","FAIL"),"FAIL")),"FAIL")</f>
        <v/>
      </c>
      <c r="G401" s="16">
        <f>AT399</f>
        <v/>
      </c>
      <c r="H401" s="30" t="inlineStr">
        <is>
          <t>ESTIMATED</t>
        </is>
      </c>
      <c r="I401" s="15">
        <f>IF(AT399=H401,"PASS","FAIL")</f>
        <v/>
      </c>
    </row>
    <row r="402">
      <c r="B402" s="8" t="inlineStr">
        <is>
          <t>Operating Profit</t>
        </is>
      </c>
      <c r="C402" s="52">
        <f>AU399</f>
        <v/>
      </c>
      <c r="D402" s="53" t="n">
        <v>-52000</v>
      </c>
      <c r="E402" s="51">
        <f>IF(ISNUMBER(D402),IF(ISNUMBER(AU399),ABS(AU399-D402),"N/A"),"N/A")</f>
        <v/>
      </c>
      <c r="F402" s="15">
        <f>IFERROR(IF(ISNUMBER(D402),IF(ISNUMBER(AU399),IF(ABS(AU399-D402)&lt;=0.01,"PASS","FAIL"),"FAIL"),IF(NOT(ISNUMBER(AU399)),IF(AU399=D402,"PASS","FAIL"),"FAIL")),"FAIL")</f>
        <v/>
      </c>
      <c r="G402" s="16">
        <f>AV399</f>
        <v/>
      </c>
      <c r="H402" s="30" t="inlineStr">
        <is>
          <t>ESTIMATED</t>
        </is>
      </c>
      <c r="I402" s="15">
        <f>IF(AV399=H402,"PASS","FAIL")</f>
        <v/>
      </c>
    </row>
    <row r="403">
      <c r="B403" s="8" t="inlineStr">
        <is>
          <t>Operating Profit Rate</t>
        </is>
      </c>
      <c r="C403" s="54">
        <f>AW399</f>
        <v/>
      </c>
      <c r="D403" s="55" t="n">
        <v>-5.2</v>
      </c>
      <c r="E403" s="51">
        <f>IF(ISNUMBER(D403),IF(ISNUMBER(AW399),ABS(AW399-D403),"N/A"),"N/A")</f>
        <v/>
      </c>
      <c r="F403" s="15">
        <f>IFERROR(IF(ISNUMBER(D403),IF(ISNUMBER(AW399),IF(ABS(AW399-D403)&lt;=1e-06,"PASS","FAIL"),"FAIL"),IF(NOT(ISNUMBER(AW399)),IF(AW399=D403,"PASS","FAIL"),"FAIL")),"FAIL")</f>
        <v/>
      </c>
      <c r="G403" s="16">
        <f>AX399</f>
        <v/>
      </c>
      <c r="H403" s="30" t="inlineStr">
        <is>
          <t>ESTIMATED</t>
        </is>
      </c>
      <c r="I403" s="15">
        <f>IF(AX399=H403,"PASS","FAIL")</f>
        <v/>
      </c>
    </row>
    <row r="404">
      <c r="B404" s="8" t="inlineStr">
        <is>
          <t>Break-Even Quantity (Q_BEP)</t>
        </is>
      </c>
      <c r="C404" s="25">
        <f>AY399</f>
        <v/>
      </c>
      <c r="D404" s="30" t="inlineStr">
        <is>
          <t>NOT_APPLICABLE</t>
        </is>
      </c>
      <c r="E404" s="51">
        <f>IF(ISNUMBER(D404),IF(ISNUMBER(AY399),ABS(AY399-D404),"N/A"),"N/A")</f>
        <v/>
      </c>
      <c r="F404" s="15">
        <f>IFERROR(IF(ISNUMBER(D404),IF(ISNUMBER(AY399),IF(ABS(AY399-D404)&lt;=0.01,"PASS","FAIL"),"FAIL"),IF(NOT(ISNUMBER(AY399)),IF(AY399=D404,"PASS","FAIL"),"FAIL")),"FAIL")</f>
        <v/>
      </c>
      <c r="G404" s="16">
        <f>AZ399</f>
        <v/>
      </c>
      <c r="H404" s="30" t="inlineStr">
        <is>
          <t>NOT_APPLICABLE</t>
        </is>
      </c>
      <c r="I404" s="15">
        <f>IF(AZ399=H404,"PASS","FAIL")</f>
        <v/>
      </c>
    </row>
    <row r="405">
      <c r="B405" s="8" t="inlineStr">
        <is>
          <t>Margin of Safety Quantity</t>
        </is>
      </c>
      <c r="C405" s="25">
        <f>BA399</f>
        <v/>
      </c>
      <c r="D405" s="30" t="inlineStr">
        <is>
          <t>NOT_APPLICABLE</t>
        </is>
      </c>
      <c r="E405" s="51">
        <f>IF(ISNUMBER(D405),IF(ISNUMBER(BA399),ABS(BA399-D405),"N/A"),"N/A")</f>
        <v/>
      </c>
      <c r="F405" s="15">
        <f>IFERROR(IF(ISNUMBER(D405),IF(ISNUMBER(BA399),IF(ABS(BA399-D405)&lt;=0.01,"PASS","FAIL"),"FAIL"),IF(NOT(ISNUMBER(BA399)),IF(BA399=D405,"PASS","FAIL"),"FAIL")),"FAIL")</f>
        <v/>
      </c>
      <c r="G405" s="16">
        <f>BB399</f>
        <v/>
      </c>
      <c r="H405" s="30" t="inlineStr">
        <is>
          <t>NOT_APPLICABLE</t>
        </is>
      </c>
      <c r="I405" s="15">
        <f>IF(BB399=H405,"PASS","FAIL")</f>
        <v/>
      </c>
    </row>
    <row r="406">
      <c r="B406" s="8" t="inlineStr">
        <is>
          <t>Margin of Safety Rate</t>
        </is>
      </c>
      <c r="C406" s="54">
        <f>BC399</f>
        <v/>
      </c>
      <c r="D406" s="30" t="inlineStr">
        <is>
          <t>NOT_APPLICABLE</t>
        </is>
      </c>
      <c r="E406" s="51">
        <f>IF(ISNUMBER(D406),IF(ISNUMBER(BC399),ABS(BC399-D406),"N/A"),"N/A")</f>
        <v/>
      </c>
      <c r="F406" s="15">
        <f>IFERROR(IF(ISNUMBER(D406),IF(ISNUMBER(BC399),IF(ABS(BC399-D406)&lt;=1e-06,"PASS","FAIL"),"FAIL"),IF(NOT(ISNUMBER(BC399)),IF(BC399=D406,"PASS","FAIL"),"FAIL")),"FAIL")</f>
        <v/>
      </c>
      <c r="G406" s="16">
        <f>BD399</f>
        <v/>
      </c>
      <c r="H406" s="30" t="inlineStr">
        <is>
          <t>NOT_APPLICABLE</t>
        </is>
      </c>
      <c r="I406" s="15">
        <f>IF(BD399=H406,"PASS","FAIL")</f>
        <v/>
      </c>
    </row>
    <row r="407">
      <c r="B407" s="8" t="inlineStr">
        <is>
          <t>Module Status</t>
        </is>
      </c>
      <c r="C407" s="16">
        <f>BE399</f>
        <v/>
      </c>
      <c r="D407" s="30" t="inlineStr">
        <is>
          <t>OK</t>
        </is>
      </c>
      <c r="F407" s="15">
        <f>IF(BE399=D407,"PASS","FAIL")</f>
        <v/>
      </c>
    </row>
    <row r="408">
      <c r="B408" s="8" t="inlineStr">
        <is>
          <t>Analysis Period Basis</t>
        </is>
      </c>
      <c r="C408" s="16">
        <f>BF399</f>
        <v/>
      </c>
      <c r="D408" s="30" t="inlineStr">
        <is>
          <t>per_month</t>
        </is>
      </c>
      <c r="F408" s="15">
        <f>IF(BF399=D408,"PASS","FAIL")</f>
        <v/>
      </c>
    </row>
    <row r="409">
      <c r="B409" s="8" t="inlineStr">
        <is>
          <t>Self-Check: |MoS qty × CMu − Operating Profit| ≤ tol</t>
        </is>
      </c>
      <c r="C409" s="36">
        <f>IF(OR(NOT(ISNUMBER(BA399)),NOT(ISNUMBER(AN399)),NOT(ISNUMBER(AU399))),"SKIP",IF(ABS(BA399*AN399-AU399)&lt;=0.01,"PASS","FAIL"))</f>
        <v/>
      </c>
      <c r="D409" s="34" t="n"/>
      <c r="F409" s="15">
        <f>IF(C409="FAIL","FAIL","PASS")</f>
        <v/>
      </c>
    </row>
    <row r="411" ht="20" customHeight="1">
      <c r="B411" s="2" t="inlineStr">
        <is>
          <t>V30. VAT-exclusive price with gross-payment fee</t>
        </is>
      </c>
      <c r="C411" s="7" t="n"/>
      <c r="D411" s="7" t="n"/>
      <c r="E411" s="7" t="n"/>
      <c r="F411" s="7" t="n"/>
      <c r="G411" s="7" t="n"/>
      <c r="H411" s="7" t="n"/>
      <c r="I411" s="7" t="n"/>
    </row>
    <row r="412">
      <c r="B412" s="4" t="inlineStr">
        <is>
          <t>Metric</t>
        </is>
      </c>
      <c r="C412" s="4" t="inlineStr">
        <is>
          <t>Excel Result</t>
        </is>
      </c>
      <c r="D412" s="4" t="inlineStr">
        <is>
          <t>Python Reference</t>
        </is>
      </c>
      <c r="E412" s="4" t="inlineStr">
        <is>
          <t>Difference</t>
        </is>
      </c>
      <c r="F412" s="4" t="inlineStr">
        <is>
          <t>PASS / FAIL</t>
        </is>
      </c>
      <c r="G412" s="4" t="inlineStr">
        <is>
          <t>Excel Status</t>
        </is>
      </c>
      <c r="H412" s="4" t="inlineStr">
        <is>
          <t>Python Status</t>
        </is>
      </c>
      <c r="I412" s="4" t="inlineStr">
        <is>
          <t>Status PASS</t>
        </is>
      </c>
    </row>
    <row r="413">
      <c r="B413" s="8" t="inlineStr">
        <is>
          <t>Planned Quantity (units)</t>
        </is>
      </c>
      <c r="C413" s="25">
        <f>AO413</f>
        <v/>
      </c>
      <c r="D413" s="21" t="n">
        <v>200</v>
      </c>
      <c r="E413" s="51">
        <f>IF(ISNUMBER(D413),IF(ISNUMBER(AO413),ABS(AO413-D413),"N/A"),"N/A")</f>
        <v/>
      </c>
      <c r="F413" s="15">
        <f>IFERROR(IF(ISNUMBER(D413),IF(ISNUMBER(AO413),IF(ABS(AO413-D413)&lt;=0.01,"PASS","FAIL"),"FAIL"),IF(NOT(ISNUMBER(AO413)),IF(AO413=D413,"PASS","FAIL"),"FAIL")),"FAIL")</f>
        <v/>
      </c>
      <c r="G413" s="16">
        <f>AP413</f>
        <v/>
      </c>
      <c r="H413" s="30" t="inlineStr">
        <is>
          <t>OK</t>
        </is>
      </c>
      <c r="I413" s="15">
        <f>IF(AP413=H413,"PASS","FAIL")</f>
        <v/>
      </c>
      <c r="M413" t="n">
        <v>32000</v>
      </c>
      <c r="N413" t="b">
        <v>0</v>
      </c>
      <c r="O413" t="n">
        <v>0.1</v>
      </c>
      <c r="P413" t="n">
        <v>13500</v>
      </c>
      <c r="Q413" t="n">
        <v>3000</v>
      </c>
      <c r="R413" t="b">
        <v>0</v>
      </c>
      <c r="S413" t="n">
        <v>0</v>
      </c>
      <c r="T413" t="n">
        <v>0.05</v>
      </c>
      <c r="U413" t="n">
        <v>2000000</v>
      </c>
      <c r="V413" t="inlineStr">
        <is>
          <t>per_month</t>
        </is>
      </c>
      <c r="W413" t="inlineStr">
        <is>
          <t>component</t>
        </is>
      </c>
      <c r="X413" t="inlineStr">
        <is>
          <t>consistent</t>
        </is>
      </c>
      <c r="Y413" t="n">
        <v>1</v>
      </c>
      <c r="Z413" t="inlineStr">
        <is>
          <t>present</t>
        </is>
      </c>
      <c r="AA413" t="n">
        <v>200</v>
      </c>
      <c r="AB413" t="inlineStr">
        <is>
          <t>per_month</t>
        </is>
      </c>
      <c r="AD413">
        <f>IFERROR(IF(ISBLANK($M$413),"UNKNOWN",IF(ISBLANK($N$413),"UNKNOWN",IF($N$413=FALSE,$M$413,IF(ISBLANK($O$413),"UNKNOWN",$M$413/(1+$O$413))))),"ERROR")</f>
        <v/>
      </c>
      <c r="AE413">
        <f>IFERROR(IF(ISBLANK($M$413),"UNKNOWN",IF(ISBLANK($N$413),"UNKNOWN",IF($N$413=TRUE,$M$413,IF(ISBLANK($O$413),"UNKNOWN",$M$413*(1+$O$413))))),"ERROR")</f>
        <v/>
      </c>
      <c r="AF413">
        <f>IF($Y$413&gt;1,"ERROR",IFERROR(IF(AD413="ERROR","ERROR",IF(OR(NOT(ISNUMBER(AD413)),ISBLANK($P$413),ISBLANK($Q$413),ISBLANK($S$413),ISBLANK($T$413)),"UNKNOWN",IF($T$413&gt;0,IF(AE413="ERROR","ERROR",IF(NOT(ISNUMBER(AE413)),"UNKNOWN",AD413-$P$413-$Q$413-$S$413*AD413-$T$413*AE413)),AD413-$P$413-$Q$413-$S$413*AD413))),"ERROR"))</f>
        <v/>
      </c>
      <c r="AG413">
        <f>IF($Y$413&gt;1,"ERROR",IFERROR(IF($W$413="invalid_direct","ERROR",IF($X$413="inconsistent","ERROR",IF($W$413="none",0,IF(OR($W$413="unresolved",$W$413="blended_only"),"UNKNOWN",IF(ISBLANK($U$413),"UNKNOWN",IF($U$413&lt;0,"ERROR",$U$413)))))),"ERROR"))</f>
        <v/>
      </c>
      <c r="AH413">
        <f>IF($Y$413&gt;1,"",IF(OR($W$413="invalid_direct",$X$413="inconsistent"),"",IF($W$413="none","",IF(OR($W$413="unresolved",$W$413="blended_only"),"",IF(ISBLANK($U$413),"",IF($U$413&lt;0,"",$V$413))))))</f>
        <v/>
      </c>
      <c r="AI413">
        <f>IF($Y$413&gt;1,"ERROR",IFERROR(IF(OR(AF413="ERROR",AG413="ERROR"),"ERROR",IF(OR(NOT(ISNUMBER(AF413)),NOT(ISNUMBER(AG413))),"UNKNOWN",IF(AF413&lt;=0,"NOT_APPLICABLE",AG413/AF413))),"ERROR"))</f>
        <v/>
      </c>
      <c r="AJ413">
        <f>IF($Y$413&gt;1,"MULTI_COMPONENT_BEP_NOT_SUPPORTED",IF($W$413="invalid_direct","INVALID_ALLOCATION_CONFIGURATION",IF($X$413="inconsistent","INCONSISTENT_FIXED_COST_BASIS",IF(AND($W$413="component",NOT(ISBLANK($U$413)),$U$413&lt;0),"INVALID_NEGATIVE_COST",IF(AF413="ERROR","CALCULATION_ERROR",IF($W$413="blended_only","FIXED_COST_BLENDED_ONLY_NOT_ALLOCATED",IF($W$413="unresolved","UNSUPPORTED_SHARED_COST_ALLOCATION",IF(NOT(ISNUMBER(AF413)),"MISSING_DEPENDENCY",IF(AND($W$413="component",ISBLANK($U$413)),"MISSING_DEPENDENCY",IF(AND(AF413=0,AG413=0),"BREAK_EVEN_UNDEFINED_ZERO_MARGIN_ZERO_FIXED_COST",IF(AF413=0,"BREAK_EVEN_UNDEFINED_ZERO_MARGIN",IF(AF413&lt;0,"BREAK_EVEN_UNDEFINED_NEGATIVE_MARGIN","NONE"))))))))))))</f>
        <v/>
      </c>
      <c r="AK413">
        <f>IF(AND(NOT(ISBLANK($AA$413)),$AA$413&lt;0),"ERROR",IF(AND($AB$413&lt;&gt;"",$AB$413&lt;&gt;"per_month"),"ERROR",IF(OR(ISBLANK($AA$413),$AB$413=""),"UNKNOWN",$AA$413)))</f>
        <v/>
      </c>
      <c r="AL413">
        <f>IF(AND(ISNUMBER(AG413),AH413&lt;&gt;"",AH413&lt;&gt;"per_month"),"ERROR",AG413)</f>
        <v/>
      </c>
      <c r="AM413">
        <f>IF(ISBLANK($AC$413),"none",IF(AND(ISNUMBER($AC$413),$AC$413&gt;0),"valid","invalid"))</f>
        <v/>
      </c>
      <c r="AN413">
        <f>IF(AM413="invalid","ERROR",IF(AND(AM413="valid",$R$413=TRUE,ISNUMBER(AF413)),AF413+$Q$413*(1-1/$AC$413),AF413))</f>
        <v/>
      </c>
      <c r="AO413">
        <f>IF($Z$413="absent","NOT_RUN",IF($Y$413&gt;1,"ERROR",AK413))</f>
        <v/>
      </c>
      <c r="AP413">
        <f>IF(ISNUMBER(AO413),"OK",AO413)</f>
        <v/>
      </c>
      <c r="AQ413">
        <f>IF($Z$413="absent","NOT_RUN",IF($Y$413&gt;1,"ERROR",IFERROR(IF(OR(AK413="ERROR",AD413="ERROR"),"ERROR",IF(OR(NOT(ISNUMBER(AK413)),NOT(ISNUMBER(AD413))),"UNKNOWN",AD413*AK413)),"ERROR")))</f>
        <v/>
      </c>
      <c r="AR413">
        <f>IF(ISNUMBER(AQ413),"OK",AQ413)</f>
        <v/>
      </c>
      <c r="AS413">
        <f>IF($Z$413="absent","NOT_RUN",IF($Y$413&gt;1,"ERROR",IFERROR(IF(OR(AK413="ERROR",AN413="ERROR"),"ERROR",IF(OR(NOT(ISNUMBER(AK413)),NOT(ISNUMBER(AN413))),"UNKNOWN",AN413*AK413)),"ERROR")))</f>
        <v/>
      </c>
      <c r="AT413">
        <f>IF(ISNUMBER(AS413),IF(AND($R$413=TRUE,AM413="none"),"ESTIMATED","OK"),AS413)</f>
        <v/>
      </c>
      <c r="AU413">
        <f>IF($Z$413="absent","NOT_RUN",IF($Y$413&gt;1,"ERROR",IFERROR(IF(OR(AK413="ERROR",AN413="ERROR",AL413="ERROR"),"ERROR",IF(OR(NOT(ISNUMBER(AK413)),NOT(ISNUMBER(AN413)),NOT(ISNUMBER(AL413))),"UNKNOWN",AN413*AK413-AL413)),"ERROR")))</f>
        <v/>
      </c>
      <c r="AV413">
        <f>IF(ISNUMBER(AU413),IF(AND($R$413=TRUE,AM413="none"),"ESTIMATED","OK"),AU413)</f>
        <v/>
      </c>
      <c r="AW413">
        <f>IF($Z$413="absent","NOT_RUN",IF($Y$413&gt;1,"ERROR",IFERROR(IF(OR(AU413="ERROR",AQ413="ERROR"),"ERROR",IF(OR(NOT(ISNUMBER(AU413)),NOT(ISNUMBER(AQ413))),"UNKNOWN",IF(AQ413=0,"NOT_APPLICABLE",AU413/AQ413))),"ERROR")))</f>
        <v/>
      </c>
      <c r="AX413">
        <f>IF(ISNUMBER(AW413),IF(AND($R$413=TRUE,AM413="none"),"ESTIMATED","OK"),AW413)</f>
        <v/>
      </c>
      <c r="AY413">
        <f>IF($Z$413="absent","NOT_RUN",IF($Y$413&gt;1,"ERROR",IFERROR(IF(OR(AN413="ERROR",AL413="ERROR"),"ERROR",IF(OR(NOT(ISNUMBER(AN413)),NOT(ISNUMBER(AL413))),"UNKNOWN",IF(AN413&lt;=0,"NOT_APPLICABLE",AL413/AN413))),"ERROR")))</f>
        <v/>
      </c>
      <c r="AZ413">
        <f>IF(ISNUMBER(AY413),IF(AND($R$413=TRUE,AM413="none"),"ESTIMATED","OK"),AY413)</f>
        <v/>
      </c>
      <c r="BA413">
        <f>IF($Z$413="absent","NOT_RUN",IF($Y$413&gt;1,"ERROR",IFERROR(IF(OR(AK413="ERROR",AN413="ERROR",AL413="ERROR"),"ERROR",IF(OR(NOT(ISNUMBER(AK413)),NOT(ISNUMBER(AN413)),NOT(ISNUMBER(AL413))),"UNKNOWN",IF(AN413&lt;=0,"NOT_APPLICABLE",AK413-AY413))),"ERROR")))</f>
        <v/>
      </c>
      <c r="BB413">
        <f>IF(ISNUMBER(BA413),IF(AND($R$413=TRUE,AM413="none"),"ESTIMATED","OK"),BA413)</f>
        <v/>
      </c>
      <c r="BC413">
        <f>IF($Z$413="absent","NOT_RUN",IF($Y$413&gt;1,"ERROR",IFERROR(IF(OR(AK413="ERROR",AN413="ERROR",AL413="ERROR"),"ERROR",IF(OR(NOT(ISNUMBER(AK413)),NOT(ISNUMBER(AN413)),NOT(ISNUMBER(AL413))),"UNKNOWN",IF(OR(AN413&lt;=0,AK413=0),"NOT_APPLICABLE",(AK413-AY413)/AK413))),"ERROR")))</f>
        <v/>
      </c>
      <c r="BD413">
        <f>IF(ISNUMBER(BC413),IF(AND($R$413=TRUE,AM413="none"),"ESTIMATED","OK"),BC413)</f>
        <v/>
      </c>
      <c r="BE413">
        <f>IF($Z$413="absent","NOT_RUN",IF(OR(AP413="ERROR",AR413="ERROR",AT413="ERROR",AV413="ERROR",AX413="ERROR",AZ413="ERROR",BB413="ERROR",BD413="ERROR"),"ERROR",IF(OR(AP413="UNKNOWN",AR413="UNKNOWN",AT413="UNKNOWN",AV413="UNKNOWN",AX413="UNKNOWN",AZ413="UNKNOWN",BB413="UNKNOWN",BD413="UNKNOWN"),"INCOMPLETE","OK")))</f>
        <v/>
      </c>
      <c r="BF413">
        <f>IF($Z$413="absent","",AH413)</f>
        <v/>
      </c>
    </row>
    <row r="414">
      <c r="B414" s="8" t="inlineStr">
        <is>
          <t>Total Net Sales ex VAT</t>
        </is>
      </c>
      <c r="C414" s="52">
        <f>AQ413</f>
        <v/>
      </c>
      <c r="D414" s="53" t="n">
        <v>6400000</v>
      </c>
      <c r="E414" s="51">
        <f>IF(ISNUMBER(D414),IF(ISNUMBER(AQ413),ABS(AQ413-D414),"N/A"),"N/A")</f>
        <v/>
      </c>
      <c r="F414" s="15">
        <f>IFERROR(IF(ISNUMBER(D414),IF(ISNUMBER(AQ413),IF(ABS(AQ413-D414)&lt;=0.01,"PASS","FAIL"),"FAIL"),IF(NOT(ISNUMBER(AQ413)),IF(AQ413=D414,"PASS","FAIL"),"FAIL")),"FAIL")</f>
        <v/>
      </c>
      <c r="G414" s="16">
        <f>AR413</f>
        <v/>
      </c>
      <c r="H414" s="30" t="inlineStr">
        <is>
          <t>OK</t>
        </is>
      </c>
      <c r="I414" s="15">
        <f>IF(AR413=H414,"PASS","FAIL")</f>
        <v/>
      </c>
    </row>
    <row r="415">
      <c r="B415" s="8" t="inlineStr">
        <is>
          <t>Total Contribution Margin</t>
        </is>
      </c>
      <c r="C415" s="52">
        <f>AS413</f>
        <v/>
      </c>
      <c r="D415" s="53" t="n">
        <v>2748000</v>
      </c>
      <c r="E415" s="51">
        <f>IF(ISNUMBER(D415),IF(ISNUMBER(AS413),ABS(AS413-D415),"N/A"),"N/A")</f>
        <v/>
      </c>
      <c r="F415" s="15">
        <f>IFERROR(IF(ISNUMBER(D415),IF(ISNUMBER(AS413),IF(ABS(AS413-D415)&lt;=0.01,"PASS","FAIL"),"FAIL"),IF(NOT(ISNUMBER(AS413)),IF(AS413=D415,"PASS","FAIL"),"FAIL")),"FAIL")</f>
        <v/>
      </c>
      <c r="G415" s="16">
        <f>AT413</f>
        <v/>
      </c>
      <c r="H415" s="30" t="inlineStr">
        <is>
          <t>OK</t>
        </is>
      </c>
      <c r="I415" s="15">
        <f>IF(AT413=H415,"PASS","FAIL")</f>
        <v/>
      </c>
    </row>
    <row r="416">
      <c r="B416" s="8" t="inlineStr">
        <is>
          <t>Operating Profit</t>
        </is>
      </c>
      <c r="C416" s="52">
        <f>AU413</f>
        <v/>
      </c>
      <c r="D416" s="53" t="n">
        <v>748000</v>
      </c>
      <c r="E416" s="51">
        <f>IF(ISNUMBER(D416),IF(ISNUMBER(AU413),ABS(AU413-D416),"N/A"),"N/A")</f>
        <v/>
      </c>
      <c r="F416" s="15">
        <f>IFERROR(IF(ISNUMBER(D416),IF(ISNUMBER(AU413),IF(ABS(AU413-D416)&lt;=0.01,"PASS","FAIL"),"FAIL"),IF(NOT(ISNUMBER(AU413)),IF(AU413=D416,"PASS","FAIL"),"FAIL")),"FAIL")</f>
        <v/>
      </c>
      <c r="G416" s="16">
        <f>AV413</f>
        <v/>
      </c>
      <c r="H416" s="30" t="inlineStr">
        <is>
          <t>OK</t>
        </is>
      </c>
      <c r="I416" s="15">
        <f>IF(AV413=H416,"PASS","FAIL")</f>
        <v/>
      </c>
    </row>
    <row r="417">
      <c r="B417" s="8" t="inlineStr">
        <is>
          <t>Operating Profit Rate</t>
        </is>
      </c>
      <c r="C417" s="54">
        <f>AW413</f>
        <v/>
      </c>
      <c r="D417" s="55" t="n">
        <v>0.116875</v>
      </c>
      <c r="E417" s="51">
        <f>IF(ISNUMBER(D417),IF(ISNUMBER(AW413),ABS(AW413-D417),"N/A"),"N/A")</f>
        <v/>
      </c>
      <c r="F417" s="15">
        <f>IFERROR(IF(ISNUMBER(D417),IF(ISNUMBER(AW413),IF(ABS(AW413-D417)&lt;=1e-06,"PASS","FAIL"),"FAIL"),IF(NOT(ISNUMBER(AW413)),IF(AW413=D417,"PASS","FAIL"),"FAIL")),"FAIL")</f>
        <v/>
      </c>
      <c r="G417" s="16">
        <f>AX413</f>
        <v/>
      </c>
      <c r="H417" s="30" t="inlineStr">
        <is>
          <t>OK</t>
        </is>
      </c>
      <c r="I417" s="15">
        <f>IF(AX413=H417,"PASS","FAIL")</f>
        <v/>
      </c>
    </row>
    <row r="418">
      <c r="B418" s="8" t="inlineStr">
        <is>
          <t>Break-Even Quantity (Q_BEP)</t>
        </is>
      </c>
      <c r="C418" s="25">
        <f>AY413</f>
        <v/>
      </c>
      <c r="D418" s="21" t="n">
        <v>145.5604075691412</v>
      </c>
      <c r="E418" s="51">
        <f>IF(ISNUMBER(D418),IF(ISNUMBER(AY413),ABS(AY413-D418),"N/A"),"N/A")</f>
        <v/>
      </c>
      <c r="F418" s="15">
        <f>IFERROR(IF(ISNUMBER(D418),IF(ISNUMBER(AY413),IF(ABS(AY413-D418)&lt;=0.01,"PASS","FAIL"),"FAIL"),IF(NOT(ISNUMBER(AY413)),IF(AY413=D418,"PASS","FAIL"),"FAIL")),"FAIL")</f>
        <v/>
      </c>
      <c r="G418" s="16">
        <f>AZ413</f>
        <v/>
      </c>
      <c r="H418" s="30" t="inlineStr">
        <is>
          <t>OK</t>
        </is>
      </c>
      <c r="I418" s="15">
        <f>IF(AZ413=H418,"PASS","FAIL")</f>
        <v/>
      </c>
    </row>
    <row r="419">
      <c r="B419" s="8" t="inlineStr">
        <is>
          <t>Margin of Safety Quantity</t>
        </is>
      </c>
      <c r="C419" s="25">
        <f>BA413</f>
        <v/>
      </c>
      <c r="D419" s="21" t="n">
        <v>54.4395924308588</v>
      </c>
      <c r="E419" s="51">
        <f>IF(ISNUMBER(D419),IF(ISNUMBER(BA413),ABS(BA413-D419),"N/A"),"N/A")</f>
        <v/>
      </c>
      <c r="F419" s="15">
        <f>IFERROR(IF(ISNUMBER(D419),IF(ISNUMBER(BA413),IF(ABS(BA413-D419)&lt;=0.01,"PASS","FAIL"),"FAIL"),IF(NOT(ISNUMBER(BA413)),IF(BA413=D419,"PASS","FAIL"),"FAIL")),"FAIL")</f>
        <v/>
      </c>
      <c r="G419" s="16">
        <f>BB413</f>
        <v/>
      </c>
      <c r="H419" s="30" t="inlineStr">
        <is>
          <t>OK</t>
        </is>
      </c>
      <c r="I419" s="15">
        <f>IF(BB413=H419,"PASS","FAIL")</f>
        <v/>
      </c>
    </row>
    <row r="420">
      <c r="B420" s="8" t="inlineStr">
        <is>
          <t>Margin of Safety Rate</t>
        </is>
      </c>
      <c r="C420" s="54">
        <f>BC413</f>
        <v/>
      </c>
      <c r="D420" s="55" t="n">
        <v>0.272197962154294</v>
      </c>
      <c r="E420" s="51">
        <f>IF(ISNUMBER(D420),IF(ISNUMBER(BC413),ABS(BC413-D420),"N/A"),"N/A")</f>
        <v/>
      </c>
      <c r="F420" s="15">
        <f>IFERROR(IF(ISNUMBER(D420),IF(ISNUMBER(BC413),IF(ABS(BC413-D420)&lt;=1e-06,"PASS","FAIL"),"FAIL"),IF(NOT(ISNUMBER(BC413)),IF(BC413=D420,"PASS","FAIL"),"FAIL")),"FAIL")</f>
        <v/>
      </c>
      <c r="G420" s="16">
        <f>BD413</f>
        <v/>
      </c>
      <c r="H420" s="30" t="inlineStr">
        <is>
          <t>OK</t>
        </is>
      </c>
      <c r="I420" s="15">
        <f>IF(BD413=H420,"PASS","FAIL")</f>
        <v/>
      </c>
    </row>
    <row r="421">
      <c r="B421" s="8" t="inlineStr">
        <is>
          <t>Module Status</t>
        </is>
      </c>
      <c r="C421" s="16">
        <f>BE413</f>
        <v/>
      </c>
      <c r="D421" s="30" t="inlineStr">
        <is>
          <t>OK</t>
        </is>
      </c>
      <c r="F421" s="15">
        <f>IF(BE413=D421,"PASS","FAIL")</f>
        <v/>
      </c>
    </row>
    <row r="422">
      <c r="B422" s="8" t="inlineStr">
        <is>
          <t>Analysis Period Basis</t>
        </is>
      </c>
      <c r="C422" s="16">
        <f>BF413</f>
        <v/>
      </c>
      <c r="D422" s="30" t="inlineStr">
        <is>
          <t>per_month</t>
        </is>
      </c>
      <c r="F422" s="15">
        <f>IF(BF413=D422,"PASS","FAIL")</f>
        <v/>
      </c>
    </row>
    <row r="423">
      <c r="B423" s="8" t="inlineStr">
        <is>
          <t>Self-Check: |MoS qty × CMu − Operating Profit| ≤ tol</t>
        </is>
      </c>
      <c r="C423" s="36">
        <f>IF(OR(NOT(ISNUMBER(BA413)),NOT(ISNUMBER(AN413)),NOT(ISNUMBER(AU413))),"SKIP",IF(ABS(BA413*AN413-AU413)&lt;=0.01,"PASS","FAIL"))</f>
        <v/>
      </c>
      <c r="D423" s="34" t="n"/>
      <c r="F423" s="15">
        <f>IF(C423="FAIL","FAIL","PASS")</f>
        <v/>
      </c>
    </row>
    <row r="425" ht="20" customHeight="1">
      <c r="B425" s="2" t="inlineStr">
        <is>
          <t>V31. units_per_order = 2 divides the per_order cost (metrics OK, not ESTIMATED)</t>
        </is>
      </c>
      <c r="C425" s="7" t="n"/>
      <c r="D425" s="7" t="n"/>
      <c r="E425" s="7" t="n"/>
      <c r="F425" s="7" t="n"/>
      <c r="G425" s="7" t="n"/>
      <c r="H425" s="7" t="n"/>
      <c r="I425" s="7" t="n"/>
    </row>
    <row r="426">
      <c r="B426" s="4" t="inlineStr">
        <is>
          <t>Metric</t>
        </is>
      </c>
      <c r="C426" s="4" t="inlineStr">
        <is>
          <t>Excel Result</t>
        </is>
      </c>
      <c r="D426" s="4" t="inlineStr">
        <is>
          <t>Python Reference</t>
        </is>
      </c>
      <c r="E426" s="4" t="inlineStr">
        <is>
          <t>Difference</t>
        </is>
      </c>
      <c r="F426" s="4" t="inlineStr">
        <is>
          <t>PASS / FAIL</t>
        </is>
      </c>
      <c r="G426" s="4" t="inlineStr">
        <is>
          <t>Excel Status</t>
        </is>
      </c>
      <c r="H426" s="4" t="inlineStr">
        <is>
          <t>Python Status</t>
        </is>
      </c>
      <c r="I426" s="4" t="inlineStr">
        <is>
          <t>Status PASS</t>
        </is>
      </c>
    </row>
    <row r="427">
      <c r="B427" s="8" t="inlineStr">
        <is>
          <t>Planned Quantity (units)</t>
        </is>
      </c>
      <c r="C427" s="25">
        <f>AO427</f>
        <v/>
      </c>
      <c r="D427" s="21" t="n">
        <v>200</v>
      </c>
      <c r="E427" s="51">
        <f>IF(ISNUMBER(D427),IF(ISNUMBER(AO427),ABS(AO427-D427),"N/A"),"N/A")</f>
        <v/>
      </c>
      <c r="F427" s="15">
        <f>IFERROR(IF(ISNUMBER(D427),IF(ISNUMBER(AO427),IF(ABS(AO427-D427)&lt;=0.01,"PASS","FAIL"),"FAIL"),IF(NOT(ISNUMBER(AO427)),IF(AO427=D427,"PASS","FAIL"),"FAIL")),"FAIL")</f>
        <v/>
      </c>
      <c r="G427" s="16">
        <f>AP427</f>
        <v/>
      </c>
      <c r="H427" s="30" t="inlineStr">
        <is>
          <t>OK</t>
        </is>
      </c>
      <c r="I427" s="15">
        <f>IF(AP427=H427,"PASS","FAIL")</f>
        <v/>
      </c>
      <c r="M427" t="n">
        <v>35000</v>
      </c>
      <c r="N427" t="b">
        <v>1</v>
      </c>
      <c r="O427" t="n">
        <v>0.1</v>
      </c>
      <c r="P427" t="n">
        <v>13500</v>
      </c>
      <c r="Q427" t="n">
        <v>3000</v>
      </c>
      <c r="R427" t="b">
        <v>1</v>
      </c>
      <c r="S427" t="n">
        <v>0</v>
      </c>
      <c r="T427" t="n">
        <v>0.025</v>
      </c>
      <c r="U427" t="n">
        <v>2000000</v>
      </c>
      <c r="V427" t="inlineStr">
        <is>
          <t>per_month</t>
        </is>
      </c>
      <c r="W427" t="inlineStr">
        <is>
          <t>component</t>
        </is>
      </c>
      <c r="X427" t="inlineStr">
        <is>
          <t>consistent</t>
        </is>
      </c>
      <c r="Y427" t="n">
        <v>1</v>
      </c>
      <c r="Z427" t="inlineStr">
        <is>
          <t>present</t>
        </is>
      </c>
      <c r="AA427" t="n">
        <v>200</v>
      </c>
      <c r="AB427" t="inlineStr">
        <is>
          <t>per_month</t>
        </is>
      </c>
      <c r="AC427" t="n">
        <v>2</v>
      </c>
      <c r="AD427">
        <f>IFERROR(IF(ISBLANK($M$427),"UNKNOWN",IF(ISBLANK($N$427),"UNKNOWN",IF($N$427=FALSE,$M$427,IF(ISBLANK($O$427),"UNKNOWN",$M$427/(1+$O$427))))),"ERROR")</f>
        <v/>
      </c>
      <c r="AE427">
        <f>IFERROR(IF(ISBLANK($M$427),"UNKNOWN",IF(ISBLANK($N$427),"UNKNOWN",IF($N$427=TRUE,$M$427,IF(ISBLANK($O$427),"UNKNOWN",$M$427*(1+$O$427))))),"ERROR")</f>
        <v/>
      </c>
      <c r="AF427">
        <f>IF($Y$427&gt;1,"ERROR",IFERROR(IF(AD427="ERROR","ERROR",IF(OR(NOT(ISNUMBER(AD427)),ISBLANK($P$427),ISBLANK($Q$427),ISBLANK($S$427),ISBLANK($T$427)),"UNKNOWN",IF($T$427&gt;0,IF(AE427="ERROR","ERROR",IF(NOT(ISNUMBER(AE427)),"UNKNOWN",AD427-$P$427-$Q$427-$S$427*AD427-$T$427*AE427)),AD427-$P$427-$Q$427-$S$427*AD427))),"ERROR"))</f>
        <v/>
      </c>
      <c r="AG427">
        <f>IF($Y$427&gt;1,"ERROR",IFERROR(IF($W$427="invalid_direct","ERROR",IF($X$427="inconsistent","ERROR",IF($W$427="none",0,IF(OR($W$427="unresolved",$W$427="blended_only"),"UNKNOWN",IF(ISBLANK($U$427),"UNKNOWN",IF($U$427&lt;0,"ERROR",$U$427)))))),"ERROR"))</f>
        <v/>
      </c>
      <c r="AH427">
        <f>IF($Y$427&gt;1,"",IF(OR($W$427="invalid_direct",$X$427="inconsistent"),"",IF($W$427="none","",IF(OR($W$427="unresolved",$W$427="blended_only"),"",IF(ISBLANK($U$427),"",IF($U$427&lt;0,"",$V$427))))))</f>
        <v/>
      </c>
      <c r="AI427">
        <f>IF($Y$427&gt;1,"ERROR",IFERROR(IF(OR(AF427="ERROR",AG427="ERROR"),"ERROR",IF(OR(NOT(ISNUMBER(AF427)),NOT(ISNUMBER(AG427))),"UNKNOWN",IF(AF427&lt;=0,"NOT_APPLICABLE",AG427/AF427))),"ERROR"))</f>
        <v/>
      </c>
      <c r="AJ427">
        <f>IF($Y$427&gt;1,"MULTI_COMPONENT_BEP_NOT_SUPPORTED",IF($W$427="invalid_direct","INVALID_ALLOCATION_CONFIGURATION",IF($X$427="inconsistent","INCONSISTENT_FIXED_COST_BASIS",IF(AND($W$427="component",NOT(ISBLANK($U$427)),$U$427&lt;0),"INVALID_NEGATIVE_COST",IF(AF427="ERROR","CALCULATION_ERROR",IF($W$427="blended_only","FIXED_COST_BLENDED_ONLY_NOT_ALLOCATED",IF($W$427="unresolved","UNSUPPORTED_SHARED_COST_ALLOCATION",IF(NOT(ISNUMBER(AF427)),"MISSING_DEPENDENCY",IF(AND($W$427="component",ISBLANK($U$427)),"MISSING_DEPENDENCY",IF(AND(AF427=0,AG427=0),"BREAK_EVEN_UNDEFINED_ZERO_MARGIN_ZERO_FIXED_COST",IF(AF427=0,"BREAK_EVEN_UNDEFINED_ZERO_MARGIN",IF(AF427&lt;0,"BREAK_EVEN_UNDEFINED_NEGATIVE_MARGIN","NONE"))))))))))))</f>
        <v/>
      </c>
      <c r="AK427">
        <f>IF(AND(NOT(ISBLANK($AA$427)),$AA$427&lt;0),"ERROR",IF(AND($AB$427&lt;&gt;"",$AB$427&lt;&gt;"per_month"),"ERROR",IF(OR(ISBLANK($AA$427),$AB$427=""),"UNKNOWN",$AA$427)))</f>
        <v/>
      </c>
      <c r="AL427">
        <f>IF(AND(ISNUMBER(AG427),AH427&lt;&gt;"",AH427&lt;&gt;"per_month"),"ERROR",AG427)</f>
        <v/>
      </c>
      <c r="AM427">
        <f>IF(ISBLANK($AC$427),"none",IF(AND(ISNUMBER($AC$427),$AC$427&gt;0),"valid","invalid"))</f>
        <v/>
      </c>
      <c r="AN427">
        <f>IF(AM427="invalid","ERROR",IF(AND(AM427="valid",$R$427=TRUE,ISNUMBER(AF427)),AF427+$Q$427*(1-1/$AC$427),AF427))</f>
        <v/>
      </c>
      <c r="AO427">
        <f>IF($Z$427="absent","NOT_RUN",IF($Y$427&gt;1,"ERROR",AK427))</f>
        <v/>
      </c>
      <c r="AP427">
        <f>IF(ISNUMBER(AO427),"OK",AO427)</f>
        <v/>
      </c>
      <c r="AQ427">
        <f>IF($Z$427="absent","NOT_RUN",IF($Y$427&gt;1,"ERROR",IFERROR(IF(OR(AK427="ERROR",AD427="ERROR"),"ERROR",IF(OR(NOT(ISNUMBER(AK427)),NOT(ISNUMBER(AD427))),"UNKNOWN",AD427*AK427)),"ERROR")))</f>
        <v/>
      </c>
      <c r="AR427">
        <f>IF(ISNUMBER(AQ427),"OK",AQ427)</f>
        <v/>
      </c>
      <c r="AS427">
        <f>IF($Z$427="absent","NOT_RUN",IF($Y$427&gt;1,"ERROR",IFERROR(IF(OR(AK427="ERROR",AN427="ERROR"),"ERROR",IF(OR(NOT(ISNUMBER(AK427)),NOT(ISNUMBER(AN427))),"UNKNOWN",AN427*AK427)),"ERROR")))</f>
        <v/>
      </c>
      <c r="AT427">
        <f>IF(ISNUMBER(AS427),IF(AND($R$427=TRUE,AM427="none"),"ESTIMATED","OK"),AS427)</f>
        <v/>
      </c>
      <c r="AU427">
        <f>IF($Z$427="absent","NOT_RUN",IF($Y$427&gt;1,"ERROR",IFERROR(IF(OR(AK427="ERROR",AN427="ERROR",AL427="ERROR"),"ERROR",IF(OR(NOT(ISNUMBER(AK427)),NOT(ISNUMBER(AN427)),NOT(ISNUMBER(AL427))),"UNKNOWN",AN427*AK427-AL427)),"ERROR")))</f>
        <v/>
      </c>
      <c r="AV427">
        <f>IF(ISNUMBER(AU427),IF(AND($R$427=TRUE,AM427="none"),"ESTIMATED","OK"),AU427)</f>
        <v/>
      </c>
      <c r="AW427">
        <f>IF($Z$427="absent","NOT_RUN",IF($Y$427&gt;1,"ERROR",IFERROR(IF(OR(AU427="ERROR",AQ427="ERROR"),"ERROR",IF(OR(NOT(ISNUMBER(AU427)),NOT(ISNUMBER(AQ427))),"UNKNOWN",IF(AQ427=0,"NOT_APPLICABLE",AU427/AQ427))),"ERROR")))</f>
        <v/>
      </c>
      <c r="AX427">
        <f>IF(ISNUMBER(AW427),IF(AND($R$427=TRUE,AM427="none"),"ESTIMATED","OK"),AW427)</f>
        <v/>
      </c>
      <c r="AY427">
        <f>IF($Z$427="absent","NOT_RUN",IF($Y$427&gt;1,"ERROR",IFERROR(IF(OR(AN427="ERROR",AL427="ERROR"),"ERROR",IF(OR(NOT(ISNUMBER(AN427)),NOT(ISNUMBER(AL427))),"UNKNOWN",IF(AN427&lt;=0,"NOT_APPLICABLE",AL427/AN427))),"ERROR")))</f>
        <v/>
      </c>
      <c r="AZ427">
        <f>IF(ISNUMBER(AY427),IF(AND($R$427=TRUE,AM427="none"),"ESTIMATED","OK"),AY427)</f>
        <v/>
      </c>
      <c r="BA427">
        <f>IF($Z$427="absent","NOT_RUN",IF($Y$427&gt;1,"ERROR",IFERROR(IF(OR(AK427="ERROR",AN427="ERROR",AL427="ERROR"),"ERROR",IF(OR(NOT(ISNUMBER(AK427)),NOT(ISNUMBER(AN427)),NOT(ISNUMBER(AL427))),"UNKNOWN",IF(AN427&lt;=0,"NOT_APPLICABLE",AK427-AY427))),"ERROR")))</f>
        <v/>
      </c>
      <c r="BB427">
        <f>IF(ISNUMBER(BA427),IF(AND($R$427=TRUE,AM427="none"),"ESTIMATED","OK"),BA427)</f>
        <v/>
      </c>
      <c r="BC427">
        <f>IF($Z$427="absent","NOT_RUN",IF($Y$427&gt;1,"ERROR",IFERROR(IF(OR(AK427="ERROR",AN427="ERROR",AL427="ERROR"),"ERROR",IF(OR(NOT(ISNUMBER(AK427)),NOT(ISNUMBER(AN427)),NOT(ISNUMBER(AL427))),"UNKNOWN",IF(OR(AN427&lt;=0,AK427=0),"NOT_APPLICABLE",(AK427-AY427)/AK427))),"ERROR")))</f>
        <v/>
      </c>
      <c r="BD427">
        <f>IF(ISNUMBER(BC427),IF(AND($R$427=TRUE,AM427="none"),"ESTIMATED","OK"),BC427)</f>
        <v/>
      </c>
      <c r="BE427">
        <f>IF($Z$427="absent","NOT_RUN",IF(OR(AP427="ERROR",AR427="ERROR",AT427="ERROR",AV427="ERROR",AX427="ERROR",AZ427="ERROR",BB427="ERROR",BD427="ERROR"),"ERROR",IF(OR(AP427="UNKNOWN",AR427="UNKNOWN",AT427="UNKNOWN",AV427="UNKNOWN",AX427="UNKNOWN",AZ427="UNKNOWN",BB427="UNKNOWN",BD427="UNKNOWN"),"INCOMPLETE","OK")))</f>
        <v/>
      </c>
      <c r="BF427">
        <f>IF($Z$427="absent","",AH427)</f>
        <v/>
      </c>
    </row>
    <row r="428">
      <c r="B428" s="8" t="inlineStr">
        <is>
          <t>Total Net Sales ex VAT</t>
        </is>
      </c>
      <c r="C428" s="52">
        <f>AQ427</f>
        <v/>
      </c>
      <c r="D428" s="53" t="n">
        <v>6363636.363636363</v>
      </c>
      <c r="E428" s="51">
        <f>IF(ISNUMBER(D428),IF(ISNUMBER(AQ427),ABS(AQ427-D428),"N/A"),"N/A")</f>
        <v/>
      </c>
      <c r="F428" s="15">
        <f>IFERROR(IF(ISNUMBER(D428),IF(ISNUMBER(AQ427),IF(ABS(AQ427-D428)&lt;=0.01,"PASS","FAIL"),"FAIL"),IF(NOT(ISNUMBER(AQ427)),IF(AQ427=D428,"PASS","FAIL"),"FAIL")),"FAIL")</f>
        <v/>
      </c>
      <c r="G428" s="16">
        <f>AR427</f>
        <v/>
      </c>
      <c r="H428" s="30" t="inlineStr">
        <is>
          <t>OK</t>
        </is>
      </c>
      <c r="I428" s="15">
        <f>IF(AR427=H428,"PASS","FAIL")</f>
        <v/>
      </c>
    </row>
    <row r="429">
      <c r="B429" s="8" t="inlineStr">
        <is>
          <t>Total Contribution Margin</t>
        </is>
      </c>
      <c r="C429" s="52">
        <f>AS427</f>
        <v/>
      </c>
      <c r="D429" s="53" t="n">
        <v>3188636.363636363</v>
      </c>
      <c r="E429" s="51">
        <f>IF(ISNUMBER(D429),IF(ISNUMBER(AS427),ABS(AS427-D429),"N/A"),"N/A")</f>
        <v/>
      </c>
      <c r="F429" s="15">
        <f>IFERROR(IF(ISNUMBER(D429),IF(ISNUMBER(AS427),IF(ABS(AS427-D429)&lt;=0.01,"PASS","FAIL"),"FAIL"),IF(NOT(ISNUMBER(AS427)),IF(AS427=D429,"PASS","FAIL"),"FAIL")),"FAIL")</f>
        <v/>
      </c>
      <c r="G429" s="16">
        <f>AT427</f>
        <v/>
      </c>
      <c r="H429" s="30" t="inlineStr">
        <is>
          <t>OK</t>
        </is>
      </c>
      <c r="I429" s="15">
        <f>IF(AT427=H429,"PASS","FAIL")</f>
        <v/>
      </c>
    </row>
    <row r="430">
      <c r="B430" s="8" t="inlineStr">
        <is>
          <t>Operating Profit</t>
        </is>
      </c>
      <c r="C430" s="52">
        <f>AU427</f>
        <v/>
      </c>
      <c r="D430" s="53" t="n">
        <v>1188636.363636363</v>
      </c>
      <c r="E430" s="51">
        <f>IF(ISNUMBER(D430),IF(ISNUMBER(AU427),ABS(AU427-D430),"N/A"),"N/A")</f>
        <v/>
      </c>
      <c r="F430" s="15">
        <f>IFERROR(IF(ISNUMBER(D430),IF(ISNUMBER(AU427),IF(ABS(AU427-D430)&lt;=0.01,"PASS","FAIL"),"FAIL"),IF(NOT(ISNUMBER(AU427)),IF(AU427=D430,"PASS","FAIL"),"FAIL")),"FAIL")</f>
        <v/>
      </c>
      <c r="G430" s="16">
        <f>AV427</f>
        <v/>
      </c>
      <c r="H430" s="30" t="inlineStr">
        <is>
          <t>OK</t>
        </is>
      </c>
      <c r="I430" s="15">
        <f>IF(AV427=H430,"PASS","FAIL")</f>
        <v/>
      </c>
    </row>
    <row r="431">
      <c r="B431" s="8" t="inlineStr">
        <is>
          <t>Operating Profit Rate</t>
        </is>
      </c>
      <c r="C431" s="54">
        <f>AW427</f>
        <v/>
      </c>
      <c r="D431" s="55" t="n">
        <v>0.1867857142857142</v>
      </c>
      <c r="E431" s="51">
        <f>IF(ISNUMBER(D431),IF(ISNUMBER(AW427),ABS(AW427-D431),"N/A"),"N/A")</f>
        <v/>
      </c>
      <c r="F431" s="15">
        <f>IFERROR(IF(ISNUMBER(D431),IF(ISNUMBER(AW427),IF(ABS(AW427-D431)&lt;=1e-06,"PASS","FAIL"),"FAIL"),IF(NOT(ISNUMBER(AW427)),IF(AW427=D431,"PASS","FAIL"),"FAIL")),"FAIL")</f>
        <v/>
      </c>
      <c r="G431" s="16">
        <f>AX427</f>
        <v/>
      </c>
      <c r="H431" s="30" t="inlineStr">
        <is>
          <t>OK</t>
        </is>
      </c>
      <c r="I431" s="15">
        <f>IF(AX427=H431,"PASS","FAIL")</f>
        <v/>
      </c>
    </row>
    <row r="432">
      <c r="B432" s="8" t="inlineStr">
        <is>
          <t>Break-Even Quantity (Q_BEP)</t>
        </is>
      </c>
      <c r="C432" s="25">
        <f>AY427</f>
        <v/>
      </c>
      <c r="D432" s="21" t="n">
        <v>125.4454739843193</v>
      </c>
      <c r="E432" s="51">
        <f>IF(ISNUMBER(D432),IF(ISNUMBER(AY427),ABS(AY427-D432),"N/A"),"N/A")</f>
        <v/>
      </c>
      <c r="F432" s="15">
        <f>IFERROR(IF(ISNUMBER(D432),IF(ISNUMBER(AY427),IF(ABS(AY427-D432)&lt;=0.01,"PASS","FAIL"),"FAIL"),IF(NOT(ISNUMBER(AY427)),IF(AY427=D432,"PASS","FAIL"),"FAIL")),"FAIL")</f>
        <v/>
      </c>
      <c r="G432" s="16">
        <f>AZ427</f>
        <v/>
      </c>
      <c r="H432" s="30" t="inlineStr">
        <is>
          <t>OK</t>
        </is>
      </c>
      <c r="I432" s="15">
        <f>IF(AZ427=H432,"PASS","FAIL")</f>
        <v/>
      </c>
    </row>
    <row r="433">
      <c r="B433" s="8" t="inlineStr">
        <is>
          <t>Margin of Safety Quantity</t>
        </is>
      </c>
      <c r="C433" s="25">
        <f>BA427</f>
        <v/>
      </c>
      <c r="D433" s="21" t="n">
        <v>74.55452601568066</v>
      </c>
      <c r="E433" s="51">
        <f>IF(ISNUMBER(D433),IF(ISNUMBER(BA427),ABS(BA427-D433),"N/A"),"N/A")</f>
        <v/>
      </c>
      <c r="F433" s="15">
        <f>IFERROR(IF(ISNUMBER(D433),IF(ISNUMBER(BA427),IF(ABS(BA427-D433)&lt;=0.01,"PASS","FAIL"),"FAIL"),IF(NOT(ISNUMBER(BA427)),IF(BA427=D433,"PASS","FAIL"),"FAIL")),"FAIL")</f>
        <v/>
      </c>
      <c r="G433" s="16">
        <f>BB427</f>
        <v/>
      </c>
      <c r="H433" s="30" t="inlineStr">
        <is>
          <t>OK</t>
        </is>
      </c>
      <c r="I433" s="15">
        <f>IF(BB427=H433,"PASS","FAIL")</f>
        <v/>
      </c>
    </row>
    <row r="434">
      <c r="B434" s="8" t="inlineStr">
        <is>
          <t>Margin of Safety Rate</t>
        </is>
      </c>
      <c r="C434" s="54">
        <f>BC427</f>
        <v/>
      </c>
      <c r="D434" s="55" t="n">
        <v>0.3727726300784033</v>
      </c>
      <c r="E434" s="51">
        <f>IF(ISNUMBER(D434),IF(ISNUMBER(BC427),ABS(BC427-D434),"N/A"),"N/A")</f>
        <v/>
      </c>
      <c r="F434" s="15">
        <f>IFERROR(IF(ISNUMBER(D434),IF(ISNUMBER(BC427),IF(ABS(BC427-D434)&lt;=1e-06,"PASS","FAIL"),"FAIL"),IF(NOT(ISNUMBER(BC427)),IF(BC427=D434,"PASS","FAIL"),"FAIL")),"FAIL")</f>
        <v/>
      </c>
      <c r="G434" s="16">
        <f>BD427</f>
        <v/>
      </c>
      <c r="H434" s="30" t="inlineStr">
        <is>
          <t>OK</t>
        </is>
      </c>
      <c r="I434" s="15">
        <f>IF(BD427=H434,"PASS","FAIL")</f>
        <v/>
      </c>
    </row>
    <row r="435">
      <c r="B435" s="8" t="inlineStr">
        <is>
          <t>Module Status</t>
        </is>
      </c>
      <c r="C435" s="16">
        <f>BE427</f>
        <v/>
      </c>
      <c r="D435" s="30" t="inlineStr">
        <is>
          <t>OK</t>
        </is>
      </c>
      <c r="F435" s="15">
        <f>IF(BE427=D435,"PASS","FAIL")</f>
        <v/>
      </c>
    </row>
    <row r="436">
      <c r="B436" s="8" t="inlineStr">
        <is>
          <t>Analysis Period Basis</t>
        </is>
      </c>
      <c r="C436" s="16">
        <f>BF427</f>
        <v/>
      </c>
      <c r="D436" s="30" t="inlineStr">
        <is>
          <t>per_month</t>
        </is>
      </c>
      <c r="F436" s="15">
        <f>IF(BF427=D436,"PASS","FAIL")</f>
        <v/>
      </c>
    </row>
    <row r="437">
      <c r="B437" s="8" t="inlineStr">
        <is>
          <t>Self-Check: |MoS qty × CMu − Operating Profit| ≤ tol</t>
        </is>
      </c>
      <c r="C437" s="36">
        <f>IF(OR(NOT(ISNUMBER(BA427)),NOT(ISNUMBER(AN427)),NOT(ISNUMBER(AU427))),"SKIP",IF(ABS(BA427*AN427-AU427)&lt;=0.01,"PASS","FAIL"))</f>
        <v/>
      </c>
      <c r="D437" s="34" t="n"/>
      <c r="F437" s="15">
        <f>IF(C437="FAIL","FAIL","PASS")</f>
        <v/>
      </c>
    </row>
    <row r="439" ht="20" customHeight="1">
      <c r="B439" s="2" t="inlineStr">
        <is>
          <t>V32. units_per_order = 1.5 (non-integer average)</t>
        </is>
      </c>
      <c r="C439" s="7" t="n"/>
      <c r="D439" s="7" t="n"/>
      <c r="E439" s="7" t="n"/>
      <c r="F439" s="7" t="n"/>
      <c r="G439" s="7" t="n"/>
      <c r="H439" s="7" t="n"/>
      <c r="I439" s="7" t="n"/>
    </row>
    <row r="440">
      <c r="B440" s="4" t="inlineStr">
        <is>
          <t>Metric</t>
        </is>
      </c>
      <c r="C440" s="4" t="inlineStr">
        <is>
          <t>Excel Result</t>
        </is>
      </c>
      <c r="D440" s="4" t="inlineStr">
        <is>
          <t>Python Reference</t>
        </is>
      </c>
      <c r="E440" s="4" t="inlineStr">
        <is>
          <t>Difference</t>
        </is>
      </c>
      <c r="F440" s="4" t="inlineStr">
        <is>
          <t>PASS / FAIL</t>
        </is>
      </c>
      <c r="G440" s="4" t="inlineStr">
        <is>
          <t>Excel Status</t>
        </is>
      </c>
      <c r="H440" s="4" t="inlineStr">
        <is>
          <t>Python Status</t>
        </is>
      </c>
      <c r="I440" s="4" t="inlineStr">
        <is>
          <t>Status PASS</t>
        </is>
      </c>
    </row>
    <row r="441">
      <c r="B441" s="8" t="inlineStr">
        <is>
          <t>Planned Quantity (units)</t>
        </is>
      </c>
      <c r="C441" s="25">
        <f>AO441</f>
        <v/>
      </c>
      <c r="D441" s="21" t="n">
        <v>200</v>
      </c>
      <c r="E441" s="51">
        <f>IF(ISNUMBER(D441),IF(ISNUMBER(AO441),ABS(AO441-D441),"N/A"),"N/A")</f>
        <v/>
      </c>
      <c r="F441" s="15">
        <f>IFERROR(IF(ISNUMBER(D441),IF(ISNUMBER(AO441),IF(ABS(AO441-D441)&lt;=0.01,"PASS","FAIL"),"FAIL"),IF(NOT(ISNUMBER(AO441)),IF(AO441=D441,"PASS","FAIL"),"FAIL")),"FAIL")</f>
        <v/>
      </c>
      <c r="G441" s="16">
        <f>AP441</f>
        <v/>
      </c>
      <c r="H441" s="30" t="inlineStr">
        <is>
          <t>OK</t>
        </is>
      </c>
      <c r="I441" s="15">
        <f>IF(AP441=H441,"PASS","FAIL")</f>
        <v/>
      </c>
      <c r="M441" t="n">
        <v>35000</v>
      </c>
      <c r="N441" t="b">
        <v>1</v>
      </c>
      <c r="O441" t="n">
        <v>0.1</v>
      </c>
      <c r="P441" t="n">
        <v>13500</v>
      </c>
      <c r="Q441" t="n">
        <v>3000</v>
      </c>
      <c r="R441" t="b">
        <v>1</v>
      </c>
      <c r="S441" t="n">
        <v>0</v>
      </c>
      <c r="T441" t="n">
        <v>0.025</v>
      </c>
      <c r="U441" t="n">
        <v>2000000</v>
      </c>
      <c r="V441" t="inlineStr">
        <is>
          <t>per_month</t>
        </is>
      </c>
      <c r="W441" t="inlineStr">
        <is>
          <t>component</t>
        </is>
      </c>
      <c r="X441" t="inlineStr">
        <is>
          <t>consistent</t>
        </is>
      </c>
      <c r="Y441" t="n">
        <v>1</v>
      </c>
      <c r="Z441" t="inlineStr">
        <is>
          <t>present</t>
        </is>
      </c>
      <c r="AA441" t="n">
        <v>200</v>
      </c>
      <c r="AB441" t="inlineStr">
        <is>
          <t>per_month</t>
        </is>
      </c>
      <c r="AC441" t="n">
        <v>1.5</v>
      </c>
      <c r="AD441">
        <f>IFERROR(IF(ISBLANK($M$441),"UNKNOWN",IF(ISBLANK($N$441),"UNKNOWN",IF($N$441=FALSE,$M$441,IF(ISBLANK($O$441),"UNKNOWN",$M$441/(1+$O$441))))),"ERROR")</f>
        <v/>
      </c>
      <c r="AE441">
        <f>IFERROR(IF(ISBLANK($M$441),"UNKNOWN",IF(ISBLANK($N$441),"UNKNOWN",IF($N$441=TRUE,$M$441,IF(ISBLANK($O$441),"UNKNOWN",$M$441*(1+$O$441))))),"ERROR")</f>
        <v/>
      </c>
      <c r="AF441">
        <f>IF($Y$441&gt;1,"ERROR",IFERROR(IF(AD441="ERROR","ERROR",IF(OR(NOT(ISNUMBER(AD441)),ISBLANK($P$441),ISBLANK($Q$441),ISBLANK($S$441),ISBLANK($T$441)),"UNKNOWN",IF($T$441&gt;0,IF(AE441="ERROR","ERROR",IF(NOT(ISNUMBER(AE441)),"UNKNOWN",AD441-$P$441-$Q$441-$S$441*AD441-$T$441*AE441)),AD441-$P$441-$Q$441-$S$441*AD441))),"ERROR"))</f>
        <v/>
      </c>
      <c r="AG441">
        <f>IF($Y$441&gt;1,"ERROR",IFERROR(IF($W$441="invalid_direct","ERROR",IF($X$441="inconsistent","ERROR",IF($W$441="none",0,IF(OR($W$441="unresolved",$W$441="blended_only"),"UNKNOWN",IF(ISBLANK($U$441),"UNKNOWN",IF($U$441&lt;0,"ERROR",$U$441)))))),"ERROR"))</f>
        <v/>
      </c>
      <c r="AH441">
        <f>IF($Y$441&gt;1,"",IF(OR($W$441="invalid_direct",$X$441="inconsistent"),"",IF($W$441="none","",IF(OR($W$441="unresolved",$W$441="blended_only"),"",IF(ISBLANK($U$441),"",IF($U$441&lt;0,"",$V$441))))))</f>
        <v/>
      </c>
      <c r="AI441">
        <f>IF($Y$441&gt;1,"ERROR",IFERROR(IF(OR(AF441="ERROR",AG441="ERROR"),"ERROR",IF(OR(NOT(ISNUMBER(AF441)),NOT(ISNUMBER(AG441))),"UNKNOWN",IF(AF441&lt;=0,"NOT_APPLICABLE",AG441/AF441))),"ERROR"))</f>
        <v/>
      </c>
      <c r="AJ441">
        <f>IF($Y$441&gt;1,"MULTI_COMPONENT_BEP_NOT_SUPPORTED",IF($W$441="invalid_direct","INVALID_ALLOCATION_CONFIGURATION",IF($X$441="inconsistent","INCONSISTENT_FIXED_COST_BASIS",IF(AND($W$441="component",NOT(ISBLANK($U$441)),$U$441&lt;0),"INVALID_NEGATIVE_COST",IF(AF441="ERROR","CALCULATION_ERROR",IF($W$441="blended_only","FIXED_COST_BLENDED_ONLY_NOT_ALLOCATED",IF($W$441="unresolved","UNSUPPORTED_SHARED_COST_ALLOCATION",IF(NOT(ISNUMBER(AF441)),"MISSING_DEPENDENCY",IF(AND($W$441="component",ISBLANK($U$441)),"MISSING_DEPENDENCY",IF(AND(AF441=0,AG441=0),"BREAK_EVEN_UNDEFINED_ZERO_MARGIN_ZERO_FIXED_COST",IF(AF441=0,"BREAK_EVEN_UNDEFINED_ZERO_MARGIN",IF(AF441&lt;0,"BREAK_EVEN_UNDEFINED_NEGATIVE_MARGIN","NONE"))))))))))))</f>
        <v/>
      </c>
      <c r="AK441">
        <f>IF(AND(NOT(ISBLANK($AA$441)),$AA$441&lt;0),"ERROR",IF(AND($AB$441&lt;&gt;"",$AB$441&lt;&gt;"per_month"),"ERROR",IF(OR(ISBLANK($AA$441),$AB$441=""),"UNKNOWN",$AA$441)))</f>
        <v/>
      </c>
      <c r="AL441">
        <f>IF(AND(ISNUMBER(AG441),AH441&lt;&gt;"",AH441&lt;&gt;"per_month"),"ERROR",AG441)</f>
        <v/>
      </c>
      <c r="AM441">
        <f>IF(ISBLANK($AC$441),"none",IF(AND(ISNUMBER($AC$441),$AC$441&gt;0),"valid","invalid"))</f>
        <v/>
      </c>
      <c r="AN441">
        <f>IF(AM441="invalid","ERROR",IF(AND(AM441="valid",$R$441=TRUE,ISNUMBER(AF441)),AF441+$Q$441*(1-1/$AC$441),AF441))</f>
        <v/>
      </c>
      <c r="AO441">
        <f>IF($Z$441="absent","NOT_RUN",IF($Y$441&gt;1,"ERROR",AK441))</f>
        <v/>
      </c>
      <c r="AP441">
        <f>IF(ISNUMBER(AO441),"OK",AO441)</f>
        <v/>
      </c>
      <c r="AQ441">
        <f>IF($Z$441="absent","NOT_RUN",IF($Y$441&gt;1,"ERROR",IFERROR(IF(OR(AK441="ERROR",AD441="ERROR"),"ERROR",IF(OR(NOT(ISNUMBER(AK441)),NOT(ISNUMBER(AD441))),"UNKNOWN",AD441*AK441)),"ERROR")))</f>
        <v/>
      </c>
      <c r="AR441">
        <f>IF(ISNUMBER(AQ441),"OK",AQ441)</f>
        <v/>
      </c>
      <c r="AS441">
        <f>IF($Z$441="absent","NOT_RUN",IF($Y$441&gt;1,"ERROR",IFERROR(IF(OR(AK441="ERROR",AN441="ERROR"),"ERROR",IF(OR(NOT(ISNUMBER(AK441)),NOT(ISNUMBER(AN441))),"UNKNOWN",AN441*AK441)),"ERROR")))</f>
        <v/>
      </c>
      <c r="AT441">
        <f>IF(ISNUMBER(AS441),IF(AND($R$441=TRUE,AM441="none"),"ESTIMATED","OK"),AS441)</f>
        <v/>
      </c>
      <c r="AU441">
        <f>IF($Z$441="absent","NOT_RUN",IF($Y$441&gt;1,"ERROR",IFERROR(IF(OR(AK441="ERROR",AN441="ERROR",AL441="ERROR"),"ERROR",IF(OR(NOT(ISNUMBER(AK441)),NOT(ISNUMBER(AN441)),NOT(ISNUMBER(AL441))),"UNKNOWN",AN441*AK441-AL441)),"ERROR")))</f>
        <v/>
      </c>
      <c r="AV441">
        <f>IF(ISNUMBER(AU441),IF(AND($R$441=TRUE,AM441="none"),"ESTIMATED","OK"),AU441)</f>
        <v/>
      </c>
      <c r="AW441">
        <f>IF($Z$441="absent","NOT_RUN",IF($Y$441&gt;1,"ERROR",IFERROR(IF(OR(AU441="ERROR",AQ441="ERROR"),"ERROR",IF(OR(NOT(ISNUMBER(AU441)),NOT(ISNUMBER(AQ441))),"UNKNOWN",IF(AQ441=0,"NOT_APPLICABLE",AU441/AQ441))),"ERROR")))</f>
        <v/>
      </c>
      <c r="AX441">
        <f>IF(ISNUMBER(AW441),IF(AND($R$441=TRUE,AM441="none"),"ESTIMATED","OK"),AW441)</f>
        <v/>
      </c>
      <c r="AY441">
        <f>IF($Z$441="absent","NOT_RUN",IF($Y$441&gt;1,"ERROR",IFERROR(IF(OR(AN441="ERROR",AL441="ERROR"),"ERROR",IF(OR(NOT(ISNUMBER(AN441)),NOT(ISNUMBER(AL441))),"UNKNOWN",IF(AN441&lt;=0,"NOT_APPLICABLE",AL441/AN441))),"ERROR")))</f>
        <v/>
      </c>
      <c r="AZ441">
        <f>IF(ISNUMBER(AY441),IF(AND($R$441=TRUE,AM441="none"),"ESTIMATED","OK"),AY441)</f>
        <v/>
      </c>
      <c r="BA441">
        <f>IF($Z$441="absent","NOT_RUN",IF($Y$441&gt;1,"ERROR",IFERROR(IF(OR(AK441="ERROR",AN441="ERROR",AL441="ERROR"),"ERROR",IF(OR(NOT(ISNUMBER(AK441)),NOT(ISNUMBER(AN441)),NOT(ISNUMBER(AL441))),"UNKNOWN",IF(AN441&lt;=0,"NOT_APPLICABLE",AK441-AY441))),"ERROR")))</f>
        <v/>
      </c>
      <c r="BB441">
        <f>IF(ISNUMBER(BA441),IF(AND($R$441=TRUE,AM441="none"),"ESTIMATED","OK"),BA441)</f>
        <v/>
      </c>
      <c r="BC441">
        <f>IF($Z$441="absent","NOT_RUN",IF($Y$441&gt;1,"ERROR",IFERROR(IF(OR(AK441="ERROR",AN441="ERROR",AL441="ERROR"),"ERROR",IF(OR(NOT(ISNUMBER(AK441)),NOT(ISNUMBER(AN441)),NOT(ISNUMBER(AL441))),"UNKNOWN",IF(OR(AN441&lt;=0,AK441=0),"NOT_APPLICABLE",(AK441-AY441)/AK441))),"ERROR")))</f>
        <v/>
      </c>
      <c r="BD441">
        <f>IF(ISNUMBER(BC441),IF(AND($R$441=TRUE,AM441="none"),"ESTIMATED","OK"),BC441)</f>
        <v/>
      </c>
      <c r="BE441">
        <f>IF($Z$441="absent","NOT_RUN",IF(OR(AP441="ERROR",AR441="ERROR",AT441="ERROR",AV441="ERROR",AX441="ERROR",AZ441="ERROR",BB441="ERROR",BD441="ERROR"),"ERROR",IF(OR(AP441="UNKNOWN",AR441="UNKNOWN",AT441="UNKNOWN",AV441="UNKNOWN",AX441="UNKNOWN",AZ441="UNKNOWN",BB441="UNKNOWN",BD441="UNKNOWN"),"INCOMPLETE","OK")))</f>
        <v/>
      </c>
      <c r="BF441">
        <f>IF($Z$441="absent","",AH441)</f>
        <v/>
      </c>
    </row>
    <row r="442">
      <c r="B442" s="8" t="inlineStr">
        <is>
          <t>Total Net Sales ex VAT</t>
        </is>
      </c>
      <c r="C442" s="52">
        <f>AQ441</f>
        <v/>
      </c>
      <c r="D442" s="53" t="n">
        <v>6363636.363636363</v>
      </c>
      <c r="E442" s="51">
        <f>IF(ISNUMBER(D442),IF(ISNUMBER(AQ441),ABS(AQ441-D442),"N/A"),"N/A")</f>
        <v/>
      </c>
      <c r="F442" s="15">
        <f>IFERROR(IF(ISNUMBER(D442),IF(ISNUMBER(AQ441),IF(ABS(AQ441-D442)&lt;=0.01,"PASS","FAIL"),"FAIL"),IF(NOT(ISNUMBER(AQ441)),IF(AQ441=D442,"PASS","FAIL"),"FAIL")),"FAIL")</f>
        <v/>
      </c>
      <c r="G442" s="16">
        <f>AR441</f>
        <v/>
      </c>
      <c r="H442" s="30" t="inlineStr">
        <is>
          <t>OK</t>
        </is>
      </c>
      <c r="I442" s="15">
        <f>IF(AR441=H442,"PASS","FAIL")</f>
        <v/>
      </c>
    </row>
    <row r="443">
      <c r="B443" s="8" t="inlineStr">
        <is>
          <t>Total Contribution Margin</t>
        </is>
      </c>
      <c r="C443" s="52">
        <f>AS441</f>
        <v/>
      </c>
      <c r="D443" s="53" t="n">
        <v>3088636.363636363</v>
      </c>
      <c r="E443" s="51">
        <f>IF(ISNUMBER(D443),IF(ISNUMBER(AS441),ABS(AS441-D443),"N/A"),"N/A")</f>
        <v/>
      </c>
      <c r="F443" s="15">
        <f>IFERROR(IF(ISNUMBER(D443),IF(ISNUMBER(AS441),IF(ABS(AS441-D443)&lt;=0.01,"PASS","FAIL"),"FAIL"),IF(NOT(ISNUMBER(AS441)),IF(AS441=D443,"PASS","FAIL"),"FAIL")),"FAIL")</f>
        <v/>
      </c>
      <c r="G443" s="16">
        <f>AT441</f>
        <v/>
      </c>
      <c r="H443" s="30" t="inlineStr">
        <is>
          <t>OK</t>
        </is>
      </c>
      <c r="I443" s="15">
        <f>IF(AT441=H443,"PASS","FAIL")</f>
        <v/>
      </c>
    </row>
    <row r="444">
      <c r="B444" s="8" t="inlineStr">
        <is>
          <t>Operating Profit</t>
        </is>
      </c>
      <c r="C444" s="52">
        <f>AU441</f>
        <v/>
      </c>
      <c r="D444" s="53" t="n">
        <v>1088636.363636363</v>
      </c>
      <c r="E444" s="51">
        <f>IF(ISNUMBER(D444),IF(ISNUMBER(AU441),ABS(AU441-D444),"N/A"),"N/A")</f>
        <v/>
      </c>
      <c r="F444" s="15">
        <f>IFERROR(IF(ISNUMBER(D444),IF(ISNUMBER(AU441),IF(ABS(AU441-D444)&lt;=0.01,"PASS","FAIL"),"FAIL"),IF(NOT(ISNUMBER(AU441)),IF(AU441=D444,"PASS","FAIL"),"FAIL")),"FAIL")</f>
        <v/>
      </c>
      <c r="G444" s="16">
        <f>AV441</f>
        <v/>
      </c>
      <c r="H444" s="30" t="inlineStr">
        <is>
          <t>OK</t>
        </is>
      </c>
      <c r="I444" s="15">
        <f>IF(AV441=H444,"PASS","FAIL")</f>
        <v/>
      </c>
    </row>
    <row r="445">
      <c r="B445" s="8" t="inlineStr">
        <is>
          <t>Operating Profit Rate</t>
        </is>
      </c>
      <c r="C445" s="54">
        <f>AW441</f>
        <v/>
      </c>
      <c r="D445" s="55" t="n">
        <v>0.1710714285714285</v>
      </c>
      <c r="E445" s="51">
        <f>IF(ISNUMBER(D445),IF(ISNUMBER(AW441),ABS(AW441-D445),"N/A"),"N/A")</f>
        <v/>
      </c>
      <c r="F445" s="15">
        <f>IFERROR(IF(ISNUMBER(D445),IF(ISNUMBER(AW441),IF(ABS(AW441-D445)&lt;=1e-06,"PASS","FAIL"),"FAIL"),IF(NOT(ISNUMBER(AW441)),IF(AW441=D445,"PASS","FAIL"),"FAIL")),"FAIL")</f>
        <v/>
      </c>
      <c r="G445" s="16">
        <f>AX441</f>
        <v/>
      </c>
      <c r="H445" s="30" t="inlineStr">
        <is>
          <t>OK</t>
        </is>
      </c>
      <c r="I445" s="15">
        <f>IF(AX441=H445,"PASS","FAIL")</f>
        <v/>
      </c>
    </row>
    <row r="446">
      <c r="B446" s="8" t="inlineStr">
        <is>
          <t>Break-Even Quantity (Q_BEP)</t>
        </is>
      </c>
      <c r="C446" s="25">
        <f>AY441</f>
        <v/>
      </c>
      <c r="D446" s="21" t="n">
        <v>129.5069904341428</v>
      </c>
      <c r="E446" s="51">
        <f>IF(ISNUMBER(D446),IF(ISNUMBER(AY441),ABS(AY441-D446),"N/A"),"N/A")</f>
        <v/>
      </c>
      <c r="F446" s="15">
        <f>IFERROR(IF(ISNUMBER(D446),IF(ISNUMBER(AY441),IF(ABS(AY441-D446)&lt;=0.01,"PASS","FAIL"),"FAIL"),IF(NOT(ISNUMBER(AY441)),IF(AY441=D446,"PASS","FAIL"),"FAIL")),"FAIL")</f>
        <v/>
      </c>
      <c r="G446" s="16">
        <f>AZ441</f>
        <v/>
      </c>
      <c r="H446" s="30" t="inlineStr">
        <is>
          <t>OK</t>
        </is>
      </c>
      <c r="I446" s="15">
        <f>IF(AZ441=H446,"PASS","FAIL")</f>
        <v/>
      </c>
    </row>
    <row r="447">
      <c r="B447" s="8" t="inlineStr">
        <is>
          <t>Margin of Safety Quantity</t>
        </is>
      </c>
      <c r="C447" s="25">
        <f>BA441</f>
        <v/>
      </c>
      <c r="D447" s="21" t="n">
        <v>70.49300956585722</v>
      </c>
      <c r="E447" s="51">
        <f>IF(ISNUMBER(D447),IF(ISNUMBER(BA441),ABS(BA441-D447),"N/A"),"N/A")</f>
        <v/>
      </c>
      <c r="F447" s="15">
        <f>IFERROR(IF(ISNUMBER(D447),IF(ISNUMBER(BA441),IF(ABS(BA441-D447)&lt;=0.01,"PASS","FAIL"),"FAIL"),IF(NOT(ISNUMBER(BA441)),IF(BA441=D447,"PASS","FAIL"),"FAIL")),"FAIL")</f>
        <v/>
      </c>
      <c r="G447" s="16">
        <f>BB441</f>
        <v/>
      </c>
      <c r="H447" s="30" t="inlineStr">
        <is>
          <t>OK</t>
        </is>
      </c>
      <c r="I447" s="15">
        <f>IF(BB441=H447,"PASS","FAIL")</f>
        <v/>
      </c>
    </row>
    <row r="448">
      <c r="B448" s="8" t="inlineStr">
        <is>
          <t>Margin of Safety Rate</t>
        </is>
      </c>
      <c r="C448" s="54">
        <f>BC441</f>
        <v/>
      </c>
      <c r="D448" s="55" t="n">
        <v>0.3524650478292861</v>
      </c>
      <c r="E448" s="51">
        <f>IF(ISNUMBER(D448),IF(ISNUMBER(BC441),ABS(BC441-D448),"N/A"),"N/A")</f>
        <v/>
      </c>
      <c r="F448" s="15">
        <f>IFERROR(IF(ISNUMBER(D448),IF(ISNUMBER(BC441),IF(ABS(BC441-D448)&lt;=1e-06,"PASS","FAIL"),"FAIL"),IF(NOT(ISNUMBER(BC441)),IF(BC441=D448,"PASS","FAIL"),"FAIL")),"FAIL")</f>
        <v/>
      </c>
      <c r="G448" s="16">
        <f>BD441</f>
        <v/>
      </c>
      <c r="H448" s="30" t="inlineStr">
        <is>
          <t>OK</t>
        </is>
      </c>
      <c r="I448" s="15">
        <f>IF(BD441=H448,"PASS","FAIL")</f>
        <v/>
      </c>
    </row>
    <row r="449">
      <c r="B449" s="8" t="inlineStr">
        <is>
          <t>Module Status</t>
        </is>
      </c>
      <c r="C449" s="16">
        <f>BE441</f>
        <v/>
      </c>
      <c r="D449" s="30" t="inlineStr">
        <is>
          <t>OK</t>
        </is>
      </c>
      <c r="F449" s="15">
        <f>IF(BE441=D449,"PASS","FAIL")</f>
        <v/>
      </c>
    </row>
    <row r="450">
      <c r="B450" s="8" t="inlineStr">
        <is>
          <t>Analysis Period Basis</t>
        </is>
      </c>
      <c r="C450" s="16">
        <f>BF441</f>
        <v/>
      </c>
      <c r="D450" s="30" t="inlineStr">
        <is>
          <t>per_month</t>
        </is>
      </c>
      <c r="F450" s="15">
        <f>IF(BF441=D450,"PASS","FAIL")</f>
        <v/>
      </c>
    </row>
    <row r="451">
      <c r="B451" s="8" t="inlineStr">
        <is>
          <t>Self-Check: |MoS qty × CMu − Operating Profit| ≤ tol</t>
        </is>
      </c>
      <c r="C451" s="36">
        <f>IF(OR(NOT(ISNUMBER(BA441)),NOT(ISNUMBER(AN441)),NOT(ISNUMBER(AU441))),"SKIP",IF(ABS(BA441*AN441-AU441)&lt;=0.01,"PASS","FAIL"))</f>
        <v/>
      </c>
      <c r="D451" s="34" t="n"/>
      <c r="F451" s="15">
        <f>IF(C451="FAIL","FAIL","PASS")</f>
        <v/>
      </c>
    </row>
    <row r="453" ht="20" customHeight="1">
      <c r="B453" s="2" t="inlineStr">
        <is>
          <t>V33. units_per_order = 1 equals the per-unit case</t>
        </is>
      </c>
      <c r="C453" s="7" t="n"/>
      <c r="D453" s="7" t="n"/>
      <c r="E453" s="7" t="n"/>
      <c r="F453" s="7" t="n"/>
      <c r="G453" s="7" t="n"/>
      <c r="H453" s="7" t="n"/>
      <c r="I453" s="7" t="n"/>
    </row>
    <row r="454">
      <c r="B454" s="4" t="inlineStr">
        <is>
          <t>Metric</t>
        </is>
      </c>
      <c r="C454" s="4" t="inlineStr">
        <is>
          <t>Excel Result</t>
        </is>
      </c>
      <c r="D454" s="4" t="inlineStr">
        <is>
          <t>Python Reference</t>
        </is>
      </c>
      <c r="E454" s="4" t="inlineStr">
        <is>
          <t>Difference</t>
        </is>
      </c>
      <c r="F454" s="4" t="inlineStr">
        <is>
          <t>PASS / FAIL</t>
        </is>
      </c>
      <c r="G454" s="4" t="inlineStr">
        <is>
          <t>Excel Status</t>
        </is>
      </c>
      <c r="H454" s="4" t="inlineStr">
        <is>
          <t>Python Status</t>
        </is>
      </c>
      <c r="I454" s="4" t="inlineStr">
        <is>
          <t>Status PASS</t>
        </is>
      </c>
    </row>
    <row r="455">
      <c r="B455" s="8" t="inlineStr">
        <is>
          <t>Planned Quantity (units)</t>
        </is>
      </c>
      <c r="C455" s="25">
        <f>AO455</f>
        <v/>
      </c>
      <c r="D455" s="21" t="n">
        <v>200</v>
      </c>
      <c r="E455" s="51">
        <f>IF(ISNUMBER(D455),IF(ISNUMBER(AO455),ABS(AO455-D455),"N/A"),"N/A")</f>
        <v/>
      </c>
      <c r="F455" s="15">
        <f>IFERROR(IF(ISNUMBER(D455),IF(ISNUMBER(AO455),IF(ABS(AO455-D455)&lt;=0.01,"PASS","FAIL"),"FAIL"),IF(NOT(ISNUMBER(AO455)),IF(AO455=D455,"PASS","FAIL"),"FAIL")),"FAIL")</f>
        <v/>
      </c>
      <c r="G455" s="16">
        <f>AP455</f>
        <v/>
      </c>
      <c r="H455" s="30" t="inlineStr">
        <is>
          <t>OK</t>
        </is>
      </c>
      <c r="I455" s="15">
        <f>IF(AP455=H455,"PASS","FAIL")</f>
        <v/>
      </c>
      <c r="M455" t="n">
        <v>35000</v>
      </c>
      <c r="N455" t="b">
        <v>1</v>
      </c>
      <c r="O455" t="n">
        <v>0.1</v>
      </c>
      <c r="P455" t="n">
        <v>13500</v>
      </c>
      <c r="Q455" t="n">
        <v>3000</v>
      </c>
      <c r="R455" t="b">
        <v>1</v>
      </c>
      <c r="S455" t="n">
        <v>0</v>
      </c>
      <c r="T455" t="n">
        <v>0.025</v>
      </c>
      <c r="U455" t="n">
        <v>2000000</v>
      </c>
      <c r="V455" t="inlineStr">
        <is>
          <t>per_month</t>
        </is>
      </c>
      <c r="W455" t="inlineStr">
        <is>
          <t>component</t>
        </is>
      </c>
      <c r="X455" t="inlineStr">
        <is>
          <t>consistent</t>
        </is>
      </c>
      <c r="Y455" t="n">
        <v>1</v>
      </c>
      <c r="Z455" t="inlineStr">
        <is>
          <t>present</t>
        </is>
      </c>
      <c r="AA455" t="n">
        <v>200</v>
      </c>
      <c r="AB455" t="inlineStr">
        <is>
          <t>per_month</t>
        </is>
      </c>
      <c r="AC455" t="n">
        <v>1</v>
      </c>
      <c r="AD455">
        <f>IFERROR(IF(ISBLANK($M$455),"UNKNOWN",IF(ISBLANK($N$455),"UNKNOWN",IF($N$455=FALSE,$M$455,IF(ISBLANK($O$455),"UNKNOWN",$M$455/(1+$O$455))))),"ERROR")</f>
        <v/>
      </c>
      <c r="AE455">
        <f>IFERROR(IF(ISBLANK($M$455),"UNKNOWN",IF(ISBLANK($N$455),"UNKNOWN",IF($N$455=TRUE,$M$455,IF(ISBLANK($O$455),"UNKNOWN",$M$455*(1+$O$455))))),"ERROR")</f>
        <v/>
      </c>
      <c r="AF455">
        <f>IF($Y$455&gt;1,"ERROR",IFERROR(IF(AD455="ERROR","ERROR",IF(OR(NOT(ISNUMBER(AD455)),ISBLANK($P$455),ISBLANK($Q$455),ISBLANK($S$455),ISBLANK($T$455)),"UNKNOWN",IF($T$455&gt;0,IF(AE455="ERROR","ERROR",IF(NOT(ISNUMBER(AE455)),"UNKNOWN",AD455-$P$455-$Q$455-$S$455*AD455-$T$455*AE455)),AD455-$P$455-$Q$455-$S$455*AD455))),"ERROR"))</f>
        <v/>
      </c>
      <c r="AG455">
        <f>IF($Y$455&gt;1,"ERROR",IFERROR(IF($W$455="invalid_direct","ERROR",IF($X$455="inconsistent","ERROR",IF($W$455="none",0,IF(OR($W$455="unresolved",$W$455="blended_only"),"UNKNOWN",IF(ISBLANK($U$455),"UNKNOWN",IF($U$455&lt;0,"ERROR",$U$455)))))),"ERROR"))</f>
        <v/>
      </c>
      <c r="AH455">
        <f>IF($Y$455&gt;1,"",IF(OR($W$455="invalid_direct",$X$455="inconsistent"),"",IF($W$455="none","",IF(OR($W$455="unresolved",$W$455="blended_only"),"",IF(ISBLANK($U$455),"",IF($U$455&lt;0,"",$V$455))))))</f>
        <v/>
      </c>
      <c r="AI455">
        <f>IF($Y$455&gt;1,"ERROR",IFERROR(IF(OR(AF455="ERROR",AG455="ERROR"),"ERROR",IF(OR(NOT(ISNUMBER(AF455)),NOT(ISNUMBER(AG455))),"UNKNOWN",IF(AF455&lt;=0,"NOT_APPLICABLE",AG455/AF455))),"ERROR"))</f>
        <v/>
      </c>
      <c r="AJ455">
        <f>IF($Y$455&gt;1,"MULTI_COMPONENT_BEP_NOT_SUPPORTED",IF($W$455="invalid_direct","INVALID_ALLOCATION_CONFIGURATION",IF($X$455="inconsistent","INCONSISTENT_FIXED_COST_BASIS",IF(AND($W$455="component",NOT(ISBLANK($U$455)),$U$455&lt;0),"INVALID_NEGATIVE_COST",IF(AF455="ERROR","CALCULATION_ERROR",IF($W$455="blended_only","FIXED_COST_BLENDED_ONLY_NOT_ALLOCATED",IF($W$455="unresolved","UNSUPPORTED_SHARED_COST_ALLOCATION",IF(NOT(ISNUMBER(AF455)),"MISSING_DEPENDENCY",IF(AND($W$455="component",ISBLANK($U$455)),"MISSING_DEPENDENCY",IF(AND(AF455=0,AG455=0),"BREAK_EVEN_UNDEFINED_ZERO_MARGIN_ZERO_FIXED_COST",IF(AF455=0,"BREAK_EVEN_UNDEFINED_ZERO_MARGIN",IF(AF455&lt;0,"BREAK_EVEN_UNDEFINED_NEGATIVE_MARGIN","NONE"))))))))))))</f>
        <v/>
      </c>
      <c r="AK455">
        <f>IF(AND(NOT(ISBLANK($AA$455)),$AA$455&lt;0),"ERROR",IF(AND($AB$455&lt;&gt;"",$AB$455&lt;&gt;"per_month"),"ERROR",IF(OR(ISBLANK($AA$455),$AB$455=""),"UNKNOWN",$AA$455)))</f>
        <v/>
      </c>
      <c r="AL455">
        <f>IF(AND(ISNUMBER(AG455),AH455&lt;&gt;"",AH455&lt;&gt;"per_month"),"ERROR",AG455)</f>
        <v/>
      </c>
      <c r="AM455">
        <f>IF(ISBLANK($AC$455),"none",IF(AND(ISNUMBER($AC$455),$AC$455&gt;0),"valid","invalid"))</f>
        <v/>
      </c>
      <c r="AN455">
        <f>IF(AM455="invalid","ERROR",IF(AND(AM455="valid",$R$455=TRUE,ISNUMBER(AF455)),AF455+$Q$455*(1-1/$AC$455),AF455))</f>
        <v/>
      </c>
      <c r="AO455">
        <f>IF($Z$455="absent","NOT_RUN",IF($Y$455&gt;1,"ERROR",AK455))</f>
        <v/>
      </c>
      <c r="AP455">
        <f>IF(ISNUMBER(AO455),"OK",AO455)</f>
        <v/>
      </c>
      <c r="AQ455">
        <f>IF($Z$455="absent","NOT_RUN",IF($Y$455&gt;1,"ERROR",IFERROR(IF(OR(AK455="ERROR",AD455="ERROR"),"ERROR",IF(OR(NOT(ISNUMBER(AK455)),NOT(ISNUMBER(AD455))),"UNKNOWN",AD455*AK455)),"ERROR")))</f>
        <v/>
      </c>
      <c r="AR455">
        <f>IF(ISNUMBER(AQ455),"OK",AQ455)</f>
        <v/>
      </c>
      <c r="AS455">
        <f>IF($Z$455="absent","NOT_RUN",IF($Y$455&gt;1,"ERROR",IFERROR(IF(OR(AK455="ERROR",AN455="ERROR"),"ERROR",IF(OR(NOT(ISNUMBER(AK455)),NOT(ISNUMBER(AN455))),"UNKNOWN",AN455*AK455)),"ERROR")))</f>
        <v/>
      </c>
      <c r="AT455">
        <f>IF(ISNUMBER(AS455),IF(AND($R$455=TRUE,AM455="none"),"ESTIMATED","OK"),AS455)</f>
        <v/>
      </c>
      <c r="AU455">
        <f>IF($Z$455="absent","NOT_RUN",IF($Y$455&gt;1,"ERROR",IFERROR(IF(OR(AK455="ERROR",AN455="ERROR",AL455="ERROR"),"ERROR",IF(OR(NOT(ISNUMBER(AK455)),NOT(ISNUMBER(AN455)),NOT(ISNUMBER(AL455))),"UNKNOWN",AN455*AK455-AL455)),"ERROR")))</f>
        <v/>
      </c>
      <c r="AV455">
        <f>IF(ISNUMBER(AU455),IF(AND($R$455=TRUE,AM455="none"),"ESTIMATED","OK"),AU455)</f>
        <v/>
      </c>
      <c r="AW455">
        <f>IF($Z$455="absent","NOT_RUN",IF($Y$455&gt;1,"ERROR",IFERROR(IF(OR(AU455="ERROR",AQ455="ERROR"),"ERROR",IF(OR(NOT(ISNUMBER(AU455)),NOT(ISNUMBER(AQ455))),"UNKNOWN",IF(AQ455=0,"NOT_APPLICABLE",AU455/AQ455))),"ERROR")))</f>
        <v/>
      </c>
      <c r="AX455">
        <f>IF(ISNUMBER(AW455),IF(AND($R$455=TRUE,AM455="none"),"ESTIMATED","OK"),AW455)</f>
        <v/>
      </c>
      <c r="AY455">
        <f>IF($Z$455="absent","NOT_RUN",IF($Y$455&gt;1,"ERROR",IFERROR(IF(OR(AN455="ERROR",AL455="ERROR"),"ERROR",IF(OR(NOT(ISNUMBER(AN455)),NOT(ISNUMBER(AL455))),"UNKNOWN",IF(AN455&lt;=0,"NOT_APPLICABLE",AL455/AN455))),"ERROR")))</f>
        <v/>
      </c>
      <c r="AZ455">
        <f>IF(ISNUMBER(AY455),IF(AND($R$455=TRUE,AM455="none"),"ESTIMATED","OK"),AY455)</f>
        <v/>
      </c>
      <c r="BA455">
        <f>IF($Z$455="absent","NOT_RUN",IF($Y$455&gt;1,"ERROR",IFERROR(IF(OR(AK455="ERROR",AN455="ERROR",AL455="ERROR"),"ERROR",IF(OR(NOT(ISNUMBER(AK455)),NOT(ISNUMBER(AN455)),NOT(ISNUMBER(AL455))),"UNKNOWN",IF(AN455&lt;=0,"NOT_APPLICABLE",AK455-AY455))),"ERROR")))</f>
        <v/>
      </c>
      <c r="BB455">
        <f>IF(ISNUMBER(BA455),IF(AND($R$455=TRUE,AM455="none"),"ESTIMATED","OK"),BA455)</f>
        <v/>
      </c>
      <c r="BC455">
        <f>IF($Z$455="absent","NOT_RUN",IF($Y$455&gt;1,"ERROR",IFERROR(IF(OR(AK455="ERROR",AN455="ERROR",AL455="ERROR"),"ERROR",IF(OR(NOT(ISNUMBER(AK455)),NOT(ISNUMBER(AN455)),NOT(ISNUMBER(AL455))),"UNKNOWN",IF(OR(AN455&lt;=0,AK455=0),"NOT_APPLICABLE",(AK455-AY455)/AK455))),"ERROR")))</f>
        <v/>
      </c>
      <c r="BD455">
        <f>IF(ISNUMBER(BC455),IF(AND($R$455=TRUE,AM455="none"),"ESTIMATED","OK"),BC455)</f>
        <v/>
      </c>
      <c r="BE455">
        <f>IF($Z$455="absent","NOT_RUN",IF(OR(AP455="ERROR",AR455="ERROR",AT455="ERROR",AV455="ERROR",AX455="ERROR",AZ455="ERROR",BB455="ERROR",BD455="ERROR"),"ERROR",IF(OR(AP455="UNKNOWN",AR455="UNKNOWN",AT455="UNKNOWN",AV455="UNKNOWN",AX455="UNKNOWN",AZ455="UNKNOWN",BB455="UNKNOWN",BD455="UNKNOWN"),"INCOMPLETE","OK")))</f>
        <v/>
      </c>
      <c r="BF455">
        <f>IF($Z$455="absent","",AH455)</f>
        <v/>
      </c>
    </row>
    <row r="456">
      <c r="B456" s="8" t="inlineStr">
        <is>
          <t>Total Net Sales ex VAT</t>
        </is>
      </c>
      <c r="C456" s="52">
        <f>AQ455</f>
        <v/>
      </c>
      <c r="D456" s="53" t="n">
        <v>6363636.363636363</v>
      </c>
      <c r="E456" s="51">
        <f>IF(ISNUMBER(D456),IF(ISNUMBER(AQ455),ABS(AQ455-D456),"N/A"),"N/A")</f>
        <v/>
      </c>
      <c r="F456" s="15">
        <f>IFERROR(IF(ISNUMBER(D456),IF(ISNUMBER(AQ455),IF(ABS(AQ455-D456)&lt;=0.01,"PASS","FAIL"),"FAIL"),IF(NOT(ISNUMBER(AQ455)),IF(AQ455=D456,"PASS","FAIL"),"FAIL")),"FAIL")</f>
        <v/>
      </c>
      <c r="G456" s="16">
        <f>AR455</f>
        <v/>
      </c>
      <c r="H456" s="30" t="inlineStr">
        <is>
          <t>OK</t>
        </is>
      </c>
      <c r="I456" s="15">
        <f>IF(AR455=H456,"PASS","FAIL")</f>
        <v/>
      </c>
    </row>
    <row r="457">
      <c r="B457" s="8" t="inlineStr">
        <is>
          <t>Total Contribution Margin</t>
        </is>
      </c>
      <c r="C457" s="52">
        <f>AS455</f>
        <v/>
      </c>
      <c r="D457" s="53" t="n">
        <v>2888636.363636363</v>
      </c>
      <c r="E457" s="51">
        <f>IF(ISNUMBER(D457),IF(ISNUMBER(AS455),ABS(AS455-D457),"N/A"),"N/A")</f>
        <v/>
      </c>
      <c r="F457" s="15">
        <f>IFERROR(IF(ISNUMBER(D457),IF(ISNUMBER(AS455),IF(ABS(AS455-D457)&lt;=0.01,"PASS","FAIL"),"FAIL"),IF(NOT(ISNUMBER(AS455)),IF(AS455=D457,"PASS","FAIL"),"FAIL")),"FAIL")</f>
        <v/>
      </c>
      <c r="G457" s="16">
        <f>AT455</f>
        <v/>
      </c>
      <c r="H457" s="30" t="inlineStr">
        <is>
          <t>OK</t>
        </is>
      </c>
      <c r="I457" s="15">
        <f>IF(AT455=H457,"PASS","FAIL")</f>
        <v/>
      </c>
    </row>
    <row r="458">
      <c r="B458" s="8" t="inlineStr">
        <is>
          <t>Operating Profit</t>
        </is>
      </c>
      <c r="C458" s="52">
        <f>AU455</f>
        <v/>
      </c>
      <c r="D458" s="53" t="n">
        <v>888636.3636363633</v>
      </c>
      <c r="E458" s="51">
        <f>IF(ISNUMBER(D458),IF(ISNUMBER(AU455),ABS(AU455-D458),"N/A"),"N/A")</f>
        <v/>
      </c>
      <c r="F458" s="15">
        <f>IFERROR(IF(ISNUMBER(D458),IF(ISNUMBER(AU455),IF(ABS(AU455-D458)&lt;=0.01,"PASS","FAIL"),"FAIL"),IF(NOT(ISNUMBER(AU455)),IF(AU455=D458,"PASS","FAIL"),"FAIL")),"FAIL")</f>
        <v/>
      </c>
      <c r="G458" s="16">
        <f>AV455</f>
        <v/>
      </c>
      <c r="H458" s="30" t="inlineStr">
        <is>
          <t>OK</t>
        </is>
      </c>
      <c r="I458" s="15">
        <f>IF(AV455=H458,"PASS","FAIL")</f>
        <v/>
      </c>
    </row>
    <row r="459">
      <c r="B459" s="8" t="inlineStr">
        <is>
          <t>Operating Profit Rate</t>
        </is>
      </c>
      <c r="C459" s="54">
        <f>AW455</f>
        <v/>
      </c>
      <c r="D459" s="55" t="n">
        <v>0.1396428571428571</v>
      </c>
      <c r="E459" s="51">
        <f>IF(ISNUMBER(D459),IF(ISNUMBER(AW455),ABS(AW455-D459),"N/A"),"N/A")</f>
        <v/>
      </c>
      <c r="F459" s="15">
        <f>IFERROR(IF(ISNUMBER(D459),IF(ISNUMBER(AW455),IF(ABS(AW455-D459)&lt;=1e-06,"PASS","FAIL"),"FAIL"),IF(NOT(ISNUMBER(AW455)),IF(AW455=D459,"PASS","FAIL"),"FAIL")),"FAIL")</f>
        <v/>
      </c>
      <c r="G459" s="16">
        <f>AX455</f>
        <v/>
      </c>
      <c r="H459" s="30" t="inlineStr">
        <is>
          <t>OK</t>
        </is>
      </c>
      <c r="I459" s="15">
        <f>IF(AX455=H459,"PASS","FAIL")</f>
        <v/>
      </c>
    </row>
    <row r="460">
      <c r="B460" s="8" t="inlineStr">
        <is>
          <t>Break-Even Quantity (Q_BEP)</t>
        </is>
      </c>
      <c r="C460" s="25">
        <f>AY455</f>
        <v/>
      </c>
      <c r="D460" s="21" t="n">
        <v>138.4736428009442</v>
      </c>
      <c r="E460" s="51">
        <f>IF(ISNUMBER(D460),IF(ISNUMBER(AY455),ABS(AY455-D460),"N/A"),"N/A")</f>
        <v/>
      </c>
      <c r="F460" s="15">
        <f>IFERROR(IF(ISNUMBER(D460),IF(ISNUMBER(AY455),IF(ABS(AY455-D460)&lt;=0.01,"PASS","FAIL"),"FAIL"),IF(NOT(ISNUMBER(AY455)),IF(AY455=D460,"PASS","FAIL"),"FAIL")),"FAIL")</f>
        <v/>
      </c>
      <c r="G460" s="16">
        <f>AZ455</f>
        <v/>
      </c>
      <c r="H460" s="30" t="inlineStr">
        <is>
          <t>OK</t>
        </is>
      </c>
      <c r="I460" s="15">
        <f>IF(AZ455=H460,"PASS","FAIL")</f>
        <v/>
      </c>
    </row>
    <row r="461">
      <c r="B461" s="8" t="inlineStr">
        <is>
          <t>Margin of Safety Quantity</t>
        </is>
      </c>
      <c r="C461" s="25">
        <f>BA455</f>
        <v/>
      </c>
      <c r="D461" s="21" t="n">
        <v>61.52635719905584</v>
      </c>
      <c r="E461" s="51">
        <f>IF(ISNUMBER(D461),IF(ISNUMBER(BA455),ABS(BA455-D461),"N/A"),"N/A")</f>
        <v/>
      </c>
      <c r="F461" s="15">
        <f>IFERROR(IF(ISNUMBER(D461),IF(ISNUMBER(BA455),IF(ABS(BA455-D461)&lt;=0.01,"PASS","FAIL"),"FAIL"),IF(NOT(ISNUMBER(BA455)),IF(BA455=D461,"PASS","FAIL"),"FAIL")),"FAIL")</f>
        <v/>
      </c>
      <c r="G461" s="16">
        <f>BB455</f>
        <v/>
      </c>
      <c r="H461" s="30" t="inlineStr">
        <is>
          <t>OK</t>
        </is>
      </c>
      <c r="I461" s="15">
        <f>IF(BB455=H461,"PASS","FAIL")</f>
        <v/>
      </c>
    </row>
    <row r="462">
      <c r="B462" s="8" t="inlineStr">
        <is>
          <t>Margin of Safety Rate</t>
        </is>
      </c>
      <c r="C462" s="54">
        <f>BC455</f>
        <v/>
      </c>
      <c r="D462" s="55" t="n">
        <v>0.3076317859952792</v>
      </c>
      <c r="E462" s="51">
        <f>IF(ISNUMBER(D462),IF(ISNUMBER(BC455),ABS(BC455-D462),"N/A"),"N/A")</f>
        <v/>
      </c>
      <c r="F462" s="15">
        <f>IFERROR(IF(ISNUMBER(D462),IF(ISNUMBER(BC455),IF(ABS(BC455-D462)&lt;=1e-06,"PASS","FAIL"),"FAIL"),IF(NOT(ISNUMBER(BC455)),IF(BC455=D462,"PASS","FAIL"),"FAIL")),"FAIL")</f>
        <v/>
      </c>
      <c r="G462" s="16">
        <f>BD455</f>
        <v/>
      </c>
      <c r="H462" s="30" t="inlineStr">
        <is>
          <t>OK</t>
        </is>
      </c>
      <c r="I462" s="15">
        <f>IF(BD455=H462,"PASS","FAIL")</f>
        <v/>
      </c>
    </row>
    <row r="463">
      <c r="B463" s="8" t="inlineStr">
        <is>
          <t>Module Status</t>
        </is>
      </c>
      <c r="C463" s="16">
        <f>BE455</f>
        <v/>
      </c>
      <c r="D463" s="30" t="inlineStr">
        <is>
          <t>OK</t>
        </is>
      </c>
      <c r="F463" s="15">
        <f>IF(BE455=D463,"PASS","FAIL")</f>
        <v/>
      </c>
    </row>
    <row r="464">
      <c r="B464" s="8" t="inlineStr">
        <is>
          <t>Analysis Period Basis</t>
        </is>
      </c>
      <c r="C464" s="16">
        <f>BF455</f>
        <v/>
      </c>
      <c r="D464" s="30" t="inlineStr">
        <is>
          <t>per_month</t>
        </is>
      </c>
      <c r="F464" s="15">
        <f>IF(BF455=D464,"PASS","FAIL")</f>
        <v/>
      </c>
    </row>
    <row r="465">
      <c r="B465" s="8" t="inlineStr">
        <is>
          <t>Self-Check: |MoS qty × CMu − Operating Profit| ≤ tol</t>
        </is>
      </c>
      <c r="C465" s="36">
        <f>IF(OR(NOT(ISNUMBER(BA455)),NOT(ISNUMBER(AN455)),NOT(ISNUMBER(AU455))),"SKIP",IF(ABS(BA455*AN455-AU455)&lt;=0.01,"PASS","FAIL"))</f>
        <v/>
      </c>
      <c r="D465" s="34" t="n"/>
      <c r="F465" s="15">
        <f>IF(C465="FAIL","FAIL","PASS")</f>
        <v/>
      </c>
    </row>
    <row r="467" ht="20" customHeight="1">
      <c r="B467" s="2" t="inlineStr">
        <is>
          <t>V34. units_per_order given but no per_order cost (no effect)</t>
        </is>
      </c>
      <c r="C467" s="7" t="n"/>
      <c r="D467" s="7" t="n"/>
      <c r="E467" s="7" t="n"/>
      <c r="F467" s="7" t="n"/>
      <c r="G467" s="7" t="n"/>
      <c r="H467" s="7" t="n"/>
      <c r="I467" s="7" t="n"/>
    </row>
    <row r="468">
      <c r="B468" s="4" t="inlineStr">
        <is>
          <t>Metric</t>
        </is>
      </c>
      <c r="C468" s="4" t="inlineStr">
        <is>
          <t>Excel Result</t>
        </is>
      </c>
      <c r="D468" s="4" t="inlineStr">
        <is>
          <t>Python Reference</t>
        </is>
      </c>
      <c r="E468" s="4" t="inlineStr">
        <is>
          <t>Difference</t>
        </is>
      </c>
      <c r="F468" s="4" t="inlineStr">
        <is>
          <t>PASS / FAIL</t>
        </is>
      </c>
      <c r="G468" s="4" t="inlineStr">
        <is>
          <t>Excel Status</t>
        </is>
      </c>
      <c r="H468" s="4" t="inlineStr">
        <is>
          <t>Python Status</t>
        </is>
      </c>
      <c r="I468" s="4" t="inlineStr">
        <is>
          <t>Status PASS</t>
        </is>
      </c>
    </row>
    <row r="469">
      <c r="B469" s="8" t="inlineStr">
        <is>
          <t>Planned Quantity (units)</t>
        </is>
      </c>
      <c r="C469" s="25">
        <f>AO469</f>
        <v/>
      </c>
      <c r="D469" s="21" t="n">
        <v>200</v>
      </c>
      <c r="E469" s="51">
        <f>IF(ISNUMBER(D469),IF(ISNUMBER(AO469),ABS(AO469-D469),"N/A"),"N/A")</f>
        <v/>
      </c>
      <c r="F469" s="15">
        <f>IFERROR(IF(ISNUMBER(D469),IF(ISNUMBER(AO469),IF(ABS(AO469-D469)&lt;=0.01,"PASS","FAIL"),"FAIL"),IF(NOT(ISNUMBER(AO469)),IF(AO469=D469,"PASS","FAIL"),"FAIL")),"FAIL")</f>
        <v/>
      </c>
      <c r="G469" s="16">
        <f>AP469</f>
        <v/>
      </c>
      <c r="H469" s="30" t="inlineStr">
        <is>
          <t>OK</t>
        </is>
      </c>
      <c r="I469" s="15">
        <f>IF(AP469=H469,"PASS","FAIL")</f>
        <v/>
      </c>
      <c r="M469" t="n">
        <v>35000</v>
      </c>
      <c r="N469" t="b">
        <v>1</v>
      </c>
      <c r="O469" t="n">
        <v>0.1</v>
      </c>
      <c r="P469" t="n">
        <v>13500</v>
      </c>
      <c r="Q469" t="n">
        <v>3000</v>
      </c>
      <c r="R469" t="b">
        <v>0</v>
      </c>
      <c r="S469" t="n">
        <v>0</v>
      </c>
      <c r="T469" t="n">
        <v>0.025</v>
      </c>
      <c r="U469" t="n">
        <v>2000000</v>
      </c>
      <c r="V469" t="inlineStr">
        <is>
          <t>per_month</t>
        </is>
      </c>
      <c r="W469" t="inlineStr">
        <is>
          <t>component</t>
        </is>
      </c>
      <c r="X469" t="inlineStr">
        <is>
          <t>consistent</t>
        </is>
      </c>
      <c r="Y469" t="n">
        <v>1</v>
      </c>
      <c r="Z469" t="inlineStr">
        <is>
          <t>present</t>
        </is>
      </c>
      <c r="AA469" t="n">
        <v>200</v>
      </c>
      <c r="AB469" t="inlineStr">
        <is>
          <t>per_month</t>
        </is>
      </c>
      <c r="AC469" t="n">
        <v>5</v>
      </c>
      <c r="AD469">
        <f>IFERROR(IF(ISBLANK($M$469),"UNKNOWN",IF(ISBLANK($N$469),"UNKNOWN",IF($N$469=FALSE,$M$469,IF(ISBLANK($O$469),"UNKNOWN",$M$469/(1+$O$469))))),"ERROR")</f>
        <v/>
      </c>
      <c r="AE469">
        <f>IFERROR(IF(ISBLANK($M$469),"UNKNOWN",IF(ISBLANK($N$469),"UNKNOWN",IF($N$469=TRUE,$M$469,IF(ISBLANK($O$469),"UNKNOWN",$M$469*(1+$O$469))))),"ERROR")</f>
        <v/>
      </c>
      <c r="AF469">
        <f>IF($Y$469&gt;1,"ERROR",IFERROR(IF(AD469="ERROR","ERROR",IF(OR(NOT(ISNUMBER(AD469)),ISBLANK($P$469),ISBLANK($Q$469),ISBLANK($S$469),ISBLANK($T$469)),"UNKNOWN",IF($T$469&gt;0,IF(AE469="ERROR","ERROR",IF(NOT(ISNUMBER(AE469)),"UNKNOWN",AD469-$P$469-$Q$469-$S$469*AD469-$T$469*AE469)),AD469-$P$469-$Q$469-$S$469*AD469))),"ERROR"))</f>
        <v/>
      </c>
      <c r="AG469">
        <f>IF($Y$469&gt;1,"ERROR",IFERROR(IF($W$469="invalid_direct","ERROR",IF($X$469="inconsistent","ERROR",IF($W$469="none",0,IF(OR($W$469="unresolved",$W$469="blended_only"),"UNKNOWN",IF(ISBLANK($U$469),"UNKNOWN",IF($U$469&lt;0,"ERROR",$U$469)))))),"ERROR"))</f>
        <v/>
      </c>
      <c r="AH469">
        <f>IF($Y$469&gt;1,"",IF(OR($W$469="invalid_direct",$X$469="inconsistent"),"",IF($W$469="none","",IF(OR($W$469="unresolved",$W$469="blended_only"),"",IF(ISBLANK($U$469),"",IF($U$469&lt;0,"",$V$469))))))</f>
        <v/>
      </c>
      <c r="AI469">
        <f>IF($Y$469&gt;1,"ERROR",IFERROR(IF(OR(AF469="ERROR",AG469="ERROR"),"ERROR",IF(OR(NOT(ISNUMBER(AF469)),NOT(ISNUMBER(AG469))),"UNKNOWN",IF(AF469&lt;=0,"NOT_APPLICABLE",AG469/AF469))),"ERROR"))</f>
        <v/>
      </c>
      <c r="AJ469">
        <f>IF($Y$469&gt;1,"MULTI_COMPONENT_BEP_NOT_SUPPORTED",IF($W$469="invalid_direct","INVALID_ALLOCATION_CONFIGURATION",IF($X$469="inconsistent","INCONSISTENT_FIXED_COST_BASIS",IF(AND($W$469="component",NOT(ISBLANK($U$469)),$U$469&lt;0),"INVALID_NEGATIVE_COST",IF(AF469="ERROR","CALCULATION_ERROR",IF($W$469="blended_only","FIXED_COST_BLENDED_ONLY_NOT_ALLOCATED",IF($W$469="unresolved","UNSUPPORTED_SHARED_COST_ALLOCATION",IF(NOT(ISNUMBER(AF469)),"MISSING_DEPENDENCY",IF(AND($W$469="component",ISBLANK($U$469)),"MISSING_DEPENDENCY",IF(AND(AF469=0,AG469=0),"BREAK_EVEN_UNDEFINED_ZERO_MARGIN_ZERO_FIXED_COST",IF(AF469=0,"BREAK_EVEN_UNDEFINED_ZERO_MARGIN",IF(AF469&lt;0,"BREAK_EVEN_UNDEFINED_NEGATIVE_MARGIN","NONE"))))))))))))</f>
        <v/>
      </c>
      <c r="AK469">
        <f>IF(AND(NOT(ISBLANK($AA$469)),$AA$469&lt;0),"ERROR",IF(AND($AB$469&lt;&gt;"",$AB$469&lt;&gt;"per_month"),"ERROR",IF(OR(ISBLANK($AA$469),$AB$469=""),"UNKNOWN",$AA$469)))</f>
        <v/>
      </c>
      <c r="AL469">
        <f>IF(AND(ISNUMBER(AG469),AH469&lt;&gt;"",AH469&lt;&gt;"per_month"),"ERROR",AG469)</f>
        <v/>
      </c>
      <c r="AM469">
        <f>IF(ISBLANK($AC$469),"none",IF(AND(ISNUMBER($AC$469),$AC$469&gt;0),"valid","invalid"))</f>
        <v/>
      </c>
      <c r="AN469">
        <f>IF(AM469="invalid","ERROR",IF(AND(AM469="valid",$R$469=TRUE,ISNUMBER(AF469)),AF469+$Q$469*(1-1/$AC$469),AF469))</f>
        <v/>
      </c>
      <c r="AO469">
        <f>IF($Z$469="absent","NOT_RUN",IF($Y$469&gt;1,"ERROR",AK469))</f>
        <v/>
      </c>
      <c r="AP469">
        <f>IF(ISNUMBER(AO469),"OK",AO469)</f>
        <v/>
      </c>
      <c r="AQ469">
        <f>IF($Z$469="absent","NOT_RUN",IF($Y$469&gt;1,"ERROR",IFERROR(IF(OR(AK469="ERROR",AD469="ERROR"),"ERROR",IF(OR(NOT(ISNUMBER(AK469)),NOT(ISNUMBER(AD469))),"UNKNOWN",AD469*AK469)),"ERROR")))</f>
        <v/>
      </c>
      <c r="AR469">
        <f>IF(ISNUMBER(AQ469),"OK",AQ469)</f>
        <v/>
      </c>
      <c r="AS469">
        <f>IF($Z$469="absent","NOT_RUN",IF($Y$469&gt;1,"ERROR",IFERROR(IF(OR(AK469="ERROR",AN469="ERROR"),"ERROR",IF(OR(NOT(ISNUMBER(AK469)),NOT(ISNUMBER(AN469))),"UNKNOWN",AN469*AK469)),"ERROR")))</f>
        <v/>
      </c>
      <c r="AT469">
        <f>IF(ISNUMBER(AS469),IF(AND($R$469=TRUE,AM469="none"),"ESTIMATED","OK"),AS469)</f>
        <v/>
      </c>
      <c r="AU469">
        <f>IF($Z$469="absent","NOT_RUN",IF($Y$469&gt;1,"ERROR",IFERROR(IF(OR(AK469="ERROR",AN469="ERROR",AL469="ERROR"),"ERROR",IF(OR(NOT(ISNUMBER(AK469)),NOT(ISNUMBER(AN469)),NOT(ISNUMBER(AL469))),"UNKNOWN",AN469*AK469-AL469)),"ERROR")))</f>
        <v/>
      </c>
      <c r="AV469">
        <f>IF(ISNUMBER(AU469),IF(AND($R$469=TRUE,AM469="none"),"ESTIMATED","OK"),AU469)</f>
        <v/>
      </c>
      <c r="AW469">
        <f>IF($Z$469="absent","NOT_RUN",IF($Y$469&gt;1,"ERROR",IFERROR(IF(OR(AU469="ERROR",AQ469="ERROR"),"ERROR",IF(OR(NOT(ISNUMBER(AU469)),NOT(ISNUMBER(AQ469))),"UNKNOWN",IF(AQ469=0,"NOT_APPLICABLE",AU469/AQ469))),"ERROR")))</f>
        <v/>
      </c>
      <c r="AX469">
        <f>IF(ISNUMBER(AW469),IF(AND($R$469=TRUE,AM469="none"),"ESTIMATED","OK"),AW469)</f>
        <v/>
      </c>
      <c r="AY469">
        <f>IF($Z$469="absent","NOT_RUN",IF($Y$469&gt;1,"ERROR",IFERROR(IF(OR(AN469="ERROR",AL469="ERROR"),"ERROR",IF(OR(NOT(ISNUMBER(AN469)),NOT(ISNUMBER(AL469))),"UNKNOWN",IF(AN469&lt;=0,"NOT_APPLICABLE",AL469/AN469))),"ERROR")))</f>
        <v/>
      </c>
      <c r="AZ469">
        <f>IF(ISNUMBER(AY469),IF(AND($R$469=TRUE,AM469="none"),"ESTIMATED","OK"),AY469)</f>
        <v/>
      </c>
      <c r="BA469">
        <f>IF($Z$469="absent","NOT_RUN",IF($Y$469&gt;1,"ERROR",IFERROR(IF(OR(AK469="ERROR",AN469="ERROR",AL469="ERROR"),"ERROR",IF(OR(NOT(ISNUMBER(AK469)),NOT(ISNUMBER(AN469)),NOT(ISNUMBER(AL469))),"UNKNOWN",IF(AN469&lt;=0,"NOT_APPLICABLE",AK469-AY469))),"ERROR")))</f>
        <v/>
      </c>
      <c r="BB469">
        <f>IF(ISNUMBER(BA469),IF(AND($R$469=TRUE,AM469="none"),"ESTIMATED","OK"),BA469)</f>
        <v/>
      </c>
      <c r="BC469">
        <f>IF($Z$469="absent","NOT_RUN",IF($Y$469&gt;1,"ERROR",IFERROR(IF(OR(AK469="ERROR",AN469="ERROR",AL469="ERROR"),"ERROR",IF(OR(NOT(ISNUMBER(AK469)),NOT(ISNUMBER(AN469)),NOT(ISNUMBER(AL469))),"UNKNOWN",IF(OR(AN469&lt;=0,AK469=0),"NOT_APPLICABLE",(AK469-AY469)/AK469))),"ERROR")))</f>
        <v/>
      </c>
      <c r="BD469">
        <f>IF(ISNUMBER(BC469),IF(AND($R$469=TRUE,AM469="none"),"ESTIMATED","OK"),BC469)</f>
        <v/>
      </c>
      <c r="BE469">
        <f>IF($Z$469="absent","NOT_RUN",IF(OR(AP469="ERROR",AR469="ERROR",AT469="ERROR",AV469="ERROR",AX469="ERROR",AZ469="ERROR",BB469="ERROR",BD469="ERROR"),"ERROR",IF(OR(AP469="UNKNOWN",AR469="UNKNOWN",AT469="UNKNOWN",AV469="UNKNOWN",AX469="UNKNOWN",AZ469="UNKNOWN",BB469="UNKNOWN",BD469="UNKNOWN"),"INCOMPLETE","OK")))</f>
        <v/>
      </c>
      <c r="BF469">
        <f>IF($Z$469="absent","",AH469)</f>
        <v/>
      </c>
    </row>
    <row r="470">
      <c r="B470" s="8" t="inlineStr">
        <is>
          <t>Total Net Sales ex VAT</t>
        </is>
      </c>
      <c r="C470" s="52">
        <f>AQ469</f>
        <v/>
      </c>
      <c r="D470" s="53" t="n">
        <v>6363636.363636363</v>
      </c>
      <c r="E470" s="51">
        <f>IF(ISNUMBER(D470),IF(ISNUMBER(AQ469),ABS(AQ469-D470),"N/A"),"N/A")</f>
        <v/>
      </c>
      <c r="F470" s="15">
        <f>IFERROR(IF(ISNUMBER(D470),IF(ISNUMBER(AQ469),IF(ABS(AQ469-D470)&lt;=0.01,"PASS","FAIL"),"FAIL"),IF(NOT(ISNUMBER(AQ469)),IF(AQ469=D470,"PASS","FAIL"),"FAIL")),"FAIL")</f>
        <v/>
      </c>
      <c r="G470" s="16">
        <f>AR469</f>
        <v/>
      </c>
      <c r="H470" s="30" t="inlineStr">
        <is>
          <t>OK</t>
        </is>
      </c>
      <c r="I470" s="15">
        <f>IF(AR469=H470,"PASS","FAIL")</f>
        <v/>
      </c>
    </row>
    <row r="471">
      <c r="B471" s="8" t="inlineStr">
        <is>
          <t>Total Contribution Margin</t>
        </is>
      </c>
      <c r="C471" s="52">
        <f>AS469</f>
        <v/>
      </c>
      <c r="D471" s="53" t="n">
        <v>2888636.363636363</v>
      </c>
      <c r="E471" s="51">
        <f>IF(ISNUMBER(D471),IF(ISNUMBER(AS469),ABS(AS469-D471),"N/A"),"N/A")</f>
        <v/>
      </c>
      <c r="F471" s="15">
        <f>IFERROR(IF(ISNUMBER(D471),IF(ISNUMBER(AS469),IF(ABS(AS469-D471)&lt;=0.01,"PASS","FAIL"),"FAIL"),IF(NOT(ISNUMBER(AS469)),IF(AS469=D471,"PASS","FAIL"),"FAIL")),"FAIL")</f>
        <v/>
      </c>
      <c r="G471" s="16">
        <f>AT469</f>
        <v/>
      </c>
      <c r="H471" s="30" t="inlineStr">
        <is>
          <t>OK</t>
        </is>
      </c>
      <c r="I471" s="15">
        <f>IF(AT469=H471,"PASS","FAIL")</f>
        <v/>
      </c>
    </row>
    <row r="472">
      <c r="B472" s="8" t="inlineStr">
        <is>
          <t>Operating Profit</t>
        </is>
      </c>
      <c r="C472" s="52">
        <f>AU469</f>
        <v/>
      </c>
      <c r="D472" s="53" t="n">
        <v>888636.3636363633</v>
      </c>
      <c r="E472" s="51">
        <f>IF(ISNUMBER(D472),IF(ISNUMBER(AU469),ABS(AU469-D472),"N/A"),"N/A")</f>
        <v/>
      </c>
      <c r="F472" s="15">
        <f>IFERROR(IF(ISNUMBER(D472),IF(ISNUMBER(AU469),IF(ABS(AU469-D472)&lt;=0.01,"PASS","FAIL"),"FAIL"),IF(NOT(ISNUMBER(AU469)),IF(AU469=D472,"PASS","FAIL"),"FAIL")),"FAIL")</f>
        <v/>
      </c>
      <c r="G472" s="16">
        <f>AV469</f>
        <v/>
      </c>
      <c r="H472" s="30" t="inlineStr">
        <is>
          <t>OK</t>
        </is>
      </c>
      <c r="I472" s="15">
        <f>IF(AV469=H472,"PASS","FAIL")</f>
        <v/>
      </c>
    </row>
    <row r="473">
      <c r="B473" s="8" t="inlineStr">
        <is>
          <t>Operating Profit Rate</t>
        </is>
      </c>
      <c r="C473" s="54">
        <f>AW469</f>
        <v/>
      </c>
      <c r="D473" s="55" t="n">
        <v>0.1396428571428571</v>
      </c>
      <c r="E473" s="51">
        <f>IF(ISNUMBER(D473),IF(ISNUMBER(AW469),ABS(AW469-D473),"N/A"),"N/A")</f>
        <v/>
      </c>
      <c r="F473" s="15">
        <f>IFERROR(IF(ISNUMBER(D473),IF(ISNUMBER(AW469),IF(ABS(AW469-D473)&lt;=1e-06,"PASS","FAIL"),"FAIL"),IF(NOT(ISNUMBER(AW469)),IF(AW469=D473,"PASS","FAIL"),"FAIL")),"FAIL")</f>
        <v/>
      </c>
      <c r="G473" s="16">
        <f>AX469</f>
        <v/>
      </c>
      <c r="H473" s="30" t="inlineStr">
        <is>
          <t>OK</t>
        </is>
      </c>
      <c r="I473" s="15">
        <f>IF(AX469=H473,"PASS","FAIL")</f>
        <v/>
      </c>
    </row>
    <row r="474">
      <c r="B474" s="8" t="inlineStr">
        <is>
          <t>Break-Even Quantity (Q_BEP)</t>
        </is>
      </c>
      <c r="C474" s="25">
        <f>AY469</f>
        <v/>
      </c>
      <c r="D474" s="21" t="n">
        <v>138.4736428009442</v>
      </c>
      <c r="E474" s="51">
        <f>IF(ISNUMBER(D474),IF(ISNUMBER(AY469),ABS(AY469-D474),"N/A"),"N/A")</f>
        <v/>
      </c>
      <c r="F474" s="15">
        <f>IFERROR(IF(ISNUMBER(D474),IF(ISNUMBER(AY469),IF(ABS(AY469-D474)&lt;=0.01,"PASS","FAIL"),"FAIL"),IF(NOT(ISNUMBER(AY469)),IF(AY469=D474,"PASS","FAIL"),"FAIL")),"FAIL")</f>
        <v/>
      </c>
      <c r="G474" s="16">
        <f>AZ469</f>
        <v/>
      </c>
      <c r="H474" s="30" t="inlineStr">
        <is>
          <t>OK</t>
        </is>
      </c>
      <c r="I474" s="15">
        <f>IF(AZ469=H474,"PASS","FAIL")</f>
        <v/>
      </c>
    </row>
    <row r="475">
      <c r="B475" s="8" t="inlineStr">
        <is>
          <t>Margin of Safety Quantity</t>
        </is>
      </c>
      <c r="C475" s="25">
        <f>BA469</f>
        <v/>
      </c>
      <c r="D475" s="21" t="n">
        <v>61.52635719905584</v>
      </c>
      <c r="E475" s="51">
        <f>IF(ISNUMBER(D475),IF(ISNUMBER(BA469),ABS(BA469-D475),"N/A"),"N/A")</f>
        <v/>
      </c>
      <c r="F475" s="15">
        <f>IFERROR(IF(ISNUMBER(D475),IF(ISNUMBER(BA469),IF(ABS(BA469-D475)&lt;=0.01,"PASS","FAIL"),"FAIL"),IF(NOT(ISNUMBER(BA469)),IF(BA469=D475,"PASS","FAIL"),"FAIL")),"FAIL")</f>
        <v/>
      </c>
      <c r="G475" s="16">
        <f>BB469</f>
        <v/>
      </c>
      <c r="H475" s="30" t="inlineStr">
        <is>
          <t>OK</t>
        </is>
      </c>
      <c r="I475" s="15">
        <f>IF(BB469=H475,"PASS","FAIL")</f>
        <v/>
      </c>
    </row>
    <row r="476">
      <c r="B476" s="8" t="inlineStr">
        <is>
          <t>Margin of Safety Rate</t>
        </is>
      </c>
      <c r="C476" s="54">
        <f>BC469</f>
        <v/>
      </c>
      <c r="D476" s="55" t="n">
        <v>0.3076317859952792</v>
      </c>
      <c r="E476" s="51">
        <f>IF(ISNUMBER(D476),IF(ISNUMBER(BC469),ABS(BC469-D476),"N/A"),"N/A")</f>
        <v/>
      </c>
      <c r="F476" s="15">
        <f>IFERROR(IF(ISNUMBER(D476),IF(ISNUMBER(BC469),IF(ABS(BC469-D476)&lt;=1e-06,"PASS","FAIL"),"FAIL"),IF(NOT(ISNUMBER(BC469)),IF(BC469=D476,"PASS","FAIL"),"FAIL")),"FAIL")</f>
        <v/>
      </c>
      <c r="G476" s="16">
        <f>BD469</f>
        <v/>
      </c>
      <c r="H476" s="30" t="inlineStr">
        <is>
          <t>OK</t>
        </is>
      </c>
      <c r="I476" s="15">
        <f>IF(BD469=H476,"PASS","FAIL")</f>
        <v/>
      </c>
    </row>
    <row r="477">
      <c r="B477" s="8" t="inlineStr">
        <is>
          <t>Module Status</t>
        </is>
      </c>
      <c r="C477" s="16">
        <f>BE469</f>
        <v/>
      </c>
      <c r="D477" s="30" t="inlineStr">
        <is>
          <t>OK</t>
        </is>
      </c>
      <c r="F477" s="15">
        <f>IF(BE469=D477,"PASS","FAIL")</f>
        <v/>
      </c>
    </row>
    <row r="478">
      <c r="B478" s="8" t="inlineStr">
        <is>
          <t>Analysis Period Basis</t>
        </is>
      </c>
      <c r="C478" s="16">
        <f>BF469</f>
        <v/>
      </c>
      <c r="D478" s="30" t="inlineStr">
        <is>
          <t>per_month</t>
        </is>
      </c>
      <c r="F478" s="15">
        <f>IF(BF469=D478,"PASS","FAIL")</f>
        <v/>
      </c>
    </row>
    <row r="479">
      <c r="B479" s="8" t="inlineStr">
        <is>
          <t>Self-Check: |MoS qty × CMu − Operating Profit| ≤ tol</t>
        </is>
      </c>
      <c r="C479" s="36">
        <f>IF(OR(NOT(ISNUMBER(BA469)),NOT(ISNUMBER(AN469)),NOT(ISNUMBER(AU469))),"SKIP",IF(ABS(BA469*AN469-AU469)&lt;=0.01,"PASS","FAIL"))</f>
        <v/>
      </c>
      <c r="D479" s="34" t="n"/>
      <c r="F479" s="15">
        <f>IF(C479="FAIL","FAIL","PASS")</f>
        <v/>
      </c>
    </row>
    <row r="481" ht="20" customHeight="1">
      <c r="B481" s="2" t="inlineStr">
        <is>
          <t>V35. units_per_order = 0 -&gt; ERROR on cost-dependent metrics</t>
        </is>
      </c>
      <c r="C481" s="7" t="n"/>
      <c r="D481" s="7" t="n"/>
      <c r="E481" s="7" t="n"/>
      <c r="F481" s="7" t="n"/>
      <c r="G481" s="7" t="n"/>
      <c r="H481" s="7" t="n"/>
      <c r="I481" s="7" t="n"/>
    </row>
    <row r="482">
      <c r="B482" s="4" t="inlineStr">
        <is>
          <t>Metric</t>
        </is>
      </c>
      <c r="C482" s="4" t="inlineStr">
        <is>
          <t>Excel Result</t>
        </is>
      </c>
      <c r="D482" s="4" t="inlineStr">
        <is>
          <t>Python Reference</t>
        </is>
      </c>
      <c r="E482" s="4" t="inlineStr">
        <is>
          <t>Difference</t>
        </is>
      </c>
      <c r="F482" s="4" t="inlineStr">
        <is>
          <t>PASS / FAIL</t>
        </is>
      </c>
      <c r="G482" s="4" t="inlineStr">
        <is>
          <t>Excel Status</t>
        </is>
      </c>
      <c r="H482" s="4" t="inlineStr">
        <is>
          <t>Python Status</t>
        </is>
      </c>
      <c r="I482" s="4" t="inlineStr">
        <is>
          <t>Status PASS</t>
        </is>
      </c>
    </row>
    <row r="483">
      <c r="B483" s="8" t="inlineStr">
        <is>
          <t>Planned Quantity (units)</t>
        </is>
      </c>
      <c r="C483" s="25">
        <f>AO483</f>
        <v/>
      </c>
      <c r="D483" s="21" t="n">
        <v>200</v>
      </c>
      <c r="E483" s="51">
        <f>IF(ISNUMBER(D483),IF(ISNUMBER(AO483),ABS(AO483-D483),"N/A"),"N/A")</f>
        <v/>
      </c>
      <c r="F483" s="15">
        <f>IFERROR(IF(ISNUMBER(D483),IF(ISNUMBER(AO483),IF(ABS(AO483-D483)&lt;=0.01,"PASS","FAIL"),"FAIL"),IF(NOT(ISNUMBER(AO483)),IF(AO483=D483,"PASS","FAIL"),"FAIL")),"FAIL")</f>
        <v/>
      </c>
      <c r="G483" s="16">
        <f>AP483</f>
        <v/>
      </c>
      <c r="H483" s="30" t="inlineStr">
        <is>
          <t>OK</t>
        </is>
      </c>
      <c r="I483" s="15">
        <f>IF(AP483=H483,"PASS","FAIL")</f>
        <v/>
      </c>
      <c r="M483" t="n">
        <v>35000</v>
      </c>
      <c r="N483" t="b">
        <v>1</v>
      </c>
      <c r="O483" t="n">
        <v>0.1</v>
      </c>
      <c r="P483" t="n">
        <v>13500</v>
      </c>
      <c r="Q483" t="n">
        <v>3000</v>
      </c>
      <c r="R483" t="b">
        <v>1</v>
      </c>
      <c r="S483" t="n">
        <v>0</v>
      </c>
      <c r="T483" t="n">
        <v>0.025</v>
      </c>
      <c r="U483" t="n">
        <v>2000000</v>
      </c>
      <c r="V483" t="inlineStr">
        <is>
          <t>per_month</t>
        </is>
      </c>
      <c r="W483" t="inlineStr">
        <is>
          <t>component</t>
        </is>
      </c>
      <c r="X483" t="inlineStr">
        <is>
          <t>consistent</t>
        </is>
      </c>
      <c r="Y483" t="n">
        <v>1</v>
      </c>
      <c r="Z483" t="inlineStr">
        <is>
          <t>present</t>
        </is>
      </c>
      <c r="AA483" t="n">
        <v>200</v>
      </c>
      <c r="AB483" t="inlineStr">
        <is>
          <t>per_month</t>
        </is>
      </c>
      <c r="AC483" t="n">
        <v>0</v>
      </c>
      <c r="AD483">
        <f>IFERROR(IF(ISBLANK($M$483),"UNKNOWN",IF(ISBLANK($N$483),"UNKNOWN",IF($N$483=FALSE,$M$483,IF(ISBLANK($O$483),"UNKNOWN",$M$483/(1+$O$483))))),"ERROR")</f>
        <v/>
      </c>
      <c r="AE483">
        <f>IFERROR(IF(ISBLANK($M$483),"UNKNOWN",IF(ISBLANK($N$483),"UNKNOWN",IF($N$483=TRUE,$M$483,IF(ISBLANK($O$483),"UNKNOWN",$M$483*(1+$O$483))))),"ERROR")</f>
        <v/>
      </c>
      <c r="AF483">
        <f>IF($Y$483&gt;1,"ERROR",IFERROR(IF(AD483="ERROR","ERROR",IF(OR(NOT(ISNUMBER(AD483)),ISBLANK($P$483),ISBLANK($Q$483),ISBLANK($S$483),ISBLANK($T$483)),"UNKNOWN",IF($T$483&gt;0,IF(AE483="ERROR","ERROR",IF(NOT(ISNUMBER(AE483)),"UNKNOWN",AD483-$P$483-$Q$483-$S$483*AD483-$T$483*AE483)),AD483-$P$483-$Q$483-$S$483*AD483))),"ERROR"))</f>
        <v/>
      </c>
      <c r="AG483">
        <f>IF($Y$483&gt;1,"ERROR",IFERROR(IF($W$483="invalid_direct","ERROR",IF($X$483="inconsistent","ERROR",IF($W$483="none",0,IF(OR($W$483="unresolved",$W$483="blended_only"),"UNKNOWN",IF(ISBLANK($U$483),"UNKNOWN",IF($U$483&lt;0,"ERROR",$U$483)))))),"ERROR"))</f>
        <v/>
      </c>
      <c r="AH483">
        <f>IF($Y$483&gt;1,"",IF(OR($W$483="invalid_direct",$X$483="inconsistent"),"",IF($W$483="none","",IF(OR($W$483="unresolved",$W$483="blended_only"),"",IF(ISBLANK($U$483),"",IF($U$483&lt;0,"",$V$483))))))</f>
        <v/>
      </c>
      <c r="AI483">
        <f>IF($Y$483&gt;1,"ERROR",IFERROR(IF(OR(AF483="ERROR",AG483="ERROR"),"ERROR",IF(OR(NOT(ISNUMBER(AF483)),NOT(ISNUMBER(AG483))),"UNKNOWN",IF(AF483&lt;=0,"NOT_APPLICABLE",AG483/AF483))),"ERROR"))</f>
        <v/>
      </c>
      <c r="AJ483">
        <f>IF($Y$483&gt;1,"MULTI_COMPONENT_BEP_NOT_SUPPORTED",IF($W$483="invalid_direct","INVALID_ALLOCATION_CONFIGURATION",IF($X$483="inconsistent","INCONSISTENT_FIXED_COST_BASIS",IF(AND($W$483="component",NOT(ISBLANK($U$483)),$U$483&lt;0),"INVALID_NEGATIVE_COST",IF(AF483="ERROR","CALCULATION_ERROR",IF($W$483="blended_only","FIXED_COST_BLENDED_ONLY_NOT_ALLOCATED",IF($W$483="unresolved","UNSUPPORTED_SHARED_COST_ALLOCATION",IF(NOT(ISNUMBER(AF483)),"MISSING_DEPENDENCY",IF(AND($W$483="component",ISBLANK($U$483)),"MISSING_DEPENDENCY",IF(AND(AF483=0,AG483=0),"BREAK_EVEN_UNDEFINED_ZERO_MARGIN_ZERO_FIXED_COST",IF(AF483=0,"BREAK_EVEN_UNDEFINED_ZERO_MARGIN",IF(AF483&lt;0,"BREAK_EVEN_UNDEFINED_NEGATIVE_MARGIN","NONE"))))))))))))</f>
        <v/>
      </c>
      <c r="AK483">
        <f>IF(AND(NOT(ISBLANK($AA$483)),$AA$483&lt;0),"ERROR",IF(AND($AB$483&lt;&gt;"",$AB$483&lt;&gt;"per_month"),"ERROR",IF(OR(ISBLANK($AA$483),$AB$483=""),"UNKNOWN",$AA$483)))</f>
        <v/>
      </c>
      <c r="AL483">
        <f>IF(AND(ISNUMBER(AG483),AH483&lt;&gt;"",AH483&lt;&gt;"per_month"),"ERROR",AG483)</f>
        <v/>
      </c>
      <c r="AM483">
        <f>IF(ISBLANK($AC$483),"none",IF(AND(ISNUMBER($AC$483),$AC$483&gt;0),"valid","invalid"))</f>
        <v/>
      </c>
      <c r="AN483">
        <f>IF(AM483="invalid","ERROR",IF(AND(AM483="valid",$R$483=TRUE,ISNUMBER(AF483)),AF483+$Q$483*(1-1/$AC$483),AF483))</f>
        <v/>
      </c>
      <c r="AO483">
        <f>IF($Z$483="absent","NOT_RUN",IF($Y$483&gt;1,"ERROR",AK483))</f>
        <v/>
      </c>
      <c r="AP483">
        <f>IF(ISNUMBER(AO483),"OK",AO483)</f>
        <v/>
      </c>
      <c r="AQ483">
        <f>IF($Z$483="absent","NOT_RUN",IF($Y$483&gt;1,"ERROR",IFERROR(IF(OR(AK483="ERROR",AD483="ERROR"),"ERROR",IF(OR(NOT(ISNUMBER(AK483)),NOT(ISNUMBER(AD483))),"UNKNOWN",AD483*AK483)),"ERROR")))</f>
        <v/>
      </c>
      <c r="AR483">
        <f>IF(ISNUMBER(AQ483),"OK",AQ483)</f>
        <v/>
      </c>
      <c r="AS483">
        <f>IF($Z$483="absent","NOT_RUN",IF($Y$483&gt;1,"ERROR",IFERROR(IF(OR(AK483="ERROR",AN483="ERROR"),"ERROR",IF(OR(NOT(ISNUMBER(AK483)),NOT(ISNUMBER(AN483))),"UNKNOWN",AN483*AK483)),"ERROR")))</f>
        <v/>
      </c>
      <c r="AT483">
        <f>IF(ISNUMBER(AS483),IF(AND($R$483=TRUE,AM483="none"),"ESTIMATED","OK"),AS483)</f>
        <v/>
      </c>
      <c r="AU483">
        <f>IF($Z$483="absent","NOT_RUN",IF($Y$483&gt;1,"ERROR",IFERROR(IF(OR(AK483="ERROR",AN483="ERROR",AL483="ERROR"),"ERROR",IF(OR(NOT(ISNUMBER(AK483)),NOT(ISNUMBER(AN483)),NOT(ISNUMBER(AL483))),"UNKNOWN",AN483*AK483-AL483)),"ERROR")))</f>
        <v/>
      </c>
      <c r="AV483">
        <f>IF(ISNUMBER(AU483),IF(AND($R$483=TRUE,AM483="none"),"ESTIMATED","OK"),AU483)</f>
        <v/>
      </c>
      <c r="AW483">
        <f>IF($Z$483="absent","NOT_RUN",IF($Y$483&gt;1,"ERROR",IFERROR(IF(OR(AU483="ERROR",AQ483="ERROR"),"ERROR",IF(OR(NOT(ISNUMBER(AU483)),NOT(ISNUMBER(AQ483))),"UNKNOWN",IF(AQ483=0,"NOT_APPLICABLE",AU483/AQ483))),"ERROR")))</f>
        <v/>
      </c>
      <c r="AX483">
        <f>IF(ISNUMBER(AW483),IF(AND($R$483=TRUE,AM483="none"),"ESTIMATED","OK"),AW483)</f>
        <v/>
      </c>
      <c r="AY483">
        <f>IF($Z$483="absent","NOT_RUN",IF($Y$483&gt;1,"ERROR",IFERROR(IF(OR(AN483="ERROR",AL483="ERROR"),"ERROR",IF(OR(NOT(ISNUMBER(AN483)),NOT(ISNUMBER(AL483))),"UNKNOWN",IF(AN483&lt;=0,"NOT_APPLICABLE",AL483/AN483))),"ERROR")))</f>
        <v/>
      </c>
      <c r="AZ483">
        <f>IF(ISNUMBER(AY483),IF(AND($R$483=TRUE,AM483="none"),"ESTIMATED","OK"),AY483)</f>
        <v/>
      </c>
      <c r="BA483">
        <f>IF($Z$483="absent","NOT_RUN",IF($Y$483&gt;1,"ERROR",IFERROR(IF(OR(AK483="ERROR",AN483="ERROR",AL483="ERROR"),"ERROR",IF(OR(NOT(ISNUMBER(AK483)),NOT(ISNUMBER(AN483)),NOT(ISNUMBER(AL483))),"UNKNOWN",IF(AN483&lt;=0,"NOT_APPLICABLE",AK483-AY483))),"ERROR")))</f>
        <v/>
      </c>
      <c r="BB483">
        <f>IF(ISNUMBER(BA483),IF(AND($R$483=TRUE,AM483="none"),"ESTIMATED","OK"),BA483)</f>
        <v/>
      </c>
      <c r="BC483">
        <f>IF($Z$483="absent","NOT_RUN",IF($Y$483&gt;1,"ERROR",IFERROR(IF(OR(AK483="ERROR",AN483="ERROR",AL483="ERROR"),"ERROR",IF(OR(NOT(ISNUMBER(AK483)),NOT(ISNUMBER(AN483)),NOT(ISNUMBER(AL483))),"UNKNOWN",IF(OR(AN483&lt;=0,AK483=0),"NOT_APPLICABLE",(AK483-AY483)/AK483))),"ERROR")))</f>
        <v/>
      </c>
      <c r="BD483">
        <f>IF(ISNUMBER(BC483),IF(AND($R$483=TRUE,AM483="none"),"ESTIMATED","OK"),BC483)</f>
        <v/>
      </c>
      <c r="BE483">
        <f>IF($Z$483="absent","NOT_RUN",IF(OR(AP483="ERROR",AR483="ERROR",AT483="ERROR",AV483="ERROR",AX483="ERROR",AZ483="ERROR",BB483="ERROR",BD483="ERROR"),"ERROR",IF(OR(AP483="UNKNOWN",AR483="UNKNOWN",AT483="UNKNOWN",AV483="UNKNOWN",AX483="UNKNOWN",AZ483="UNKNOWN",BB483="UNKNOWN",BD483="UNKNOWN"),"INCOMPLETE","OK")))</f>
        <v/>
      </c>
      <c r="BF483">
        <f>IF($Z$483="absent","",AH483)</f>
        <v/>
      </c>
    </row>
    <row r="484">
      <c r="B484" s="8" t="inlineStr">
        <is>
          <t>Total Net Sales ex VAT</t>
        </is>
      </c>
      <c r="C484" s="52">
        <f>AQ483</f>
        <v/>
      </c>
      <c r="D484" s="53" t="n">
        <v>6363636.363636363</v>
      </c>
      <c r="E484" s="51">
        <f>IF(ISNUMBER(D484),IF(ISNUMBER(AQ483),ABS(AQ483-D484),"N/A"),"N/A")</f>
        <v/>
      </c>
      <c r="F484" s="15">
        <f>IFERROR(IF(ISNUMBER(D484),IF(ISNUMBER(AQ483),IF(ABS(AQ483-D484)&lt;=0.01,"PASS","FAIL"),"FAIL"),IF(NOT(ISNUMBER(AQ483)),IF(AQ483=D484,"PASS","FAIL"),"FAIL")),"FAIL")</f>
        <v/>
      </c>
      <c r="G484" s="16">
        <f>AR483</f>
        <v/>
      </c>
      <c r="H484" s="30" t="inlineStr">
        <is>
          <t>OK</t>
        </is>
      </c>
      <c r="I484" s="15">
        <f>IF(AR483=H484,"PASS","FAIL")</f>
        <v/>
      </c>
    </row>
    <row r="485">
      <c r="B485" s="8" t="inlineStr">
        <is>
          <t>Total Contribution Margin</t>
        </is>
      </c>
      <c r="C485" s="52">
        <f>AS483</f>
        <v/>
      </c>
      <c r="D485" s="30" t="inlineStr">
        <is>
          <t>ERROR</t>
        </is>
      </c>
      <c r="E485" s="51">
        <f>IF(ISNUMBER(D485),IF(ISNUMBER(AS483),ABS(AS483-D485),"N/A"),"N/A")</f>
        <v/>
      </c>
      <c r="F485" s="15">
        <f>IFERROR(IF(ISNUMBER(D485),IF(ISNUMBER(AS483),IF(ABS(AS483-D485)&lt;=0.01,"PASS","FAIL"),"FAIL"),IF(NOT(ISNUMBER(AS483)),IF(AS483=D485,"PASS","FAIL"),"FAIL")),"FAIL")</f>
        <v/>
      </c>
      <c r="G485" s="16">
        <f>AT483</f>
        <v/>
      </c>
      <c r="H485" s="30" t="inlineStr">
        <is>
          <t>ERROR</t>
        </is>
      </c>
      <c r="I485" s="15">
        <f>IF(AT483=H485,"PASS","FAIL")</f>
        <v/>
      </c>
    </row>
    <row r="486">
      <c r="B486" s="8" t="inlineStr">
        <is>
          <t>Operating Profit</t>
        </is>
      </c>
      <c r="C486" s="52">
        <f>AU483</f>
        <v/>
      </c>
      <c r="D486" s="30" t="inlineStr">
        <is>
          <t>ERROR</t>
        </is>
      </c>
      <c r="E486" s="51">
        <f>IF(ISNUMBER(D486),IF(ISNUMBER(AU483),ABS(AU483-D486),"N/A"),"N/A")</f>
        <v/>
      </c>
      <c r="F486" s="15">
        <f>IFERROR(IF(ISNUMBER(D486),IF(ISNUMBER(AU483),IF(ABS(AU483-D486)&lt;=0.01,"PASS","FAIL"),"FAIL"),IF(NOT(ISNUMBER(AU483)),IF(AU483=D486,"PASS","FAIL"),"FAIL")),"FAIL")</f>
        <v/>
      </c>
      <c r="G486" s="16">
        <f>AV483</f>
        <v/>
      </c>
      <c r="H486" s="30" t="inlineStr">
        <is>
          <t>ERROR</t>
        </is>
      </c>
      <c r="I486" s="15">
        <f>IF(AV483=H486,"PASS","FAIL")</f>
        <v/>
      </c>
    </row>
    <row r="487">
      <c r="B487" s="8" t="inlineStr">
        <is>
          <t>Operating Profit Rate</t>
        </is>
      </c>
      <c r="C487" s="54">
        <f>AW483</f>
        <v/>
      </c>
      <c r="D487" s="30" t="inlineStr">
        <is>
          <t>ERROR</t>
        </is>
      </c>
      <c r="E487" s="51">
        <f>IF(ISNUMBER(D487),IF(ISNUMBER(AW483),ABS(AW483-D487),"N/A"),"N/A")</f>
        <v/>
      </c>
      <c r="F487" s="15">
        <f>IFERROR(IF(ISNUMBER(D487),IF(ISNUMBER(AW483),IF(ABS(AW483-D487)&lt;=1e-06,"PASS","FAIL"),"FAIL"),IF(NOT(ISNUMBER(AW483)),IF(AW483=D487,"PASS","FAIL"),"FAIL")),"FAIL")</f>
        <v/>
      </c>
      <c r="G487" s="16">
        <f>AX483</f>
        <v/>
      </c>
      <c r="H487" s="30" t="inlineStr">
        <is>
          <t>ERROR</t>
        </is>
      </c>
      <c r="I487" s="15">
        <f>IF(AX483=H487,"PASS","FAIL")</f>
        <v/>
      </c>
    </row>
    <row r="488">
      <c r="B488" s="8" t="inlineStr">
        <is>
          <t>Break-Even Quantity (Q_BEP)</t>
        </is>
      </c>
      <c r="C488" s="25">
        <f>AY483</f>
        <v/>
      </c>
      <c r="D488" s="30" t="inlineStr">
        <is>
          <t>ERROR</t>
        </is>
      </c>
      <c r="E488" s="51">
        <f>IF(ISNUMBER(D488),IF(ISNUMBER(AY483),ABS(AY483-D488),"N/A"),"N/A")</f>
        <v/>
      </c>
      <c r="F488" s="15">
        <f>IFERROR(IF(ISNUMBER(D488),IF(ISNUMBER(AY483),IF(ABS(AY483-D488)&lt;=0.01,"PASS","FAIL"),"FAIL"),IF(NOT(ISNUMBER(AY483)),IF(AY483=D488,"PASS","FAIL"),"FAIL")),"FAIL")</f>
        <v/>
      </c>
      <c r="G488" s="16">
        <f>AZ483</f>
        <v/>
      </c>
      <c r="H488" s="30" t="inlineStr">
        <is>
          <t>ERROR</t>
        </is>
      </c>
      <c r="I488" s="15">
        <f>IF(AZ483=H488,"PASS","FAIL")</f>
        <v/>
      </c>
    </row>
    <row r="489">
      <c r="B489" s="8" t="inlineStr">
        <is>
          <t>Margin of Safety Quantity</t>
        </is>
      </c>
      <c r="C489" s="25">
        <f>BA483</f>
        <v/>
      </c>
      <c r="D489" s="30" t="inlineStr">
        <is>
          <t>ERROR</t>
        </is>
      </c>
      <c r="E489" s="51">
        <f>IF(ISNUMBER(D489),IF(ISNUMBER(BA483),ABS(BA483-D489),"N/A"),"N/A")</f>
        <v/>
      </c>
      <c r="F489" s="15">
        <f>IFERROR(IF(ISNUMBER(D489),IF(ISNUMBER(BA483),IF(ABS(BA483-D489)&lt;=0.01,"PASS","FAIL"),"FAIL"),IF(NOT(ISNUMBER(BA483)),IF(BA483=D489,"PASS","FAIL"),"FAIL")),"FAIL")</f>
        <v/>
      </c>
      <c r="G489" s="16">
        <f>BB483</f>
        <v/>
      </c>
      <c r="H489" s="30" t="inlineStr">
        <is>
          <t>ERROR</t>
        </is>
      </c>
      <c r="I489" s="15">
        <f>IF(BB483=H489,"PASS","FAIL")</f>
        <v/>
      </c>
    </row>
    <row r="490">
      <c r="B490" s="8" t="inlineStr">
        <is>
          <t>Margin of Safety Rate</t>
        </is>
      </c>
      <c r="C490" s="54">
        <f>BC483</f>
        <v/>
      </c>
      <c r="D490" s="30" t="inlineStr">
        <is>
          <t>ERROR</t>
        </is>
      </c>
      <c r="E490" s="51">
        <f>IF(ISNUMBER(D490),IF(ISNUMBER(BC483),ABS(BC483-D490),"N/A"),"N/A")</f>
        <v/>
      </c>
      <c r="F490" s="15">
        <f>IFERROR(IF(ISNUMBER(D490),IF(ISNUMBER(BC483),IF(ABS(BC483-D490)&lt;=1e-06,"PASS","FAIL"),"FAIL"),IF(NOT(ISNUMBER(BC483)),IF(BC483=D490,"PASS","FAIL"),"FAIL")),"FAIL")</f>
        <v/>
      </c>
      <c r="G490" s="16">
        <f>BD483</f>
        <v/>
      </c>
      <c r="H490" s="30" t="inlineStr">
        <is>
          <t>ERROR</t>
        </is>
      </c>
      <c r="I490" s="15">
        <f>IF(BD483=H490,"PASS","FAIL")</f>
        <v/>
      </c>
    </row>
    <row r="491">
      <c r="B491" s="8" t="inlineStr">
        <is>
          <t>Module Status</t>
        </is>
      </c>
      <c r="C491" s="16">
        <f>BE483</f>
        <v/>
      </c>
      <c r="D491" s="30" t="inlineStr">
        <is>
          <t>ERROR</t>
        </is>
      </c>
      <c r="F491" s="15">
        <f>IF(BE483=D491,"PASS","FAIL")</f>
        <v/>
      </c>
    </row>
    <row r="492">
      <c r="B492" s="8" t="inlineStr">
        <is>
          <t>Analysis Period Basis</t>
        </is>
      </c>
      <c r="C492" s="16">
        <f>BF483</f>
        <v/>
      </c>
      <c r="D492" s="30" t="inlineStr">
        <is>
          <t>per_month</t>
        </is>
      </c>
      <c r="F492" s="15">
        <f>IF(BF483=D492,"PASS","FAIL")</f>
        <v/>
      </c>
    </row>
    <row r="493">
      <c r="B493" s="8" t="inlineStr">
        <is>
          <t>Self-Check: |MoS qty × CMu − Operating Profit| ≤ tol</t>
        </is>
      </c>
      <c r="C493" s="36">
        <f>IF(OR(NOT(ISNUMBER(BA483)),NOT(ISNUMBER(AN483)),NOT(ISNUMBER(AU483))),"SKIP",IF(ABS(BA483*AN483-AU483)&lt;=0.01,"PASS","FAIL"))</f>
        <v/>
      </c>
      <c r="D493" s="34" t="n"/>
      <c r="F493" s="15">
        <f>IF(C493="FAIL","FAIL","PASS")</f>
        <v/>
      </c>
    </row>
    <row r="495" ht="20" customHeight="1">
      <c r="B495" s="2" t="inlineStr">
        <is>
          <t>V36. units_per_order negative -&gt; ERROR</t>
        </is>
      </c>
      <c r="C495" s="7" t="n"/>
      <c r="D495" s="7" t="n"/>
      <c r="E495" s="7" t="n"/>
      <c r="F495" s="7" t="n"/>
      <c r="G495" s="7" t="n"/>
      <c r="H495" s="7" t="n"/>
      <c r="I495" s="7" t="n"/>
    </row>
    <row r="496">
      <c r="B496" s="4" t="inlineStr">
        <is>
          <t>Metric</t>
        </is>
      </c>
      <c r="C496" s="4" t="inlineStr">
        <is>
          <t>Excel Result</t>
        </is>
      </c>
      <c r="D496" s="4" t="inlineStr">
        <is>
          <t>Python Reference</t>
        </is>
      </c>
      <c r="E496" s="4" t="inlineStr">
        <is>
          <t>Difference</t>
        </is>
      </c>
      <c r="F496" s="4" t="inlineStr">
        <is>
          <t>PASS / FAIL</t>
        </is>
      </c>
      <c r="G496" s="4" t="inlineStr">
        <is>
          <t>Excel Status</t>
        </is>
      </c>
      <c r="H496" s="4" t="inlineStr">
        <is>
          <t>Python Status</t>
        </is>
      </c>
      <c r="I496" s="4" t="inlineStr">
        <is>
          <t>Status PASS</t>
        </is>
      </c>
    </row>
    <row r="497">
      <c r="B497" s="8" t="inlineStr">
        <is>
          <t>Planned Quantity (units)</t>
        </is>
      </c>
      <c r="C497" s="25">
        <f>AO497</f>
        <v/>
      </c>
      <c r="D497" s="21" t="n">
        <v>200</v>
      </c>
      <c r="E497" s="51">
        <f>IF(ISNUMBER(D497),IF(ISNUMBER(AO497),ABS(AO497-D497),"N/A"),"N/A")</f>
        <v/>
      </c>
      <c r="F497" s="15">
        <f>IFERROR(IF(ISNUMBER(D497),IF(ISNUMBER(AO497),IF(ABS(AO497-D497)&lt;=0.01,"PASS","FAIL"),"FAIL"),IF(NOT(ISNUMBER(AO497)),IF(AO497=D497,"PASS","FAIL"),"FAIL")),"FAIL")</f>
        <v/>
      </c>
      <c r="G497" s="16">
        <f>AP497</f>
        <v/>
      </c>
      <c r="H497" s="30" t="inlineStr">
        <is>
          <t>OK</t>
        </is>
      </c>
      <c r="I497" s="15">
        <f>IF(AP497=H497,"PASS","FAIL")</f>
        <v/>
      </c>
      <c r="M497" t="n">
        <v>35000</v>
      </c>
      <c r="N497" t="b">
        <v>1</v>
      </c>
      <c r="O497" t="n">
        <v>0.1</v>
      </c>
      <c r="P497" t="n">
        <v>13500</v>
      </c>
      <c r="Q497" t="n">
        <v>3000</v>
      </c>
      <c r="R497" t="b">
        <v>1</v>
      </c>
      <c r="S497" t="n">
        <v>0</v>
      </c>
      <c r="T497" t="n">
        <v>0.025</v>
      </c>
      <c r="U497" t="n">
        <v>2000000</v>
      </c>
      <c r="V497" t="inlineStr">
        <is>
          <t>per_month</t>
        </is>
      </c>
      <c r="W497" t="inlineStr">
        <is>
          <t>component</t>
        </is>
      </c>
      <c r="X497" t="inlineStr">
        <is>
          <t>consistent</t>
        </is>
      </c>
      <c r="Y497" t="n">
        <v>1</v>
      </c>
      <c r="Z497" t="inlineStr">
        <is>
          <t>present</t>
        </is>
      </c>
      <c r="AA497" t="n">
        <v>200</v>
      </c>
      <c r="AB497" t="inlineStr">
        <is>
          <t>per_month</t>
        </is>
      </c>
      <c r="AC497" t="n">
        <v>-1</v>
      </c>
      <c r="AD497">
        <f>IFERROR(IF(ISBLANK($M$497),"UNKNOWN",IF(ISBLANK($N$497),"UNKNOWN",IF($N$497=FALSE,$M$497,IF(ISBLANK($O$497),"UNKNOWN",$M$497/(1+$O$497))))),"ERROR")</f>
        <v/>
      </c>
      <c r="AE497">
        <f>IFERROR(IF(ISBLANK($M$497),"UNKNOWN",IF(ISBLANK($N$497),"UNKNOWN",IF($N$497=TRUE,$M$497,IF(ISBLANK($O$497),"UNKNOWN",$M$497*(1+$O$497))))),"ERROR")</f>
        <v/>
      </c>
      <c r="AF497">
        <f>IF($Y$497&gt;1,"ERROR",IFERROR(IF(AD497="ERROR","ERROR",IF(OR(NOT(ISNUMBER(AD497)),ISBLANK($P$497),ISBLANK($Q$497),ISBLANK($S$497),ISBLANK($T$497)),"UNKNOWN",IF($T$497&gt;0,IF(AE497="ERROR","ERROR",IF(NOT(ISNUMBER(AE497)),"UNKNOWN",AD497-$P$497-$Q$497-$S$497*AD497-$T$497*AE497)),AD497-$P$497-$Q$497-$S$497*AD497))),"ERROR"))</f>
        <v/>
      </c>
      <c r="AG497">
        <f>IF($Y$497&gt;1,"ERROR",IFERROR(IF($W$497="invalid_direct","ERROR",IF($X$497="inconsistent","ERROR",IF($W$497="none",0,IF(OR($W$497="unresolved",$W$497="blended_only"),"UNKNOWN",IF(ISBLANK($U$497),"UNKNOWN",IF($U$497&lt;0,"ERROR",$U$497)))))),"ERROR"))</f>
        <v/>
      </c>
      <c r="AH497">
        <f>IF($Y$497&gt;1,"",IF(OR($W$497="invalid_direct",$X$497="inconsistent"),"",IF($W$497="none","",IF(OR($W$497="unresolved",$W$497="blended_only"),"",IF(ISBLANK($U$497),"",IF($U$497&lt;0,"",$V$497))))))</f>
        <v/>
      </c>
      <c r="AI497">
        <f>IF($Y$497&gt;1,"ERROR",IFERROR(IF(OR(AF497="ERROR",AG497="ERROR"),"ERROR",IF(OR(NOT(ISNUMBER(AF497)),NOT(ISNUMBER(AG497))),"UNKNOWN",IF(AF497&lt;=0,"NOT_APPLICABLE",AG497/AF497))),"ERROR"))</f>
        <v/>
      </c>
      <c r="AJ497">
        <f>IF($Y$497&gt;1,"MULTI_COMPONENT_BEP_NOT_SUPPORTED",IF($W$497="invalid_direct","INVALID_ALLOCATION_CONFIGURATION",IF($X$497="inconsistent","INCONSISTENT_FIXED_COST_BASIS",IF(AND($W$497="component",NOT(ISBLANK($U$497)),$U$497&lt;0),"INVALID_NEGATIVE_COST",IF(AF497="ERROR","CALCULATION_ERROR",IF($W$497="blended_only","FIXED_COST_BLENDED_ONLY_NOT_ALLOCATED",IF($W$497="unresolved","UNSUPPORTED_SHARED_COST_ALLOCATION",IF(NOT(ISNUMBER(AF497)),"MISSING_DEPENDENCY",IF(AND($W$497="component",ISBLANK($U$497)),"MISSING_DEPENDENCY",IF(AND(AF497=0,AG497=0),"BREAK_EVEN_UNDEFINED_ZERO_MARGIN_ZERO_FIXED_COST",IF(AF497=0,"BREAK_EVEN_UNDEFINED_ZERO_MARGIN",IF(AF497&lt;0,"BREAK_EVEN_UNDEFINED_NEGATIVE_MARGIN","NONE"))))))))))))</f>
        <v/>
      </c>
      <c r="AK497">
        <f>IF(AND(NOT(ISBLANK($AA$497)),$AA$497&lt;0),"ERROR",IF(AND($AB$497&lt;&gt;"",$AB$497&lt;&gt;"per_month"),"ERROR",IF(OR(ISBLANK($AA$497),$AB$497=""),"UNKNOWN",$AA$497)))</f>
        <v/>
      </c>
      <c r="AL497">
        <f>IF(AND(ISNUMBER(AG497),AH497&lt;&gt;"",AH497&lt;&gt;"per_month"),"ERROR",AG497)</f>
        <v/>
      </c>
      <c r="AM497">
        <f>IF(ISBLANK($AC$497),"none",IF(AND(ISNUMBER($AC$497),$AC$497&gt;0),"valid","invalid"))</f>
        <v/>
      </c>
      <c r="AN497">
        <f>IF(AM497="invalid","ERROR",IF(AND(AM497="valid",$R$497=TRUE,ISNUMBER(AF497)),AF497+$Q$497*(1-1/$AC$497),AF497))</f>
        <v/>
      </c>
      <c r="AO497">
        <f>IF($Z$497="absent","NOT_RUN",IF($Y$497&gt;1,"ERROR",AK497))</f>
        <v/>
      </c>
      <c r="AP497">
        <f>IF(ISNUMBER(AO497),"OK",AO497)</f>
        <v/>
      </c>
      <c r="AQ497">
        <f>IF($Z$497="absent","NOT_RUN",IF($Y$497&gt;1,"ERROR",IFERROR(IF(OR(AK497="ERROR",AD497="ERROR"),"ERROR",IF(OR(NOT(ISNUMBER(AK497)),NOT(ISNUMBER(AD497))),"UNKNOWN",AD497*AK497)),"ERROR")))</f>
        <v/>
      </c>
      <c r="AR497">
        <f>IF(ISNUMBER(AQ497),"OK",AQ497)</f>
        <v/>
      </c>
      <c r="AS497">
        <f>IF($Z$497="absent","NOT_RUN",IF($Y$497&gt;1,"ERROR",IFERROR(IF(OR(AK497="ERROR",AN497="ERROR"),"ERROR",IF(OR(NOT(ISNUMBER(AK497)),NOT(ISNUMBER(AN497))),"UNKNOWN",AN497*AK497)),"ERROR")))</f>
        <v/>
      </c>
      <c r="AT497">
        <f>IF(ISNUMBER(AS497),IF(AND($R$497=TRUE,AM497="none"),"ESTIMATED","OK"),AS497)</f>
        <v/>
      </c>
      <c r="AU497">
        <f>IF($Z$497="absent","NOT_RUN",IF($Y$497&gt;1,"ERROR",IFERROR(IF(OR(AK497="ERROR",AN497="ERROR",AL497="ERROR"),"ERROR",IF(OR(NOT(ISNUMBER(AK497)),NOT(ISNUMBER(AN497)),NOT(ISNUMBER(AL497))),"UNKNOWN",AN497*AK497-AL497)),"ERROR")))</f>
        <v/>
      </c>
      <c r="AV497">
        <f>IF(ISNUMBER(AU497),IF(AND($R$497=TRUE,AM497="none"),"ESTIMATED","OK"),AU497)</f>
        <v/>
      </c>
      <c r="AW497">
        <f>IF($Z$497="absent","NOT_RUN",IF($Y$497&gt;1,"ERROR",IFERROR(IF(OR(AU497="ERROR",AQ497="ERROR"),"ERROR",IF(OR(NOT(ISNUMBER(AU497)),NOT(ISNUMBER(AQ497))),"UNKNOWN",IF(AQ497=0,"NOT_APPLICABLE",AU497/AQ497))),"ERROR")))</f>
        <v/>
      </c>
      <c r="AX497">
        <f>IF(ISNUMBER(AW497),IF(AND($R$497=TRUE,AM497="none"),"ESTIMATED","OK"),AW497)</f>
        <v/>
      </c>
      <c r="AY497">
        <f>IF($Z$497="absent","NOT_RUN",IF($Y$497&gt;1,"ERROR",IFERROR(IF(OR(AN497="ERROR",AL497="ERROR"),"ERROR",IF(OR(NOT(ISNUMBER(AN497)),NOT(ISNUMBER(AL497))),"UNKNOWN",IF(AN497&lt;=0,"NOT_APPLICABLE",AL497/AN497))),"ERROR")))</f>
        <v/>
      </c>
      <c r="AZ497">
        <f>IF(ISNUMBER(AY497),IF(AND($R$497=TRUE,AM497="none"),"ESTIMATED","OK"),AY497)</f>
        <v/>
      </c>
      <c r="BA497">
        <f>IF($Z$497="absent","NOT_RUN",IF($Y$497&gt;1,"ERROR",IFERROR(IF(OR(AK497="ERROR",AN497="ERROR",AL497="ERROR"),"ERROR",IF(OR(NOT(ISNUMBER(AK497)),NOT(ISNUMBER(AN497)),NOT(ISNUMBER(AL497))),"UNKNOWN",IF(AN497&lt;=0,"NOT_APPLICABLE",AK497-AY497))),"ERROR")))</f>
        <v/>
      </c>
      <c r="BB497">
        <f>IF(ISNUMBER(BA497),IF(AND($R$497=TRUE,AM497="none"),"ESTIMATED","OK"),BA497)</f>
        <v/>
      </c>
      <c r="BC497">
        <f>IF($Z$497="absent","NOT_RUN",IF($Y$497&gt;1,"ERROR",IFERROR(IF(OR(AK497="ERROR",AN497="ERROR",AL497="ERROR"),"ERROR",IF(OR(NOT(ISNUMBER(AK497)),NOT(ISNUMBER(AN497)),NOT(ISNUMBER(AL497))),"UNKNOWN",IF(OR(AN497&lt;=0,AK497=0),"NOT_APPLICABLE",(AK497-AY497)/AK497))),"ERROR")))</f>
        <v/>
      </c>
      <c r="BD497">
        <f>IF(ISNUMBER(BC497),IF(AND($R$497=TRUE,AM497="none"),"ESTIMATED","OK"),BC497)</f>
        <v/>
      </c>
      <c r="BE497">
        <f>IF($Z$497="absent","NOT_RUN",IF(OR(AP497="ERROR",AR497="ERROR",AT497="ERROR",AV497="ERROR",AX497="ERROR",AZ497="ERROR",BB497="ERROR",BD497="ERROR"),"ERROR",IF(OR(AP497="UNKNOWN",AR497="UNKNOWN",AT497="UNKNOWN",AV497="UNKNOWN",AX497="UNKNOWN",AZ497="UNKNOWN",BB497="UNKNOWN",BD497="UNKNOWN"),"INCOMPLETE","OK")))</f>
        <v/>
      </c>
      <c r="BF497">
        <f>IF($Z$497="absent","",AH497)</f>
        <v/>
      </c>
    </row>
    <row r="498">
      <c r="B498" s="8" t="inlineStr">
        <is>
          <t>Total Net Sales ex VAT</t>
        </is>
      </c>
      <c r="C498" s="52">
        <f>AQ497</f>
        <v/>
      </c>
      <c r="D498" s="53" t="n">
        <v>6363636.363636363</v>
      </c>
      <c r="E498" s="51">
        <f>IF(ISNUMBER(D498),IF(ISNUMBER(AQ497),ABS(AQ497-D498),"N/A"),"N/A")</f>
        <v/>
      </c>
      <c r="F498" s="15">
        <f>IFERROR(IF(ISNUMBER(D498),IF(ISNUMBER(AQ497),IF(ABS(AQ497-D498)&lt;=0.01,"PASS","FAIL"),"FAIL"),IF(NOT(ISNUMBER(AQ497)),IF(AQ497=D498,"PASS","FAIL"),"FAIL")),"FAIL")</f>
        <v/>
      </c>
      <c r="G498" s="16">
        <f>AR497</f>
        <v/>
      </c>
      <c r="H498" s="30" t="inlineStr">
        <is>
          <t>OK</t>
        </is>
      </c>
      <c r="I498" s="15">
        <f>IF(AR497=H498,"PASS","FAIL")</f>
        <v/>
      </c>
    </row>
    <row r="499">
      <c r="B499" s="8" t="inlineStr">
        <is>
          <t>Total Contribution Margin</t>
        </is>
      </c>
      <c r="C499" s="52">
        <f>AS497</f>
        <v/>
      </c>
      <c r="D499" s="30" t="inlineStr">
        <is>
          <t>ERROR</t>
        </is>
      </c>
      <c r="E499" s="51">
        <f>IF(ISNUMBER(D499),IF(ISNUMBER(AS497),ABS(AS497-D499),"N/A"),"N/A")</f>
        <v/>
      </c>
      <c r="F499" s="15">
        <f>IFERROR(IF(ISNUMBER(D499),IF(ISNUMBER(AS497),IF(ABS(AS497-D499)&lt;=0.01,"PASS","FAIL"),"FAIL"),IF(NOT(ISNUMBER(AS497)),IF(AS497=D499,"PASS","FAIL"),"FAIL")),"FAIL")</f>
        <v/>
      </c>
      <c r="G499" s="16">
        <f>AT497</f>
        <v/>
      </c>
      <c r="H499" s="30" t="inlineStr">
        <is>
          <t>ERROR</t>
        </is>
      </c>
      <c r="I499" s="15">
        <f>IF(AT497=H499,"PASS","FAIL")</f>
        <v/>
      </c>
    </row>
    <row r="500">
      <c r="B500" s="8" t="inlineStr">
        <is>
          <t>Operating Profit</t>
        </is>
      </c>
      <c r="C500" s="52">
        <f>AU497</f>
        <v/>
      </c>
      <c r="D500" s="30" t="inlineStr">
        <is>
          <t>ERROR</t>
        </is>
      </c>
      <c r="E500" s="51">
        <f>IF(ISNUMBER(D500),IF(ISNUMBER(AU497),ABS(AU497-D500),"N/A"),"N/A")</f>
        <v/>
      </c>
      <c r="F500" s="15">
        <f>IFERROR(IF(ISNUMBER(D500),IF(ISNUMBER(AU497),IF(ABS(AU497-D500)&lt;=0.01,"PASS","FAIL"),"FAIL"),IF(NOT(ISNUMBER(AU497)),IF(AU497=D500,"PASS","FAIL"),"FAIL")),"FAIL")</f>
        <v/>
      </c>
      <c r="G500" s="16">
        <f>AV497</f>
        <v/>
      </c>
      <c r="H500" s="30" t="inlineStr">
        <is>
          <t>ERROR</t>
        </is>
      </c>
      <c r="I500" s="15">
        <f>IF(AV497=H500,"PASS","FAIL")</f>
        <v/>
      </c>
    </row>
    <row r="501">
      <c r="B501" s="8" t="inlineStr">
        <is>
          <t>Operating Profit Rate</t>
        </is>
      </c>
      <c r="C501" s="54">
        <f>AW497</f>
        <v/>
      </c>
      <c r="D501" s="30" t="inlineStr">
        <is>
          <t>ERROR</t>
        </is>
      </c>
      <c r="E501" s="51">
        <f>IF(ISNUMBER(D501),IF(ISNUMBER(AW497),ABS(AW497-D501),"N/A"),"N/A")</f>
        <v/>
      </c>
      <c r="F501" s="15">
        <f>IFERROR(IF(ISNUMBER(D501),IF(ISNUMBER(AW497),IF(ABS(AW497-D501)&lt;=1e-06,"PASS","FAIL"),"FAIL"),IF(NOT(ISNUMBER(AW497)),IF(AW497=D501,"PASS","FAIL"),"FAIL")),"FAIL")</f>
        <v/>
      </c>
      <c r="G501" s="16">
        <f>AX497</f>
        <v/>
      </c>
      <c r="H501" s="30" t="inlineStr">
        <is>
          <t>ERROR</t>
        </is>
      </c>
      <c r="I501" s="15">
        <f>IF(AX497=H501,"PASS","FAIL")</f>
        <v/>
      </c>
    </row>
    <row r="502">
      <c r="B502" s="8" t="inlineStr">
        <is>
          <t>Break-Even Quantity (Q_BEP)</t>
        </is>
      </c>
      <c r="C502" s="25">
        <f>AY497</f>
        <v/>
      </c>
      <c r="D502" s="30" t="inlineStr">
        <is>
          <t>ERROR</t>
        </is>
      </c>
      <c r="E502" s="51">
        <f>IF(ISNUMBER(D502),IF(ISNUMBER(AY497),ABS(AY497-D502),"N/A"),"N/A")</f>
        <v/>
      </c>
      <c r="F502" s="15">
        <f>IFERROR(IF(ISNUMBER(D502),IF(ISNUMBER(AY497),IF(ABS(AY497-D502)&lt;=0.01,"PASS","FAIL"),"FAIL"),IF(NOT(ISNUMBER(AY497)),IF(AY497=D502,"PASS","FAIL"),"FAIL")),"FAIL")</f>
        <v/>
      </c>
      <c r="G502" s="16">
        <f>AZ497</f>
        <v/>
      </c>
      <c r="H502" s="30" t="inlineStr">
        <is>
          <t>ERROR</t>
        </is>
      </c>
      <c r="I502" s="15">
        <f>IF(AZ497=H502,"PASS","FAIL")</f>
        <v/>
      </c>
    </row>
    <row r="503">
      <c r="B503" s="8" t="inlineStr">
        <is>
          <t>Margin of Safety Quantity</t>
        </is>
      </c>
      <c r="C503" s="25">
        <f>BA497</f>
        <v/>
      </c>
      <c r="D503" s="30" t="inlineStr">
        <is>
          <t>ERROR</t>
        </is>
      </c>
      <c r="E503" s="51">
        <f>IF(ISNUMBER(D503),IF(ISNUMBER(BA497),ABS(BA497-D503),"N/A"),"N/A")</f>
        <v/>
      </c>
      <c r="F503" s="15">
        <f>IFERROR(IF(ISNUMBER(D503),IF(ISNUMBER(BA497),IF(ABS(BA497-D503)&lt;=0.01,"PASS","FAIL"),"FAIL"),IF(NOT(ISNUMBER(BA497)),IF(BA497=D503,"PASS","FAIL"),"FAIL")),"FAIL")</f>
        <v/>
      </c>
      <c r="G503" s="16">
        <f>BB497</f>
        <v/>
      </c>
      <c r="H503" s="30" t="inlineStr">
        <is>
          <t>ERROR</t>
        </is>
      </c>
      <c r="I503" s="15">
        <f>IF(BB497=H503,"PASS","FAIL")</f>
        <v/>
      </c>
    </row>
    <row r="504">
      <c r="B504" s="8" t="inlineStr">
        <is>
          <t>Margin of Safety Rate</t>
        </is>
      </c>
      <c r="C504" s="54">
        <f>BC497</f>
        <v/>
      </c>
      <c r="D504" s="30" t="inlineStr">
        <is>
          <t>ERROR</t>
        </is>
      </c>
      <c r="E504" s="51">
        <f>IF(ISNUMBER(D504),IF(ISNUMBER(BC497),ABS(BC497-D504),"N/A"),"N/A")</f>
        <v/>
      </c>
      <c r="F504" s="15">
        <f>IFERROR(IF(ISNUMBER(D504),IF(ISNUMBER(BC497),IF(ABS(BC497-D504)&lt;=1e-06,"PASS","FAIL"),"FAIL"),IF(NOT(ISNUMBER(BC497)),IF(BC497=D504,"PASS","FAIL"),"FAIL")),"FAIL")</f>
        <v/>
      </c>
      <c r="G504" s="16">
        <f>BD497</f>
        <v/>
      </c>
      <c r="H504" s="30" t="inlineStr">
        <is>
          <t>ERROR</t>
        </is>
      </c>
      <c r="I504" s="15">
        <f>IF(BD497=H504,"PASS","FAIL")</f>
        <v/>
      </c>
    </row>
    <row r="505">
      <c r="B505" s="8" t="inlineStr">
        <is>
          <t>Module Status</t>
        </is>
      </c>
      <c r="C505" s="16">
        <f>BE497</f>
        <v/>
      </c>
      <c r="D505" s="30" t="inlineStr">
        <is>
          <t>ERROR</t>
        </is>
      </c>
      <c r="F505" s="15">
        <f>IF(BE497=D505,"PASS","FAIL")</f>
        <v/>
      </c>
    </row>
    <row r="506">
      <c r="B506" s="8" t="inlineStr">
        <is>
          <t>Analysis Period Basis</t>
        </is>
      </c>
      <c r="C506" s="16">
        <f>BF497</f>
        <v/>
      </c>
      <c r="D506" s="30" t="inlineStr">
        <is>
          <t>per_month</t>
        </is>
      </c>
      <c r="F506" s="15">
        <f>IF(BF497=D506,"PASS","FAIL")</f>
        <v/>
      </c>
    </row>
    <row r="507">
      <c r="B507" s="8" t="inlineStr">
        <is>
          <t>Self-Check: |MoS qty × CMu − Operating Profit| ≤ tol</t>
        </is>
      </c>
      <c r="C507" s="36">
        <f>IF(OR(NOT(ISNUMBER(BA497)),NOT(ISNUMBER(AN497)),NOT(ISNUMBER(AU497))),"SKIP",IF(ABS(BA497*AN497-AU497)&lt;=0.01,"PASS","FAIL"))</f>
        <v/>
      </c>
      <c r="D507" s="34" t="n"/>
      <c r="F507" s="15">
        <f>IF(C507="FAIL","FAIL","PASS")</f>
        <v/>
      </c>
    </row>
    <row r="509" ht="20" customHeight="1">
      <c r="B509" s="2" t="inlineStr">
        <is>
          <t>V37. units_per_order is text -&gt; ERROR</t>
        </is>
      </c>
      <c r="C509" s="7" t="n"/>
      <c r="D509" s="7" t="n"/>
      <c r="E509" s="7" t="n"/>
      <c r="F509" s="7" t="n"/>
      <c r="G509" s="7" t="n"/>
      <c r="H509" s="7" t="n"/>
      <c r="I509" s="7" t="n"/>
    </row>
    <row r="510">
      <c r="B510" s="4" t="inlineStr">
        <is>
          <t>Metric</t>
        </is>
      </c>
      <c r="C510" s="4" t="inlineStr">
        <is>
          <t>Excel Result</t>
        </is>
      </c>
      <c r="D510" s="4" t="inlineStr">
        <is>
          <t>Python Reference</t>
        </is>
      </c>
      <c r="E510" s="4" t="inlineStr">
        <is>
          <t>Difference</t>
        </is>
      </c>
      <c r="F510" s="4" t="inlineStr">
        <is>
          <t>PASS / FAIL</t>
        </is>
      </c>
      <c r="G510" s="4" t="inlineStr">
        <is>
          <t>Excel Status</t>
        </is>
      </c>
      <c r="H510" s="4" t="inlineStr">
        <is>
          <t>Python Status</t>
        </is>
      </c>
      <c r="I510" s="4" t="inlineStr">
        <is>
          <t>Status PASS</t>
        </is>
      </c>
    </row>
    <row r="511">
      <c r="B511" s="8" t="inlineStr">
        <is>
          <t>Planned Quantity (units)</t>
        </is>
      </c>
      <c r="C511" s="25">
        <f>AO511</f>
        <v/>
      </c>
      <c r="D511" s="21" t="n">
        <v>200</v>
      </c>
      <c r="E511" s="51">
        <f>IF(ISNUMBER(D511),IF(ISNUMBER(AO511),ABS(AO511-D511),"N/A"),"N/A")</f>
        <v/>
      </c>
      <c r="F511" s="15">
        <f>IFERROR(IF(ISNUMBER(D511),IF(ISNUMBER(AO511),IF(ABS(AO511-D511)&lt;=0.01,"PASS","FAIL"),"FAIL"),IF(NOT(ISNUMBER(AO511)),IF(AO511=D511,"PASS","FAIL"),"FAIL")),"FAIL")</f>
        <v/>
      </c>
      <c r="G511" s="16">
        <f>AP511</f>
        <v/>
      </c>
      <c r="H511" s="30" t="inlineStr">
        <is>
          <t>OK</t>
        </is>
      </c>
      <c r="I511" s="15">
        <f>IF(AP511=H511,"PASS","FAIL")</f>
        <v/>
      </c>
      <c r="M511" t="n">
        <v>35000</v>
      </c>
      <c r="N511" t="b">
        <v>1</v>
      </c>
      <c r="O511" t="n">
        <v>0.1</v>
      </c>
      <c r="P511" t="n">
        <v>13500</v>
      </c>
      <c r="Q511" t="n">
        <v>3000</v>
      </c>
      <c r="R511" t="b">
        <v>1</v>
      </c>
      <c r="S511" t="n">
        <v>0</v>
      </c>
      <c r="T511" t="n">
        <v>0.025</v>
      </c>
      <c r="U511" t="n">
        <v>2000000</v>
      </c>
      <c r="V511" t="inlineStr">
        <is>
          <t>per_month</t>
        </is>
      </c>
      <c r="W511" t="inlineStr">
        <is>
          <t>component</t>
        </is>
      </c>
      <c r="X511" t="inlineStr">
        <is>
          <t>consistent</t>
        </is>
      </c>
      <c r="Y511" t="n">
        <v>1</v>
      </c>
      <c r="Z511" t="inlineStr">
        <is>
          <t>present</t>
        </is>
      </c>
      <c r="AA511" t="n">
        <v>200</v>
      </c>
      <c r="AB511" t="inlineStr">
        <is>
          <t>per_month</t>
        </is>
      </c>
      <c r="AC511" t="inlineStr">
        <is>
          <t>2</t>
        </is>
      </c>
      <c r="AD511">
        <f>IFERROR(IF(ISBLANK($M$511),"UNKNOWN",IF(ISBLANK($N$511),"UNKNOWN",IF($N$511=FALSE,$M$511,IF(ISBLANK($O$511),"UNKNOWN",$M$511/(1+$O$511))))),"ERROR")</f>
        <v/>
      </c>
      <c r="AE511">
        <f>IFERROR(IF(ISBLANK($M$511),"UNKNOWN",IF(ISBLANK($N$511),"UNKNOWN",IF($N$511=TRUE,$M$511,IF(ISBLANK($O$511),"UNKNOWN",$M$511*(1+$O$511))))),"ERROR")</f>
        <v/>
      </c>
      <c r="AF511">
        <f>IF($Y$511&gt;1,"ERROR",IFERROR(IF(AD511="ERROR","ERROR",IF(OR(NOT(ISNUMBER(AD511)),ISBLANK($P$511),ISBLANK($Q$511),ISBLANK($S$511),ISBLANK($T$511)),"UNKNOWN",IF($T$511&gt;0,IF(AE511="ERROR","ERROR",IF(NOT(ISNUMBER(AE511)),"UNKNOWN",AD511-$P$511-$Q$511-$S$511*AD511-$T$511*AE511)),AD511-$P$511-$Q$511-$S$511*AD511))),"ERROR"))</f>
        <v/>
      </c>
      <c r="AG511">
        <f>IF($Y$511&gt;1,"ERROR",IFERROR(IF($W$511="invalid_direct","ERROR",IF($X$511="inconsistent","ERROR",IF($W$511="none",0,IF(OR($W$511="unresolved",$W$511="blended_only"),"UNKNOWN",IF(ISBLANK($U$511),"UNKNOWN",IF($U$511&lt;0,"ERROR",$U$511)))))),"ERROR"))</f>
        <v/>
      </c>
      <c r="AH511">
        <f>IF($Y$511&gt;1,"",IF(OR($W$511="invalid_direct",$X$511="inconsistent"),"",IF($W$511="none","",IF(OR($W$511="unresolved",$W$511="blended_only"),"",IF(ISBLANK($U$511),"",IF($U$511&lt;0,"",$V$511))))))</f>
        <v/>
      </c>
      <c r="AI511">
        <f>IF($Y$511&gt;1,"ERROR",IFERROR(IF(OR(AF511="ERROR",AG511="ERROR"),"ERROR",IF(OR(NOT(ISNUMBER(AF511)),NOT(ISNUMBER(AG511))),"UNKNOWN",IF(AF511&lt;=0,"NOT_APPLICABLE",AG511/AF511))),"ERROR"))</f>
        <v/>
      </c>
      <c r="AJ511">
        <f>IF($Y$511&gt;1,"MULTI_COMPONENT_BEP_NOT_SUPPORTED",IF($W$511="invalid_direct","INVALID_ALLOCATION_CONFIGURATION",IF($X$511="inconsistent","INCONSISTENT_FIXED_COST_BASIS",IF(AND($W$511="component",NOT(ISBLANK($U$511)),$U$511&lt;0),"INVALID_NEGATIVE_COST",IF(AF511="ERROR","CALCULATION_ERROR",IF($W$511="blended_only","FIXED_COST_BLENDED_ONLY_NOT_ALLOCATED",IF($W$511="unresolved","UNSUPPORTED_SHARED_COST_ALLOCATION",IF(NOT(ISNUMBER(AF511)),"MISSING_DEPENDENCY",IF(AND($W$511="component",ISBLANK($U$511)),"MISSING_DEPENDENCY",IF(AND(AF511=0,AG511=0),"BREAK_EVEN_UNDEFINED_ZERO_MARGIN_ZERO_FIXED_COST",IF(AF511=0,"BREAK_EVEN_UNDEFINED_ZERO_MARGIN",IF(AF511&lt;0,"BREAK_EVEN_UNDEFINED_NEGATIVE_MARGIN","NONE"))))))))))))</f>
        <v/>
      </c>
      <c r="AK511">
        <f>IF(AND(NOT(ISBLANK($AA$511)),$AA$511&lt;0),"ERROR",IF(AND($AB$511&lt;&gt;"",$AB$511&lt;&gt;"per_month"),"ERROR",IF(OR(ISBLANK($AA$511),$AB$511=""),"UNKNOWN",$AA$511)))</f>
        <v/>
      </c>
      <c r="AL511">
        <f>IF(AND(ISNUMBER(AG511),AH511&lt;&gt;"",AH511&lt;&gt;"per_month"),"ERROR",AG511)</f>
        <v/>
      </c>
      <c r="AM511">
        <f>IF(ISBLANK($AC$511),"none",IF(AND(ISNUMBER($AC$511),$AC$511&gt;0),"valid","invalid"))</f>
        <v/>
      </c>
      <c r="AN511">
        <f>IF(AM511="invalid","ERROR",IF(AND(AM511="valid",$R$511=TRUE,ISNUMBER(AF511)),AF511+$Q$511*(1-1/$AC$511),AF511))</f>
        <v/>
      </c>
      <c r="AO511">
        <f>IF($Z$511="absent","NOT_RUN",IF($Y$511&gt;1,"ERROR",AK511))</f>
        <v/>
      </c>
      <c r="AP511">
        <f>IF(ISNUMBER(AO511),"OK",AO511)</f>
        <v/>
      </c>
      <c r="AQ511">
        <f>IF($Z$511="absent","NOT_RUN",IF($Y$511&gt;1,"ERROR",IFERROR(IF(OR(AK511="ERROR",AD511="ERROR"),"ERROR",IF(OR(NOT(ISNUMBER(AK511)),NOT(ISNUMBER(AD511))),"UNKNOWN",AD511*AK511)),"ERROR")))</f>
        <v/>
      </c>
      <c r="AR511">
        <f>IF(ISNUMBER(AQ511),"OK",AQ511)</f>
        <v/>
      </c>
      <c r="AS511">
        <f>IF($Z$511="absent","NOT_RUN",IF($Y$511&gt;1,"ERROR",IFERROR(IF(OR(AK511="ERROR",AN511="ERROR"),"ERROR",IF(OR(NOT(ISNUMBER(AK511)),NOT(ISNUMBER(AN511))),"UNKNOWN",AN511*AK511)),"ERROR")))</f>
        <v/>
      </c>
      <c r="AT511">
        <f>IF(ISNUMBER(AS511),IF(AND($R$511=TRUE,AM511="none"),"ESTIMATED","OK"),AS511)</f>
        <v/>
      </c>
      <c r="AU511">
        <f>IF($Z$511="absent","NOT_RUN",IF($Y$511&gt;1,"ERROR",IFERROR(IF(OR(AK511="ERROR",AN511="ERROR",AL511="ERROR"),"ERROR",IF(OR(NOT(ISNUMBER(AK511)),NOT(ISNUMBER(AN511)),NOT(ISNUMBER(AL511))),"UNKNOWN",AN511*AK511-AL511)),"ERROR")))</f>
        <v/>
      </c>
      <c r="AV511">
        <f>IF(ISNUMBER(AU511),IF(AND($R$511=TRUE,AM511="none"),"ESTIMATED","OK"),AU511)</f>
        <v/>
      </c>
      <c r="AW511">
        <f>IF($Z$511="absent","NOT_RUN",IF($Y$511&gt;1,"ERROR",IFERROR(IF(OR(AU511="ERROR",AQ511="ERROR"),"ERROR",IF(OR(NOT(ISNUMBER(AU511)),NOT(ISNUMBER(AQ511))),"UNKNOWN",IF(AQ511=0,"NOT_APPLICABLE",AU511/AQ511))),"ERROR")))</f>
        <v/>
      </c>
      <c r="AX511">
        <f>IF(ISNUMBER(AW511),IF(AND($R$511=TRUE,AM511="none"),"ESTIMATED","OK"),AW511)</f>
        <v/>
      </c>
      <c r="AY511">
        <f>IF($Z$511="absent","NOT_RUN",IF($Y$511&gt;1,"ERROR",IFERROR(IF(OR(AN511="ERROR",AL511="ERROR"),"ERROR",IF(OR(NOT(ISNUMBER(AN511)),NOT(ISNUMBER(AL511))),"UNKNOWN",IF(AN511&lt;=0,"NOT_APPLICABLE",AL511/AN511))),"ERROR")))</f>
        <v/>
      </c>
      <c r="AZ511">
        <f>IF(ISNUMBER(AY511),IF(AND($R$511=TRUE,AM511="none"),"ESTIMATED","OK"),AY511)</f>
        <v/>
      </c>
      <c r="BA511">
        <f>IF($Z$511="absent","NOT_RUN",IF($Y$511&gt;1,"ERROR",IFERROR(IF(OR(AK511="ERROR",AN511="ERROR",AL511="ERROR"),"ERROR",IF(OR(NOT(ISNUMBER(AK511)),NOT(ISNUMBER(AN511)),NOT(ISNUMBER(AL511))),"UNKNOWN",IF(AN511&lt;=0,"NOT_APPLICABLE",AK511-AY511))),"ERROR")))</f>
        <v/>
      </c>
      <c r="BB511">
        <f>IF(ISNUMBER(BA511),IF(AND($R$511=TRUE,AM511="none"),"ESTIMATED","OK"),BA511)</f>
        <v/>
      </c>
      <c r="BC511">
        <f>IF($Z$511="absent","NOT_RUN",IF($Y$511&gt;1,"ERROR",IFERROR(IF(OR(AK511="ERROR",AN511="ERROR",AL511="ERROR"),"ERROR",IF(OR(NOT(ISNUMBER(AK511)),NOT(ISNUMBER(AN511)),NOT(ISNUMBER(AL511))),"UNKNOWN",IF(OR(AN511&lt;=0,AK511=0),"NOT_APPLICABLE",(AK511-AY511)/AK511))),"ERROR")))</f>
        <v/>
      </c>
      <c r="BD511">
        <f>IF(ISNUMBER(BC511),IF(AND($R$511=TRUE,AM511="none"),"ESTIMATED","OK"),BC511)</f>
        <v/>
      </c>
      <c r="BE511">
        <f>IF($Z$511="absent","NOT_RUN",IF(OR(AP511="ERROR",AR511="ERROR",AT511="ERROR",AV511="ERROR",AX511="ERROR",AZ511="ERROR",BB511="ERROR",BD511="ERROR"),"ERROR",IF(OR(AP511="UNKNOWN",AR511="UNKNOWN",AT511="UNKNOWN",AV511="UNKNOWN",AX511="UNKNOWN",AZ511="UNKNOWN",BB511="UNKNOWN",BD511="UNKNOWN"),"INCOMPLETE","OK")))</f>
        <v/>
      </c>
      <c r="BF511">
        <f>IF($Z$511="absent","",AH511)</f>
        <v/>
      </c>
    </row>
    <row r="512">
      <c r="B512" s="8" t="inlineStr">
        <is>
          <t>Total Net Sales ex VAT</t>
        </is>
      </c>
      <c r="C512" s="52">
        <f>AQ511</f>
        <v/>
      </c>
      <c r="D512" s="53" t="n">
        <v>6363636.363636363</v>
      </c>
      <c r="E512" s="51">
        <f>IF(ISNUMBER(D512),IF(ISNUMBER(AQ511),ABS(AQ511-D512),"N/A"),"N/A")</f>
        <v/>
      </c>
      <c r="F512" s="15">
        <f>IFERROR(IF(ISNUMBER(D512),IF(ISNUMBER(AQ511),IF(ABS(AQ511-D512)&lt;=0.01,"PASS","FAIL"),"FAIL"),IF(NOT(ISNUMBER(AQ511)),IF(AQ511=D512,"PASS","FAIL"),"FAIL")),"FAIL")</f>
        <v/>
      </c>
      <c r="G512" s="16">
        <f>AR511</f>
        <v/>
      </c>
      <c r="H512" s="30" t="inlineStr">
        <is>
          <t>OK</t>
        </is>
      </c>
      <c r="I512" s="15">
        <f>IF(AR511=H512,"PASS","FAIL")</f>
        <v/>
      </c>
    </row>
    <row r="513">
      <c r="B513" s="8" t="inlineStr">
        <is>
          <t>Total Contribution Margin</t>
        </is>
      </c>
      <c r="C513" s="52">
        <f>AS511</f>
        <v/>
      </c>
      <c r="D513" s="30" t="inlineStr">
        <is>
          <t>ERROR</t>
        </is>
      </c>
      <c r="E513" s="51">
        <f>IF(ISNUMBER(D513),IF(ISNUMBER(AS511),ABS(AS511-D513),"N/A"),"N/A")</f>
        <v/>
      </c>
      <c r="F513" s="15">
        <f>IFERROR(IF(ISNUMBER(D513),IF(ISNUMBER(AS511),IF(ABS(AS511-D513)&lt;=0.01,"PASS","FAIL"),"FAIL"),IF(NOT(ISNUMBER(AS511)),IF(AS511=D513,"PASS","FAIL"),"FAIL")),"FAIL")</f>
        <v/>
      </c>
      <c r="G513" s="16">
        <f>AT511</f>
        <v/>
      </c>
      <c r="H513" s="30" t="inlineStr">
        <is>
          <t>ERROR</t>
        </is>
      </c>
      <c r="I513" s="15">
        <f>IF(AT511=H513,"PASS","FAIL")</f>
        <v/>
      </c>
    </row>
    <row r="514">
      <c r="B514" s="8" t="inlineStr">
        <is>
          <t>Operating Profit</t>
        </is>
      </c>
      <c r="C514" s="52">
        <f>AU511</f>
        <v/>
      </c>
      <c r="D514" s="30" t="inlineStr">
        <is>
          <t>ERROR</t>
        </is>
      </c>
      <c r="E514" s="51">
        <f>IF(ISNUMBER(D514),IF(ISNUMBER(AU511),ABS(AU511-D514),"N/A"),"N/A")</f>
        <v/>
      </c>
      <c r="F514" s="15">
        <f>IFERROR(IF(ISNUMBER(D514),IF(ISNUMBER(AU511),IF(ABS(AU511-D514)&lt;=0.01,"PASS","FAIL"),"FAIL"),IF(NOT(ISNUMBER(AU511)),IF(AU511=D514,"PASS","FAIL"),"FAIL")),"FAIL")</f>
        <v/>
      </c>
      <c r="G514" s="16">
        <f>AV511</f>
        <v/>
      </c>
      <c r="H514" s="30" t="inlineStr">
        <is>
          <t>ERROR</t>
        </is>
      </c>
      <c r="I514" s="15">
        <f>IF(AV511=H514,"PASS","FAIL")</f>
        <v/>
      </c>
    </row>
    <row r="515">
      <c r="B515" s="8" t="inlineStr">
        <is>
          <t>Operating Profit Rate</t>
        </is>
      </c>
      <c r="C515" s="54">
        <f>AW511</f>
        <v/>
      </c>
      <c r="D515" s="30" t="inlineStr">
        <is>
          <t>ERROR</t>
        </is>
      </c>
      <c r="E515" s="51">
        <f>IF(ISNUMBER(D515),IF(ISNUMBER(AW511),ABS(AW511-D515),"N/A"),"N/A")</f>
        <v/>
      </c>
      <c r="F515" s="15">
        <f>IFERROR(IF(ISNUMBER(D515),IF(ISNUMBER(AW511),IF(ABS(AW511-D515)&lt;=1e-06,"PASS","FAIL"),"FAIL"),IF(NOT(ISNUMBER(AW511)),IF(AW511=D515,"PASS","FAIL"),"FAIL")),"FAIL")</f>
        <v/>
      </c>
      <c r="G515" s="16">
        <f>AX511</f>
        <v/>
      </c>
      <c r="H515" s="30" t="inlineStr">
        <is>
          <t>ERROR</t>
        </is>
      </c>
      <c r="I515" s="15">
        <f>IF(AX511=H515,"PASS","FAIL")</f>
        <v/>
      </c>
    </row>
    <row r="516">
      <c r="B516" s="8" t="inlineStr">
        <is>
          <t>Break-Even Quantity (Q_BEP)</t>
        </is>
      </c>
      <c r="C516" s="25">
        <f>AY511</f>
        <v/>
      </c>
      <c r="D516" s="30" t="inlineStr">
        <is>
          <t>ERROR</t>
        </is>
      </c>
      <c r="E516" s="51">
        <f>IF(ISNUMBER(D516),IF(ISNUMBER(AY511),ABS(AY511-D516),"N/A"),"N/A")</f>
        <v/>
      </c>
      <c r="F516" s="15">
        <f>IFERROR(IF(ISNUMBER(D516),IF(ISNUMBER(AY511),IF(ABS(AY511-D516)&lt;=0.01,"PASS","FAIL"),"FAIL"),IF(NOT(ISNUMBER(AY511)),IF(AY511=D516,"PASS","FAIL"),"FAIL")),"FAIL")</f>
        <v/>
      </c>
      <c r="G516" s="16">
        <f>AZ511</f>
        <v/>
      </c>
      <c r="H516" s="30" t="inlineStr">
        <is>
          <t>ERROR</t>
        </is>
      </c>
      <c r="I516" s="15">
        <f>IF(AZ511=H516,"PASS","FAIL")</f>
        <v/>
      </c>
    </row>
    <row r="517">
      <c r="B517" s="8" t="inlineStr">
        <is>
          <t>Margin of Safety Quantity</t>
        </is>
      </c>
      <c r="C517" s="25">
        <f>BA511</f>
        <v/>
      </c>
      <c r="D517" s="30" t="inlineStr">
        <is>
          <t>ERROR</t>
        </is>
      </c>
      <c r="E517" s="51">
        <f>IF(ISNUMBER(D517),IF(ISNUMBER(BA511),ABS(BA511-D517),"N/A"),"N/A")</f>
        <v/>
      </c>
      <c r="F517" s="15">
        <f>IFERROR(IF(ISNUMBER(D517),IF(ISNUMBER(BA511),IF(ABS(BA511-D517)&lt;=0.01,"PASS","FAIL"),"FAIL"),IF(NOT(ISNUMBER(BA511)),IF(BA511=D517,"PASS","FAIL"),"FAIL")),"FAIL")</f>
        <v/>
      </c>
      <c r="G517" s="16">
        <f>BB511</f>
        <v/>
      </c>
      <c r="H517" s="30" t="inlineStr">
        <is>
          <t>ERROR</t>
        </is>
      </c>
      <c r="I517" s="15">
        <f>IF(BB511=H517,"PASS","FAIL")</f>
        <v/>
      </c>
    </row>
    <row r="518">
      <c r="B518" s="8" t="inlineStr">
        <is>
          <t>Margin of Safety Rate</t>
        </is>
      </c>
      <c r="C518" s="54">
        <f>BC511</f>
        <v/>
      </c>
      <c r="D518" s="30" t="inlineStr">
        <is>
          <t>ERROR</t>
        </is>
      </c>
      <c r="E518" s="51">
        <f>IF(ISNUMBER(D518),IF(ISNUMBER(BC511),ABS(BC511-D518),"N/A"),"N/A")</f>
        <v/>
      </c>
      <c r="F518" s="15">
        <f>IFERROR(IF(ISNUMBER(D518),IF(ISNUMBER(BC511),IF(ABS(BC511-D518)&lt;=1e-06,"PASS","FAIL"),"FAIL"),IF(NOT(ISNUMBER(BC511)),IF(BC511=D518,"PASS","FAIL"),"FAIL")),"FAIL")</f>
        <v/>
      </c>
      <c r="G518" s="16">
        <f>BD511</f>
        <v/>
      </c>
      <c r="H518" s="30" t="inlineStr">
        <is>
          <t>ERROR</t>
        </is>
      </c>
      <c r="I518" s="15">
        <f>IF(BD511=H518,"PASS","FAIL")</f>
        <v/>
      </c>
    </row>
    <row r="519">
      <c r="B519" s="8" t="inlineStr">
        <is>
          <t>Module Status</t>
        </is>
      </c>
      <c r="C519" s="16">
        <f>BE511</f>
        <v/>
      </c>
      <c r="D519" s="30" t="inlineStr">
        <is>
          <t>ERROR</t>
        </is>
      </c>
      <c r="F519" s="15">
        <f>IF(BE511=D519,"PASS","FAIL")</f>
        <v/>
      </c>
    </row>
    <row r="520">
      <c r="B520" s="8" t="inlineStr">
        <is>
          <t>Analysis Period Basis</t>
        </is>
      </c>
      <c r="C520" s="16">
        <f>BF511</f>
        <v/>
      </c>
      <c r="D520" s="30" t="inlineStr">
        <is>
          <t>per_month</t>
        </is>
      </c>
      <c r="F520" s="15">
        <f>IF(BF511=D520,"PASS","FAIL")</f>
        <v/>
      </c>
    </row>
    <row r="521">
      <c r="B521" s="8" t="inlineStr">
        <is>
          <t>Self-Check: |MoS qty × CMu − Operating Profit| ≤ tol</t>
        </is>
      </c>
      <c r="C521" s="36">
        <f>IF(OR(NOT(ISNUMBER(BA511)),NOT(ISNUMBER(AN511)),NOT(ISNUMBER(AU511))),"SKIP",IF(ABS(BA511*AN511-AU511)&lt;=0.01,"PASS","FAIL"))</f>
        <v/>
      </c>
      <c r="D521" s="34" t="n"/>
      <c r="F521" s="15">
        <f>IF(C521="FAIL","FAIL","PASS")</f>
        <v/>
      </c>
    </row>
    <row r="523" ht="20" customHeight="1">
      <c r="B523" s="2" t="inlineStr">
        <is>
          <t>V38. units_per_order = 0 -&gt; ERROR even without a per_order cost</t>
        </is>
      </c>
      <c r="C523" s="7" t="n"/>
      <c r="D523" s="7" t="n"/>
      <c r="E523" s="7" t="n"/>
      <c r="F523" s="7" t="n"/>
      <c r="G523" s="7" t="n"/>
      <c r="H523" s="7" t="n"/>
      <c r="I523" s="7" t="n"/>
    </row>
    <row r="524">
      <c r="B524" s="4" t="inlineStr">
        <is>
          <t>Metric</t>
        </is>
      </c>
      <c r="C524" s="4" t="inlineStr">
        <is>
          <t>Excel Result</t>
        </is>
      </c>
      <c r="D524" s="4" t="inlineStr">
        <is>
          <t>Python Reference</t>
        </is>
      </c>
      <c r="E524" s="4" t="inlineStr">
        <is>
          <t>Difference</t>
        </is>
      </c>
      <c r="F524" s="4" t="inlineStr">
        <is>
          <t>PASS / FAIL</t>
        </is>
      </c>
      <c r="G524" s="4" t="inlineStr">
        <is>
          <t>Excel Status</t>
        </is>
      </c>
      <c r="H524" s="4" t="inlineStr">
        <is>
          <t>Python Status</t>
        </is>
      </c>
      <c r="I524" s="4" t="inlineStr">
        <is>
          <t>Status PASS</t>
        </is>
      </c>
    </row>
    <row r="525">
      <c r="B525" s="8" t="inlineStr">
        <is>
          <t>Planned Quantity (units)</t>
        </is>
      </c>
      <c r="C525" s="25">
        <f>AO525</f>
        <v/>
      </c>
      <c r="D525" s="21" t="n">
        <v>200</v>
      </c>
      <c r="E525" s="51">
        <f>IF(ISNUMBER(D525),IF(ISNUMBER(AO525),ABS(AO525-D525),"N/A"),"N/A")</f>
        <v/>
      </c>
      <c r="F525" s="15">
        <f>IFERROR(IF(ISNUMBER(D525),IF(ISNUMBER(AO525),IF(ABS(AO525-D525)&lt;=0.01,"PASS","FAIL"),"FAIL"),IF(NOT(ISNUMBER(AO525)),IF(AO525=D525,"PASS","FAIL"),"FAIL")),"FAIL")</f>
        <v/>
      </c>
      <c r="G525" s="16">
        <f>AP525</f>
        <v/>
      </c>
      <c r="H525" s="30" t="inlineStr">
        <is>
          <t>OK</t>
        </is>
      </c>
      <c r="I525" s="15">
        <f>IF(AP525=H525,"PASS","FAIL")</f>
        <v/>
      </c>
      <c r="M525" t="n">
        <v>35000</v>
      </c>
      <c r="N525" t="b">
        <v>1</v>
      </c>
      <c r="O525" t="n">
        <v>0.1</v>
      </c>
      <c r="P525" t="n">
        <v>13500</v>
      </c>
      <c r="Q525" t="n">
        <v>3000</v>
      </c>
      <c r="R525" t="b">
        <v>0</v>
      </c>
      <c r="S525" t="n">
        <v>0</v>
      </c>
      <c r="T525" t="n">
        <v>0.025</v>
      </c>
      <c r="U525" t="n">
        <v>2000000</v>
      </c>
      <c r="V525" t="inlineStr">
        <is>
          <t>per_month</t>
        </is>
      </c>
      <c r="W525" t="inlineStr">
        <is>
          <t>component</t>
        </is>
      </c>
      <c r="X525" t="inlineStr">
        <is>
          <t>consistent</t>
        </is>
      </c>
      <c r="Y525" t="n">
        <v>1</v>
      </c>
      <c r="Z525" t="inlineStr">
        <is>
          <t>present</t>
        </is>
      </c>
      <c r="AA525" t="n">
        <v>200</v>
      </c>
      <c r="AB525" t="inlineStr">
        <is>
          <t>per_month</t>
        </is>
      </c>
      <c r="AC525" t="n">
        <v>0</v>
      </c>
      <c r="AD525">
        <f>IFERROR(IF(ISBLANK($M$525),"UNKNOWN",IF(ISBLANK($N$525),"UNKNOWN",IF($N$525=FALSE,$M$525,IF(ISBLANK($O$525),"UNKNOWN",$M$525/(1+$O$525))))),"ERROR")</f>
        <v/>
      </c>
      <c r="AE525">
        <f>IFERROR(IF(ISBLANK($M$525),"UNKNOWN",IF(ISBLANK($N$525),"UNKNOWN",IF($N$525=TRUE,$M$525,IF(ISBLANK($O$525),"UNKNOWN",$M$525*(1+$O$525))))),"ERROR")</f>
        <v/>
      </c>
      <c r="AF525">
        <f>IF($Y$525&gt;1,"ERROR",IFERROR(IF(AD525="ERROR","ERROR",IF(OR(NOT(ISNUMBER(AD525)),ISBLANK($P$525),ISBLANK($Q$525),ISBLANK($S$525),ISBLANK($T$525)),"UNKNOWN",IF($T$525&gt;0,IF(AE525="ERROR","ERROR",IF(NOT(ISNUMBER(AE525)),"UNKNOWN",AD525-$P$525-$Q$525-$S$525*AD525-$T$525*AE525)),AD525-$P$525-$Q$525-$S$525*AD525))),"ERROR"))</f>
        <v/>
      </c>
      <c r="AG525">
        <f>IF($Y$525&gt;1,"ERROR",IFERROR(IF($W$525="invalid_direct","ERROR",IF($X$525="inconsistent","ERROR",IF($W$525="none",0,IF(OR($W$525="unresolved",$W$525="blended_only"),"UNKNOWN",IF(ISBLANK($U$525),"UNKNOWN",IF($U$525&lt;0,"ERROR",$U$525)))))),"ERROR"))</f>
        <v/>
      </c>
      <c r="AH525">
        <f>IF($Y$525&gt;1,"",IF(OR($W$525="invalid_direct",$X$525="inconsistent"),"",IF($W$525="none","",IF(OR($W$525="unresolved",$W$525="blended_only"),"",IF(ISBLANK($U$525),"",IF($U$525&lt;0,"",$V$525))))))</f>
        <v/>
      </c>
      <c r="AI525">
        <f>IF($Y$525&gt;1,"ERROR",IFERROR(IF(OR(AF525="ERROR",AG525="ERROR"),"ERROR",IF(OR(NOT(ISNUMBER(AF525)),NOT(ISNUMBER(AG525))),"UNKNOWN",IF(AF525&lt;=0,"NOT_APPLICABLE",AG525/AF525))),"ERROR"))</f>
        <v/>
      </c>
      <c r="AJ525">
        <f>IF($Y$525&gt;1,"MULTI_COMPONENT_BEP_NOT_SUPPORTED",IF($W$525="invalid_direct","INVALID_ALLOCATION_CONFIGURATION",IF($X$525="inconsistent","INCONSISTENT_FIXED_COST_BASIS",IF(AND($W$525="component",NOT(ISBLANK($U$525)),$U$525&lt;0),"INVALID_NEGATIVE_COST",IF(AF525="ERROR","CALCULATION_ERROR",IF($W$525="blended_only","FIXED_COST_BLENDED_ONLY_NOT_ALLOCATED",IF($W$525="unresolved","UNSUPPORTED_SHARED_COST_ALLOCATION",IF(NOT(ISNUMBER(AF525)),"MISSING_DEPENDENCY",IF(AND($W$525="component",ISBLANK($U$525)),"MISSING_DEPENDENCY",IF(AND(AF525=0,AG525=0),"BREAK_EVEN_UNDEFINED_ZERO_MARGIN_ZERO_FIXED_COST",IF(AF525=0,"BREAK_EVEN_UNDEFINED_ZERO_MARGIN",IF(AF525&lt;0,"BREAK_EVEN_UNDEFINED_NEGATIVE_MARGIN","NONE"))))))))))))</f>
        <v/>
      </c>
      <c r="AK525">
        <f>IF(AND(NOT(ISBLANK($AA$525)),$AA$525&lt;0),"ERROR",IF(AND($AB$525&lt;&gt;"",$AB$525&lt;&gt;"per_month"),"ERROR",IF(OR(ISBLANK($AA$525),$AB$525=""),"UNKNOWN",$AA$525)))</f>
        <v/>
      </c>
      <c r="AL525">
        <f>IF(AND(ISNUMBER(AG525),AH525&lt;&gt;"",AH525&lt;&gt;"per_month"),"ERROR",AG525)</f>
        <v/>
      </c>
      <c r="AM525">
        <f>IF(ISBLANK($AC$525),"none",IF(AND(ISNUMBER($AC$525),$AC$525&gt;0),"valid","invalid"))</f>
        <v/>
      </c>
      <c r="AN525">
        <f>IF(AM525="invalid","ERROR",IF(AND(AM525="valid",$R$525=TRUE,ISNUMBER(AF525)),AF525+$Q$525*(1-1/$AC$525),AF525))</f>
        <v/>
      </c>
      <c r="AO525">
        <f>IF($Z$525="absent","NOT_RUN",IF($Y$525&gt;1,"ERROR",AK525))</f>
        <v/>
      </c>
      <c r="AP525">
        <f>IF(ISNUMBER(AO525),"OK",AO525)</f>
        <v/>
      </c>
      <c r="AQ525">
        <f>IF($Z$525="absent","NOT_RUN",IF($Y$525&gt;1,"ERROR",IFERROR(IF(OR(AK525="ERROR",AD525="ERROR"),"ERROR",IF(OR(NOT(ISNUMBER(AK525)),NOT(ISNUMBER(AD525))),"UNKNOWN",AD525*AK525)),"ERROR")))</f>
        <v/>
      </c>
      <c r="AR525">
        <f>IF(ISNUMBER(AQ525),"OK",AQ525)</f>
        <v/>
      </c>
      <c r="AS525">
        <f>IF($Z$525="absent","NOT_RUN",IF($Y$525&gt;1,"ERROR",IFERROR(IF(OR(AK525="ERROR",AN525="ERROR"),"ERROR",IF(OR(NOT(ISNUMBER(AK525)),NOT(ISNUMBER(AN525))),"UNKNOWN",AN525*AK525)),"ERROR")))</f>
        <v/>
      </c>
      <c r="AT525">
        <f>IF(ISNUMBER(AS525),IF(AND($R$525=TRUE,AM525="none"),"ESTIMATED","OK"),AS525)</f>
        <v/>
      </c>
      <c r="AU525">
        <f>IF($Z$525="absent","NOT_RUN",IF($Y$525&gt;1,"ERROR",IFERROR(IF(OR(AK525="ERROR",AN525="ERROR",AL525="ERROR"),"ERROR",IF(OR(NOT(ISNUMBER(AK525)),NOT(ISNUMBER(AN525)),NOT(ISNUMBER(AL525))),"UNKNOWN",AN525*AK525-AL525)),"ERROR")))</f>
        <v/>
      </c>
      <c r="AV525">
        <f>IF(ISNUMBER(AU525),IF(AND($R$525=TRUE,AM525="none"),"ESTIMATED","OK"),AU525)</f>
        <v/>
      </c>
      <c r="AW525">
        <f>IF($Z$525="absent","NOT_RUN",IF($Y$525&gt;1,"ERROR",IFERROR(IF(OR(AU525="ERROR",AQ525="ERROR"),"ERROR",IF(OR(NOT(ISNUMBER(AU525)),NOT(ISNUMBER(AQ525))),"UNKNOWN",IF(AQ525=0,"NOT_APPLICABLE",AU525/AQ525))),"ERROR")))</f>
        <v/>
      </c>
      <c r="AX525">
        <f>IF(ISNUMBER(AW525),IF(AND($R$525=TRUE,AM525="none"),"ESTIMATED","OK"),AW525)</f>
        <v/>
      </c>
      <c r="AY525">
        <f>IF($Z$525="absent","NOT_RUN",IF($Y$525&gt;1,"ERROR",IFERROR(IF(OR(AN525="ERROR",AL525="ERROR"),"ERROR",IF(OR(NOT(ISNUMBER(AN525)),NOT(ISNUMBER(AL525))),"UNKNOWN",IF(AN525&lt;=0,"NOT_APPLICABLE",AL525/AN525))),"ERROR")))</f>
        <v/>
      </c>
      <c r="AZ525">
        <f>IF(ISNUMBER(AY525),IF(AND($R$525=TRUE,AM525="none"),"ESTIMATED","OK"),AY525)</f>
        <v/>
      </c>
      <c r="BA525">
        <f>IF($Z$525="absent","NOT_RUN",IF($Y$525&gt;1,"ERROR",IFERROR(IF(OR(AK525="ERROR",AN525="ERROR",AL525="ERROR"),"ERROR",IF(OR(NOT(ISNUMBER(AK525)),NOT(ISNUMBER(AN525)),NOT(ISNUMBER(AL525))),"UNKNOWN",IF(AN525&lt;=0,"NOT_APPLICABLE",AK525-AY525))),"ERROR")))</f>
        <v/>
      </c>
      <c r="BB525">
        <f>IF(ISNUMBER(BA525),IF(AND($R$525=TRUE,AM525="none"),"ESTIMATED","OK"),BA525)</f>
        <v/>
      </c>
      <c r="BC525">
        <f>IF($Z$525="absent","NOT_RUN",IF($Y$525&gt;1,"ERROR",IFERROR(IF(OR(AK525="ERROR",AN525="ERROR",AL525="ERROR"),"ERROR",IF(OR(NOT(ISNUMBER(AK525)),NOT(ISNUMBER(AN525)),NOT(ISNUMBER(AL525))),"UNKNOWN",IF(OR(AN525&lt;=0,AK525=0),"NOT_APPLICABLE",(AK525-AY525)/AK525))),"ERROR")))</f>
        <v/>
      </c>
      <c r="BD525">
        <f>IF(ISNUMBER(BC525),IF(AND($R$525=TRUE,AM525="none"),"ESTIMATED","OK"),BC525)</f>
        <v/>
      </c>
      <c r="BE525">
        <f>IF($Z$525="absent","NOT_RUN",IF(OR(AP525="ERROR",AR525="ERROR",AT525="ERROR",AV525="ERROR",AX525="ERROR",AZ525="ERROR",BB525="ERROR",BD525="ERROR"),"ERROR",IF(OR(AP525="UNKNOWN",AR525="UNKNOWN",AT525="UNKNOWN",AV525="UNKNOWN",AX525="UNKNOWN",AZ525="UNKNOWN",BB525="UNKNOWN",BD525="UNKNOWN"),"INCOMPLETE","OK")))</f>
        <v/>
      </c>
      <c r="BF525">
        <f>IF($Z$525="absent","",AH525)</f>
        <v/>
      </c>
    </row>
    <row r="526">
      <c r="B526" s="8" t="inlineStr">
        <is>
          <t>Total Net Sales ex VAT</t>
        </is>
      </c>
      <c r="C526" s="52">
        <f>AQ525</f>
        <v/>
      </c>
      <c r="D526" s="53" t="n">
        <v>6363636.363636363</v>
      </c>
      <c r="E526" s="51">
        <f>IF(ISNUMBER(D526),IF(ISNUMBER(AQ525),ABS(AQ525-D526),"N/A"),"N/A")</f>
        <v/>
      </c>
      <c r="F526" s="15">
        <f>IFERROR(IF(ISNUMBER(D526),IF(ISNUMBER(AQ525),IF(ABS(AQ525-D526)&lt;=0.01,"PASS","FAIL"),"FAIL"),IF(NOT(ISNUMBER(AQ525)),IF(AQ525=D526,"PASS","FAIL"),"FAIL")),"FAIL")</f>
        <v/>
      </c>
      <c r="G526" s="16">
        <f>AR525</f>
        <v/>
      </c>
      <c r="H526" s="30" t="inlineStr">
        <is>
          <t>OK</t>
        </is>
      </c>
      <c r="I526" s="15">
        <f>IF(AR525=H526,"PASS","FAIL")</f>
        <v/>
      </c>
    </row>
    <row r="527">
      <c r="B527" s="8" t="inlineStr">
        <is>
          <t>Total Contribution Margin</t>
        </is>
      </c>
      <c r="C527" s="52">
        <f>AS525</f>
        <v/>
      </c>
      <c r="D527" s="30" t="inlineStr">
        <is>
          <t>ERROR</t>
        </is>
      </c>
      <c r="E527" s="51">
        <f>IF(ISNUMBER(D527),IF(ISNUMBER(AS525),ABS(AS525-D527),"N/A"),"N/A")</f>
        <v/>
      </c>
      <c r="F527" s="15">
        <f>IFERROR(IF(ISNUMBER(D527),IF(ISNUMBER(AS525),IF(ABS(AS525-D527)&lt;=0.01,"PASS","FAIL"),"FAIL"),IF(NOT(ISNUMBER(AS525)),IF(AS525=D527,"PASS","FAIL"),"FAIL")),"FAIL")</f>
        <v/>
      </c>
      <c r="G527" s="16">
        <f>AT525</f>
        <v/>
      </c>
      <c r="H527" s="30" t="inlineStr">
        <is>
          <t>ERROR</t>
        </is>
      </c>
      <c r="I527" s="15">
        <f>IF(AT525=H527,"PASS","FAIL")</f>
        <v/>
      </c>
    </row>
    <row r="528">
      <c r="B528" s="8" t="inlineStr">
        <is>
          <t>Operating Profit</t>
        </is>
      </c>
      <c r="C528" s="52">
        <f>AU525</f>
        <v/>
      </c>
      <c r="D528" s="30" t="inlineStr">
        <is>
          <t>ERROR</t>
        </is>
      </c>
      <c r="E528" s="51">
        <f>IF(ISNUMBER(D528),IF(ISNUMBER(AU525),ABS(AU525-D528),"N/A"),"N/A")</f>
        <v/>
      </c>
      <c r="F528" s="15">
        <f>IFERROR(IF(ISNUMBER(D528),IF(ISNUMBER(AU525),IF(ABS(AU525-D528)&lt;=0.01,"PASS","FAIL"),"FAIL"),IF(NOT(ISNUMBER(AU525)),IF(AU525=D528,"PASS","FAIL"),"FAIL")),"FAIL")</f>
        <v/>
      </c>
      <c r="G528" s="16">
        <f>AV525</f>
        <v/>
      </c>
      <c r="H528" s="30" t="inlineStr">
        <is>
          <t>ERROR</t>
        </is>
      </c>
      <c r="I528" s="15">
        <f>IF(AV525=H528,"PASS","FAIL")</f>
        <v/>
      </c>
    </row>
    <row r="529">
      <c r="B529" s="8" t="inlineStr">
        <is>
          <t>Operating Profit Rate</t>
        </is>
      </c>
      <c r="C529" s="54">
        <f>AW525</f>
        <v/>
      </c>
      <c r="D529" s="30" t="inlineStr">
        <is>
          <t>ERROR</t>
        </is>
      </c>
      <c r="E529" s="51">
        <f>IF(ISNUMBER(D529),IF(ISNUMBER(AW525),ABS(AW525-D529),"N/A"),"N/A")</f>
        <v/>
      </c>
      <c r="F529" s="15">
        <f>IFERROR(IF(ISNUMBER(D529),IF(ISNUMBER(AW525),IF(ABS(AW525-D529)&lt;=1e-06,"PASS","FAIL"),"FAIL"),IF(NOT(ISNUMBER(AW525)),IF(AW525=D529,"PASS","FAIL"),"FAIL")),"FAIL")</f>
        <v/>
      </c>
      <c r="G529" s="16">
        <f>AX525</f>
        <v/>
      </c>
      <c r="H529" s="30" t="inlineStr">
        <is>
          <t>ERROR</t>
        </is>
      </c>
      <c r="I529" s="15">
        <f>IF(AX525=H529,"PASS","FAIL")</f>
        <v/>
      </c>
    </row>
    <row r="530">
      <c r="B530" s="8" t="inlineStr">
        <is>
          <t>Break-Even Quantity (Q_BEP)</t>
        </is>
      </c>
      <c r="C530" s="25">
        <f>AY525</f>
        <v/>
      </c>
      <c r="D530" s="30" t="inlineStr">
        <is>
          <t>ERROR</t>
        </is>
      </c>
      <c r="E530" s="51">
        <f>IF(ISNUMBER(D530),IF(ISNUMBER(AY525),ABS(AY525-D530),"N/A"),"N/A")</f>
        <v/>
      </c>
      <c r="F530" s="15">
        <f>IFERROR(IF(ISNUMBER(D530),IF(ISNUMBER(AY525),IF(ABS(AY525-D530)&lt;=0.01,"PASS","FAIL"),"FAIL"),IF(NOT(ISNUMBER(AY525)),IF(AY525=D530,"PASS","FAIL"),"FAIL")),"FAIL")</f>
        <v/>
      </c>
      <c r="G530" s="16">
        <f>AZ525</f>
        <v/>
      </c>
      <c r="H530" s="30" t="inlineStr">
        <is>
          <t>ERROR</t>
        </is>
      </c>
      <c r="I530" s="15">
        <f>IF(AZ525=H530,"PASS","FAIL")</f>
        <v/>
      </c>
    </row>
    <row r="531">
      <c r="B531" s="8" t="inlineStr">
        <is>
          <t>Margin of Safety Quantity</t>
        </is>
      </c>
      <c r="C531" s="25">
        <f>BA525</f>
        <v/>
      </c>
      <c r="D531" s="30" t="inlineStr">
        <is>
          <t>ERROR</t>
        </is>
      </c>
      <c r="E531" s="51">
        <f>IF(ISNUMBER(D531),IF(ISNUMBER(BA525),ABS(BA525-D531),"N/A"),"N/A")</f>
        <v/>
      </c>
      <c r="F531" s="15">
        <f>IFERROR(IF(ISNUMBER(D531),IF(ISNUMBER(BA525),IF(ABS(BA525-D531)&lt;=0.01,"PASS","FAIL"),"FAIL"),IF(NOT(ISNUMBER(BA525)),IF(BA525=D531,"PASS","FAIL"),"FAIL")),"FAIL")</f>
        <v/>
      </c>
      <c r="G531" s="16">
        <f>BB525</f>
        <v/>
      </c>
      <c r="H531" s="30" t="inlineStr">
        <is>
          <t>ERROR</t>
        </is>
      </c>
      <c r="I531" s="15">
        <f>IF(BB525=H531,"PASS","FAIL")</f>
        <v/>
      </c>
    </row>
    <row r="532">
      <c r="B532" s="8" t="inlineStr">
        <is>
          <t>Margin of Safety Rate</t>
        </is>
      </c>
      <c r="C532" s="54">
        <f>BC525</f>
        <v/>
      </c>
      <c r="D532" s="30" t="inlineStr">
        <is>
          <t>ERROR</t>
        </is>
      </c>
      <c r="E532" s="51">
        <f>IF(ISNUMBER(D532),IF(ISNUMBER(BC525),ABS(BC525-D532),"N/A"),"N/A")</f>
        <v/>
      </c>
      <c r="F532" s="15">
        <f>IFERROR(IF(ISNUMBER(D532),IF(ISNUMBER(BC525),IF(ABS(BC525-D532)&lt;=1e-06,"PASS","FAIL"),"FAIL"),IF(NOT(ISNUMBER(BC525)),IF(BC525=D532,"PASS","FAIL"),"FAIL")),"FAIL")</f>
        <v/>
      </c>
      <c r="G532" s="16">
        <f>BD525</f>
        <v/>
      </c>
      <c r="H532" s="30" t="inlineStr">
        <is>
          <t>ERROR</t>
        </is>
      </c>
      <c r="I532" s="15">
        <f>IF(BD525=H532,"PASS","FAIL")</f>
        <v/>
      </c>
    </row>
    <row r="533">
      <c r="B533" s="8" t="inlineStr">
        <is>
          <t>Module Status</t>
        </is>
      </c>
      <c r="C533" s="16">
        <f>BE525</f>
        <v/>
      </c>
      <c r="D533" s="30" t="inlineStr">
        <is>
          <t>ERROR</t>
        </is>
      </c>
      <c r="F533" s="15">
        <f>IF(BE525=D533,"PASS","FAIL")</f>
        <v/>
      </c>
    </row>
    <row r="534">
      <c r="B534" s="8" t="inlineStr">
        <is>
          <t>Analysis Period Basis</t>
        </is>
      </c>
      <c r="C534" s="16">
        <f>BF525</f>
        <v/>
      </c>
      <c r="D534" s="30" t="inlineStr">
        <is>
          <t>per_month</t>
        </is>
      </c>
      <c r="F534" s="15">
        <f>IF(BF525=D534,"PASS","FAIL")</f>
        <v/>
      </c>
    </row>
    <row r="535">
      <c r="B535" s="8" t="inlineStr">
        <is>
          <t>Self-Check: |MoS qty × CMu − Operating Profit| ≤ tol</t>
        </is>
      </c>
      <c r="C535" s="36">
        <f>IF(OR(NOT(ISNUMBER(BA525)),NOT(ISNUMBER(AN525)),NOT(ISNUMBER(AU525))),"SKIP",IF(ABS(BA525*AN525-AU525)&lt;=0.01,"PASS","FAIL"))</f>
        <v/>
      </c>
      <c r="D535" s="34" t="n"/>
      <c r="F535" s="15">
        <f>IF(C535="FAIL","FAIL","PASS")</f>
        <v/>
      </c>
    </row>
    <row r="537" ht="20" customHeight="1">
      <c r="B537" s="2" t="inlineStr">
        <is>
          <t>V39. valid units_per_order + price blank (UNKNOWN via net sales)</t>
        </is>
      </c>
      <c r="C537" s="7" t="n"/>
      <c r="D537" s="7" t="n"/>
      <c r="E537" s="7" t="n"/>
      <c r="F537" s="7" t="n"/>
      <c r="G537" s="7" t="n"/>
      <c r="H537" s="7" t="n"/>
      <c r="I537" s="7" t="n"/>
    </row>
    <row r="538">
      <c r="B538" s="4" t="inlineStr">
        <is>
          <t>Metric</t>
        </is>
      </c>
      <c r="C538" s="4" t="inlineStr">
        <is>
          <t>Excel Result</t>
        </is>
      </c>
      <c r="D538" s="4" t="inlineStr">
        <is>
          <t>Python Reference</t>
        </is>
      </c>
      <c r="E538" s="4" t="inlineStr">
        <is>
          <t>Difference</t>
        </is>
      </c>
      <c r="F538" s="4" t="inlineStr">
        <is>
          <t>PASS / FAIL</t>
        </is>
      </c>
      <c r="G538" s="4" t="inlineStr">
        <is>
          <t>Excel Status</t>
        </is>
      </c>
      <c r="H538" s="4" t="inlineStr">
        <is>
          <t>Python Status</t>
        </is>
      </c>
      <c r="I538" s="4" t="inlineStr">
        <is>
          <t>Status PASS</t>
        </is>
      </c>
    </row>
    <row r="539">
      <c r="B539" s="8" t="inlineStr">
        <is>
          <t>Planned Quantity (units)</t>
        </is>
      </c>
      <c r="C539" s="25">
        <f>AO539</f>
        <v/>
      </c>
      <c r="D539" s="21" t="n">
        <v>200</v>
      </c>
      <c r="E539" s="51">
        <f>IF(ISNUMBER(D539),IF(ISNUMBER(AO539),ABS(AO539-D539),"N/A"),"N/A")</f>
        <v/>
      </c>
      <c r="F539" s="15">
        <f>IFERROR(IF(ISNUMBER(D539),IF(ISNUMBER(AO539),IF(ABS(AO539-D539)&lt;=0.01,"PASS","FAIL"),"FAIL"),IF(NOT(ISNUMBER(AO539)),IF(AO539=D539,"PASS","FAIL"),"FAIL")),"FAIL")</f>
        <v/>
      </c>
      <c r="G539" s="16">
        <f>AP539</f>
        <v/>
      </c>
      <c r="H539" s="30" t="inlineStr">
        <is>
          <t>OK</t>
        </is>
      </c>
      <c r="I539" s="15">
        <f>IF(AP539=H539,"PASS","FAIL")</f>
        <v/>
      </c>
      <c r="N539" t="b">
        <v>1</v>
      </c>
      <c r="O539" t="n">
        <v>0.1</v>
      </c>
      <c r="P539" t="n">
        <v>13500</v>
      </c>
      <c r="Q539" t="n">
        <v>3000</v>
      </c>
      <c r="R539" t="b">
        <v>1</v>
      </c>
      <c r="S539" t="n">
        <v>0</v>
      </c>
      <c r="T539" t="n">
        <v>0.025</v>
      </c>
      <c r="U539" t="n">
        <v>2000000</v>
      </c>
      <c r="V539" t="inlineStr">
        <is>
          <t>per_month</t>
        </is>
      </c>
      <c r="W539" t="inlineStr">
        <is>
          <t>component</t>
        </is>
      </c>
      <c r="X539" t="inlineStr">
        <is>
          <t>consistent</t>
        </is>
      </c>
      <c r="Y539" t="n">
        <v>1</v>
      </c>
      <c r="Z539" t="inlineStr">
        <is>
          <t>present</t>
        </is>
      </c>
      <c r="AA539" t="n">
        <v>200</v>
      </c>
      <c r="AB539" t="inlineStr">
        <is>
          <t>per_month</t>
        </is>
      </c>
      <c r="AC539" t="n">
        <v>2</v>
      </c>
      <c r="AD539">
        <f>IFERROR(IF(ISBLANK($M$539),"UNKNOWN",IF(ISBLANK($N$539),"UNKNOWN",IF($N$539=FALSE,$M$539,IF(ISBLANK($O$539),"UNKNOWN",$M$539/(1+$O$539))))),"ERROR")</f>
        <v/>
      </c>
      <c r="AE539">
        <f>IFERROR(IF(ISBLANK($M$539),"UNKNOWN",IF(ISBLANK($N$539),"UNKNOWN",IF($N$539=TRUE,$M$539,IF(ISBLANK($O$539),"UNKNOWN",$M$539*(1+$O$539))))),"ERROR")</f>
        <v/>
      </c>
      <c r="AF539">
        <f>IF($Y$539&gt;1,"ERROR",IFERROR(IF(AD539="ERROR","ERROR",IF(OR(NOT(ISNUMBER(AD539)),ISBLANK($P$539),ISBLANK($Q$539),ISBLANK($S$539),ISBLANK($T$539)),"UNKNOWN",IF($T$539&gt;0,IF(AE539="ERROR","ERROR",IF(NOT(ISNUMBER(AE539)),"UNKNOWN",AD539-$P$539-$Q$539-$S$539*AD539-$T$539*AE539)),AD539-$P$539-$Q$539-$S$539*AD539))),"ERROR"))</f>
        <v/>
      </c>
      <c r="AG539">
        <f>IF($Y$539&gt;1,"ERROR",IFERROR(IF($W$539="invalid_direct","ERROR",IF($X$539="inconsistent","ERROR",IF($W$539="none",0,IF(OR($W$539="unresolved",$W$539="blended_only"),"UNKNOWN",IF(ISBLANK($U$539),"UNKNOWN",IF($U$539&lt;0,"ERROR",$U$539)))))),"ERROR"))</f>
        <v/>
      </c>
      <c r="AH539">
        <f>IF($Y$539&gt;1,"",IF(OR($W$539="invalid_direct",$X$539="inconsistent"),"",IF($W$539="none","",IF(OR($W$539="unresolved",$W$539="blended_only"),"",IF(ISBLANK($U$539),"",IF($U$539&lt;0,"",$V$539))))))</f>
        <v/>
      </c>
      <c r="AI539">
        <f>IF($Y$539&gt;1,"ERROR",IFERROR(IF(OR(AF539="ERROR",AG539="ERROR"),"ERROR",IF(OR(NOT(ISNUMBER(AF539)),NOT(ISNUMBER(AG539))),"UNKNOWN",IF(AF539&lt;=0,"NOT_APPLICABLE",AG539/AF539))),"ERROR"))</f>
        <v/>
      </c>
      <c r="AJ539">
        <f>IF($Y$539&gt;1,"MULTI_COMPONENT_BEP_NOT_SUPPORTED",IF($W$539="invalid_direct","INVALID_ALLOCATION_CONFIGURATION",IF($X$539="inconsistent","INCONSISTENT_FIXED_COST_BASIS",IF(AND($W$539="component",NOT(ISBLANK($U$539)),$U$539&lt;0),"INVALID_NEGATIVE_COST",IF(AF539="ERROR","CALCULATION_ERROR",IF($W$539="blended_only","FIXED_COST_BLENDED_ONLY_NOT_ALLOCATED",IF($W$539="unresolved","UNSUPPORTED_SHARED_COST_ALLOCATION",IF(NOT(ISNUMBER(AF539)),"MISSING_DEPENDENCY",IF(AND($W$539="component",ISBLANK($U$539)),"MISSING_DEPENDENCY",IF(AND(AF539=0,AG539=0),"BREAK_EVEN_UNDEFINED_ZERO_MARGIN_ZERO_FIXED_COST",IF(AF539=0,"BREAK_EVEN_UNDEFINED_ZERO_MARGIN",IF(AF539&lt;0,"BREAK_EVEN_UNDEFINED_NEGATIVE_MARGIN","NONE"))))))))))))</f>
        <v/>
      </c>
      <c r="AK539">
        <f>IF(AND(NOT(ISBLANK($AA$539)),$AA$539&lt;0),"ERROR",IF(AND($AB$539&lt;&gt;"",$AB$539&lt;&gt;"per_month"),"ERROR",IF(OR(ISBLANK($AA$539),$AB$539=""),"UNKNOWN",$AA$539)))</f>
        <v/>
      </c>
      <c r="AL539">
        <f>IF(AND(ISNUMBER(AG539),AH539&lt;&gt;"",AH539&lt;&gt;"per_month"),"ERROR",AG539)</f>
        <v/>
      </c>
      <c r="AM539">
        <f>IF(ISBLANK($AC$539),"none",IF(AND(ISNUMBER($AC$539),$AC$539&gt;0),"valid","invalid"))</f>
        <v/>
      </c>
      <c r="AN539">
        <f>IF(AM539="invalid","ERROR",IF(AND(AM539="valid",$R$539=TRUE,ISNUMBER(AF539)),AF539+$Q$539*(1-1/$AC$539),AF539))</f>
        <v/>
      </c>
      <c r="AO539">
        <f>IF($Z$539="absent","NOT_RUN",IF($Y$539&gt;1,"ERROR",AK539))</f>
        <v/>
      </c>
      <c r="AP539">
        <f>IF(ISNUMBER(AO539),"OK",AO539)</f>
        <v/>
      </c>
      <c r="AQ539">
        <f>IF($Z$539="absent","NOT_RUN",IF($Y$539&gt;1,"ERROR",IFERROR(IF(OR(AK539="ERROR",AD539="ERROR"),"ERROR",IF(OR(NOT(ISNUMBER(AK539)),NOT(ISNUMBER(AD539))),"UNKNOWN",AD539*AK539)),"ERROR")))</f>
        <v/>
      </c>
      <c r="AR539">
        <f>IF(ISNUMBER(AQ539),"OK",AQ539)</f>
        <v/>
      </c>
      <c r="AS539">
        <f>IF($Z$539="absent","NOT_RUN",IF($Y$539&gt;1,"ERROR",IFERROR(IF(OR(AK539="ERROR",AN539="ERROR"),"ERROR",IF(OR(NOT(ISNUMBER(AK539)),NOT(ISNUMBER(AN539))),"UNKNOWN",AN539*AK539)),"ERROR")))</f>
        <v/>
      </c>
      <c r="AT539">
        <f>IF(ISNUMBER(AS539),IF(AND($R$539=TRUE,AM539="none"),"ESTIMATED","OK"),AS539)</f>
        <v/>
      </c>
      <c r="AU539">
        <f>IF($Z$539="absent","NOT_RUN",IF($Y$539&gt;1,"ERROR",IFERROR(IF(OR(AK539="ERROR",AN539="ERROR",AL539="ERROR"),"ERROR",IF(OR(NOT(ISNUMBER(AK539)),NOT(ISNUMBER(AN539)),NOT(ISNUMBER(AL539))),"UNKNOWN",AN539*AK539-AL539)),"ERROR")))</f>
        <v/>
      </c>
      <c r="AV539">
        <f>IF(ISNUMBER(AU539),IF(AND($R$539=TRUE,AM539="none"),"ESTIMATED","OK"),AU539)</f>
        <v/>
      </c>
      <c r="AW539">
        <f>IF($Z$539="absent","NOT_RUN",IF($Y$539&gt;1,"ERROR",IFERROR(IF(OR(AU539="ERROR",AQ539="ERROR"),"ERROR",IF(OR(NOT(ISNUMBER(AU539)),NOT(ISNUMBER(AQ539))),"UNKNOWN",IF(AQ539=0,"NOT_APPLICABLE",AU539/AQ539))),"ERROR")))</f>
        <v/>
      </c>
      <c r="AX539">
        <f>IF(ISNUMBER(AW539),IF(AND($R$539=TRUE,AM539="none"),"ESTIMATED","OK"),AW539)</f>
        <v/>
      </c>
      <c r="AY539">
        <f>IF($Z$539="absent","NOT_RUN",IF($Y$539&gt;1,"ERROR",IFERROR(IF(OR(AN539="ERROR",AL539="ERROR"),"ERROR",IF(OR(NOT(ISNUMBER(AN539)),NOT(ISNUMBER(AL539))),"UNKNOWN",IF(AN539&lt;=0,"NOT_APPLICABLE",AL539/AN539))),"ERROR")))</f>
        <v/>
      </c>
      <c r="AZ539">
        <f>IF(ISNUMBER(AY539),IF(AND($R$539=TRUE,AM539="none"),"ESTIMATED","OK"),AY539)</f>
        <v/>
      </c>
      <c r="BA539">
        <f>IF($Z$539="absent","NOT_RUN",IF($Y$539&gt;1,"ERROR",IFERROR(IF(OR(AK539="ERROR",AN539="ERROR",AL539="ERROR"),"ERROR",IF(OR(NOT(ISNUMBER(AK539)),NOT(ISNUMBER(AN539)),NOT(ISNUMBER(AL539))),"UNKNOWN",IF(AN539&lt;=0,"NOT_APPLICABLE",AK539-AY539))),"ERROR")))</f>
        <v/>
      </c>
      <c r="BB539">
        <f>IF(ISNUMBER(BA539),IF(AND($R$539=TRUE,AM539="none"),"ESTIMATED","OK"),BA539)</f>
        <v/>
      </c>
      <c r="BC539">
        <f>IF($Z$539="absent","NOT_RUN",IF($Y$539&gt;1,"ERROR",IFERROR(IF(OR(AK539="ERROR",AN539="ERROR",AL539="ERROR"),"ERROR",IF(OR(NOT(ISNUMBER(AK539)),NOT(ISNUMBER(AN539)),NOT(ISNUMBER(AL539))),"UNKNOWN",IF(OR(AN539&lt;=0,AK539=0),"NOT_APPLICABLE",(AK539-AY539)/AK539))),"ERROR")))</f>
        <v/>
      </c>
      <c r="BD539">
        <f>IF(ISNUMBER(BC539),IF(AND($R$539=TRUE,AM539="none"),"ESTIMATED","OK"),BC539)</f>
        <v/>
      </c>
      <c r="BE539">
        <f>IF($Z$539="absent","NOT_RUN",IF(OR(AP539="ERROR",AR539="ERROR",AT539="ERROR",AV539="ERROR",AX539="ERROR",AZ539="ERROR",BB539="ERROR",BD539="ERROR"),"ERROR",IF(OR(AP539="UNKNOWN",AR539="UNKNOWN",AT539="UNKNOWN",AV539="UNKNOWN",AX539="UNKNOWN",AZ539="UNKNOWN",BB539="UNKNOWN",BD539="UNKNOWN"),"INCOMPLETE","OK")))</f>
        <v/>
      </c>
      <c r="BF539">
        <f>IF($Z$539="absent","",AH539)</f>
        <v/>
      </c>
    </row>
    <row r="540">
      <c r="B540" s="8" t="inlineStr">
        <is>
          <t>Total Net Sales ex VAT</t>
        </is>
      </c>
      <c r="C540" s="52">
        <f>AQ539</f>
        <v/>
      </c>
      <c r="D540" s="30" t="inlineStr">
        <is>
          <t>UNKNOWN</t>
        </is>
      </c>
      <c r="E540" s="51">
        <f>IF(ISNUMBER(D540),IF(ISNUMBER(AQ539),ABS(AQ539-D540),"N/A"),"N/A")</f>
        <v/>
      </c>
      <c r="F540" s="15">
        <f>IFERROR(IF(ISNUMBER(D540),IF(ISNUMBER(AQ539),IF(ABS(AQ539-D540)&lt;=0.01,"PASS","FAIL"),"FAIL"),IF(NOT(ISNUMBER(AQ539)),IF(AQ539=D540,"PASS","FAIL"),"FAIL")),"FAIL")</f>
        <v/>
      </c>
      <c r="G540" s="16">
        <f>AR539</f>
        <v/>
      </c>
      <c r="H540" s="30" t="inlineStr">
        <is>
          <t>UNKNOWN</t>
        </is>
      </c>
      <c r="I540" s="15">
        <f>IF(AR539=H540,"PASS","FAIL")</f>
        <v/>
      </c>
    </row>
    <row r="541">
      <c r="B541" s="8" t="inlineStr">
        <is>
          <t>Total Contribution Margin</t>
        </is>
      </c>
      <c r="C541" s="52">
        <f>AS539</f>
        <v/>
      </c>
      <c r="D541" s="30" t="inlineStr">
        <is>
          <t>UNKNOWN</t>
        </is>
      </c>
      <c r="E541" s="51">
        <f>IF(ISNUMBER(D541),IF(ISNUMBER(AS539),ABS(AS539-D541),"N/A"),"N/A")</f>
        <v/>
      </c>
      <c r="F541" s="15">
        <f>IFERROR(IF(ISNUMBER(D541),IF(ISNUMBER(AS539),IF(ABS(AS539-D541)&lt;=0.01,"PASS","FAIL"),"FAIL"),IF(NOT(ISNUMBER(AS539)),IF(AS539=D541,"PASS","FAIL"),"FAIL")),"FAIL")</f>
        <v/>
      </c>
      <c r="G541" s="16">
        <f>AT539</f>
        <v/>
      </c>
      <c r="H541" s="30" t="inlineStr">
        <is>
          <t>UNKNOWN</t>
        </is>
      </c>
      <c r="I541" s="15">
        <f>IF(AT539=H541,"PASS","FAIL")</f>
        <v/>
      </c>
    </row>
    <row r="542">
      <c r="B542" s="8" t="inlineStr">
        <is>
          <t>Operating Profit</t>
        </is>
      </c>
      <c r="C542" s="52">
        <f>AU539</f>
        <v/>
      </c>
      <c r="D542" s="30" t="inlineStr">
        <is>
          <t>UNKNOWN</t>
        </is>
      </c>
      <c r="E542" s="51">
        <f>IF(ISNUMBER(D542),IF(ISNUMBER(AU539),ABS(AU539-D542),"N/A"),"N/A")</f>
        <v/>
      </c>
      <c r="F542" s="15">
        <f>IFERROR(IF(ISNUMBER(D542),IF(ISNUMBER(AU539),IF(ABS(AU539-D542)&lt;=0.01,"PASS","FAIL"),"FAIL"),IF(NOT(ISNUMBER(AU539)),IF(AU539=D542,"PASS","FAIL"),"FAIL")),"FAIL")</f>
        <v/>
      </c>
      <c r="G542" s="16">
        <f>AV539</f>
        <v/>
      </c>
      <c r="H542" s="30" t="inlineStr">
        <is>
          <t>UNKNOWN</t>
        </is>
      </c>
      <c r="I542" s="15">
        <f>IF(AV539=H542,"PASS","FAIL")</f>
        <v/>
      </c>
    </row>
    <row r="543">
      <c r="B543" s="8" t="inlineStr">
        <is>
          <t>Operating Profit Rate</t>
        </is>
      </c>
      <c r="C543" s="54">
        <f>AW539</f>
        <v/>
      </c>
      <c r="D543" s="30" t="inlineStr">
        <is>
          <t>UNKNOWN</t>
        </is>
      </c>
      <c r="E543" s="51">
        <f>IF(ISNUMBER(D543),IF(ISNUMBER(AW539),ABS(AW539-D543),"N/A"),"N/A")</f>
        <v/>
      </c>
      <c r="F543" s="15">
        <f>IFERROR(IF(ISNUMBER(D543),IF(ISNUMBER(AW539),IF(ABS(AW539-D543)&lt;=1e-06,"PASS","FAIL"),"FAIL"),IF(NOT(ISNUMBER(AW539)),IF(AW539=D543,"PASS","FAIL"),"FAIL")),"FAIL")</f>
        <v/>
      </c>
      <c r="G543" s="16">
        <f>AX539</f>
        <v/>
      </c>
      <c r="H543" s="30" t="inlineStr">
        <is>
          <t>UNKNOWN</t>
        </is>
      </c>
      <c r="I543" s="15">
        <f>IF(AX539=H543,"PASS","FAIL")</f>
        <v/>
      </c>
    </row>
    <row r="544">
      <c r="B544" s="8" t="inlineStr">
        <is>
          <t>Break-Even Quantity (Q_BEP)</t>
        </is>
      </c>
      <c r="C544" s="25">
        <f>AY539</f>
        <v/>
      </c>
      <c r="D544" s="30" t="inlineStr">
        <is>
          <t>UNKNOWN</t>
        </is>
      </c>
      <c r="E544" s="51">
        <f>IF(ISNUMBER(D544),IF(ISNUMBER(AY539),ABS(AY539-D544),"N/A"),"N/A")</f>
        <v/>
      </c>
      <c r="F544" s="15">
        <f>IFERROR(IF(ISNUMBER(D544),IF(ISNUMBER(AY539),IF(ABS(AY539-D544)&lt;=0.01,"PASS","FAIL"),"FAIL"),IF(NOT(ISNUMBER(AY539)),IF(AY539=D544,"PASS","FAIL"),"FAIL")),"FAIL")</f>
        <v/>
      </c>
      <c r="G544" s="16">
        <f>AZ539</f>
        <v/>
      </c>
      <c r="H544" s="30" t="inlineStr">
        <is>
          <t>UNKNOWN</t>
        </is>
      </c>
      <c r="I544" s="15">
        <f>IF(AZ539=H544,"PASS","FAIL")</f>
        <v/>
      </c>
    </row>
    <row r="545">
      <c r="B545" s="8" t="inlineStr">
        <is>
          <t>Margin of Safety Quantity</t>
        </is>
      </c>
      <c r="C545" s="25">
        <f>BA539</f>
        <v/>
      </c>
      <c r="D545" s="30" t="inlineStr">
        <is>
          <t>UNKNOWN</t>
        </is>
      </c>
      <c r="E545" s="51">
        <f>IF(ISNUMBER(D545),IF(ISNUMBER(BA539),ABS(BA539-D545),"N/A"),"N/A")</f>
        <v/>
      </c>
      <c r="F545" s="15">
        <f>IFERROR(IF(ISNUMBER(D545),IF(ISNUMBER(BA539),IF(ABS(BA539-D545)&lt;=0.01,"PASS","FAIL"),"FAIL"),IF(NOT(ISNUMBER(BA539)),IF(BA539=D545,"PASS","FAIL"),"FAIL")),"FAIL")</f>
        <v/>
      </c>
      <c r="G545" s="16">
        <f>BB539</f>
        <v/>
      </c>
      <c r="H545" s="30" t="inlineStr">
        <is>
          <t>UNKNOWN</t>
        </is>
      </c>
      <c r="I545" s="15">
        <f>IF(BB539=H545,"PASS","FAIL")</f>
        <v/>
      </c>
    </row>
    <row r="546">
      <c r="B546" s="8" t="inlineStr">
        <is>
          <t>Margin of Safety Rate</t>
        </is>
      </c>
      <c r="C546" s="54">
        <f>BC539</f>
        <v/>
      </c>
      <c r="D546" s="30" t="inlineStr">
        <is>
          <t>UNKNOWN</t>
        </is>
      </c>
      <c r="E546" s="51">
        <f>IF(ISNUMBER(D546),IF(ISNUMBER(BC539),ABS(BC539-D546),"N/A"),"N/A")</f>
        <v/>
      </c>
      <c r="F546" s="15">
        <f>IFERROR(IF(ISNUMBER(D546),IF(ISNUMBER(BC539),IF(ABS(BC539-D546)&lt;=1e-06,"PASS","FAIL"),"FAIL"),IF(NOT(ISNUMBER(BC539)),IF(BC539=D546,"PASS","FAIL"),"FAIL")),"FAIL")</f>
        <v/>
      </c>
      <c r="G546" s="16">
        <f>BD539</f>
        <v/>
      </c>
      <c r="H546" s="30" t="inlineStr">
        <is>
          <t>UNKNOWN</t>
        </is>
      </c>
      <c r="I546" s="15">
        <f>IF(BD539=H546,"PASS","FAIL")</f>
        <v/>
      </c>
    </row>
    <row r="547">
      <c r="B547" s="8" t="inlineStr">
        <is>
          <t>Module Status</t>
        </is>
      </c>
      <c r="C547" s="16">
        <f>BE539</f>
        <v/>
      </c>
      <c r="D547" s="30" t="inlineStr">
        <is>
          <t>INCOMPLETE</t>
        </is>
      </c>
      <c r="F547" s="15">
        <f>IF(BE539=D547,"PASS","FAIL")</f>
        <v/>
      </c>
    </row>
    <row r="548">
      <c r="B548" s="8" t="inlineStr">
        <is>
          <t>Analysis Period Basis</t>
        </is>
      </c>
      <c r="C548" s="16">
        <f>BF539</f>
        <v/>
      </c>
      <c r="D548" s="30" t="inlineStr">
        <is>
          <t>per_month</t>
        </is>
      </c>
      <c r="F548" s="15">
        <f>IF(BF539=D548,"PASS","FAIL")</f>
        <v/>
      </c>
    </row>
    <row r="549">
      <c r="B549" s="8" t="inlineStr">
        <is>
          <t>Self-Check: |MoS qty × CMu − Operating Profit| ≤ tol</t>
        </is>
      </c>
      <c r="C549" s="36">
        <f>IF(OR(NOT(ISNUMBER(BA539)),NOT(ISNUMBER(AN539)),NOT(ISNUMBER(AU539))),"SKIP",IF(ABS(BA539*AN539-AU539)&lt;=0.01,"PASS","FAIL"))</f>
        <v/>
      </c>
      <c r="D549" s="34" t="n"/>
      <c r="F549" s="15">
        <f>IF(C549="FAIL","FAIL","PASS")</f>
        <v/>
      </c>
    </row>
    <row r="551" ht="20" customHeight="1">
      <c r="B551" s="2" t="inlineStr">
        <is>
          <t>V40. invalid units_per_order + price blank (ERROR beats UNKNOWN)</t>
        </is>
      </c>
      <c r="C551" s="7" t="n"/>
      <c r="D551" s="7" t="n"/>
      <c r="E551" s="7" t="n"/>
      <c r="F551" s="7" t="n"/>
      <c r="G551" s="7" t="n"/>
      <c r="H551" s="7" t="n"/>
      <c r="I551" s="7" t="n"/>
    </row>
    <row r="552">
      <c r="B552" s="4" t="inlineStr">
        <is>
          <t>Metric</t>
        </is>
      </c>
      <c r="C552" s="4" t="inlineStr">
        <is>
          <t>Excel Result</t>
        </is>
      </c>
      <c r="D552" s="4" t="inlineStr">
        <is>
          <t>Python Reference</t>
        </is>
      </c>
      <c r="E552" s="4" t="inlineStr">
        <is>
          <t>Difference</t>
        </is>
      </c>
      <c r="F552" s="4" t="inlineStr">
        <is>
          <t>PASS / FAIL</t>
        </is>
      </c>
      <c r="G552" s="4" t="inlineStr">
        <is>
          <t>Excel Status</t>
        </is>
      </c>
      <c r="H552" s="4" t="inlineStr">
        <is>
          <t>Python Status</t>
        </is>
      </c>
      <c r="I552" s="4" t="inlineStr">
        <is>
          <t>Status PASS</t>
        </is>
      </c>
    </row>
    <row r="553">
      <c r="B553" s="8" t="inlineStr">
        <is>
          <t>Planned Quantity (units)</t>
        </is>
      </c>
      <c r="C553" s="25">
        <f>AO553</f>
        <v/>
      </c>
      <c r="D553" s="21" t="n">
        <v>200</v>
      </c>
      <c r="E553" s="51">
        <f>IF(ISNUMBER(D553),IF(ISNUMBER(AO553),ABS(AO553-D553),"N/A"),"N/A")</f>
        <v/>
      </c>
      <c r="F553" s="15">
        <f>IFERROR(IF(ISNUMBER(D553),IF(ISNUMBER(AO553),IF(ABS(AO553-D553)&lt;=0.01,"PASS","FAIL"),"FAIL"),IF(NOT(ISNUMBER(AO553)),IF(AO553=D553,"PASS","FAIL"),"FAIL")),"FAIL")</f>
        <v/>
      </c>
      <c r="G553" s="16">
        <f>AP553</f>
        <v/>
      </c>
      <c r="H553" s="30" t="inlineStr">
        <is>
          <t>OK</t>
        </is>
      </c>
      <c r="I553" s="15">
        <f>IF(AP553=H553,"PASS","FAIL")</f>
        <v/>
      </c>
      <c r="N553" t="b">
        <v>1</v>
      </c>
      <c r="O553" t="n">
        <v>0.1</v>
      </c>
      <c r="P553" t="n">
        <v>13500</v>
      </c>
      <c r="Q553" t="n">
        <v>3000</v>
      </c>
      <c r="R553" t="b">
        <v>1</v>
      </c>
      <c r="S553" t="n">
        <v>0</v>
      </c>
      <c r="T553" t="n">
        <v>0.025</v>
      </c>
      <c r="U553" t="n">
        <v>2000000</v>
      </c>
      <c r="V553" t="inlineStr">
        <is>
          <t>per_month</t>
        </is>
      </c>
      <c r="W553" t="inlineStr">
        <is>
          <t>component</t>
        </is>
      </c>
      <c r="X553" t="inlineStr">
        <is>
          <t>consistent</t>
        </is>
      </c>
      <c r="Y553" t="n">
        <v>1</v>
      </c>
      <c r="Z553" t="inlineStr">
        <is>
          <t>present</t>
        </is>
      </c>
      <c r="AA553" t="n">
        <v>200</v>
      </c>
      <c r="AB553" t="inlineStr">
        <is>
          <t>per_month</t>
        </is>
      </c>
      <c r="AC553" t="n">
        <v>0</v>
      </c>
      <c r="AD553">
        <f>IFERROR(IF(ISBLANK($M$553),"UNKNOWN",IF(ISBLANK($N$553),"UNKNOWN",IF($N$553=FALSE,$M$553,IF(ISBLANK($O$553),"UNKNOWN",$M$553/(1+$O$553))))),"ERROR")</f>
        <v/>
      </c>
      <c r="AE553">
        <f>IFERROR(IF(ISBLANK($M$553),"UNKNOWN",IF(ISBLANK($N$553),"UNKNOWN",IF($N$553=TRUE,$M$553,IF(ISBLANK($O$553),"UNKNOWN",$M$553*(1+$O$553))))),"ERROR")</f>
        <v/>
      </c>
      <c r="AF553">
        <f>IF($Y$553&gt;1,"ERROR",IFERROR(IF(AD553="ERROR","ERROR",IF(OR(NOT(ISNUMBER(AD553)),ISBLANK($P$553),ISBLANK($Q$553),ISBLANK($S$553),ISBLANK($T$553)),"UNKNOWN",IF($T$553&gt;0,IF(AE553="ERROR","ERROR",IF(NOT(ISNUMBER(AE553)),"UNKNOWN",AD553-$P$553-$Q$553-$S$553*AD553-$T$553*AE553)),AD553-$P$553-$Q$553-$S$553*AD553))),"ERROR"))</f>
        <v/>
      </c>
      <c r="AG553">
        <f>IF($Y$553&gt;1,"ERROR",IFERROR(IF($W$553="invalid_direct","ERROR",IF($X$553="inconsistent","ERROR",IF($W$553="none",0,IF(OR($W$553="unresolved",$W$553="blended_only"),"UNKNOWN",IF(ISBLANK($U$553),"UNKNOWN",IF($U$553&lt;0,"ERROR",$U$553)))))),"ERROR"))</f>
        <v/>
      </c>
      <c r="AH553">
        <f>IF($Y$553&gt;1,"",IF(OR($W$553="invalid_direct",$X$553="inconsistent"),"",IF($W$553="none","",IF(OR($W$553="unresolved",$W$553="blended_only"),"",IF(ISBLANK($U$553),"",IF($U$553&lt;0,"",$V$553))))))</f>
        <v/>
      </c>
      <c r="AI553">
        <f>IF($Y$553&gt;1,"ERROR",IFERROR(IF(OR(AF553="ERROR",AG553="ERROR"),"ERROR",IF(OR(NOT(ISNUMBER(AF553)),NOT(ISNUMBER(AG553))),"UNKNOWN",IF(AF553&lt;=0,"NOT_APPLICABLE",AG553/AF553))),"ERROR"))</f>
        <v/>
      </c>
      <c r="AJ553">
        <f>IF($Y$553&gt;1,"MULTI_COMPONENT_BEP_NOT_SUPPORTED",IF($W$553="invalid_direct","INVALID_ALLOCATION_CONFIGURATION",IF($X$553="inconsistent","INCONSISTENT_FIXED_COST_BASIS",IF(AND($W$553="component",NOT(ISBLANK($U$553)),$U$553&lt;0),"INVALID_NEGATIVE_COST",IF(AF553="ERROR","CALCULATION_ERROR",IF($W$553="blended_only","FIXED_COST_BLENDED_ONLY_NOT_ALLOCATED",IF($W$553="unresolved","UNSUPPORTED_SHARED_COST_ALLOCATION",IF(NOT(ISNUMBER(AF553)),"MISSING_DEPENDENCY",IF(AND($W$553="component",ISBLANK($U$553)),"MISSING_DEPENDENCY",IF(AND(AF553=0,AG553=0),"BREAK_EVEN_UNDEFINED_ZERO_MARGIN_ZERO_FIXED_COST",IF(AF553=0,"BREAK_EVEN_UNDEFINED_ZERO_MARGIN",IF(AF553&lt;0,"BREAK_EVEN_UNDEFINED_NEGATIVE_MARGIN","NONE"))))))))))))</f>
        <v/>
      </c>
      <c r="AK553">
        <f>IF(AND(NOT(ISBLANK($AA$553)),$AA$553&lt;0),"ERROR",IF(AND($AB$553&lt;&gt;"",$AB$553&lt;&gt;"per_month"),"ERROR",IF(OR(ISBLANK($AA$553),$AB$553=""),"UNKNOWN",$AA$553)))</f>
        <v/>
      </c>
      <c r="AL553">
        <f>IF(AND(ISNUMBER(AG553),AH553&lt;&gt;"",AH553&lt;&gt;"per_month"),"ERROR",AG553)</f>
        <v/>
      </c>
      <c r="AM553">
        <f>IF(ISBLANK($AC$553),"none",IF(AND(ISNUMBER($AC$553),$AC$553&gt;0),"valid","invalid"))</f>
        <v/>
      </c>
      <c r="AN553">
        <f>IF(AM553="invalid","ERROR",IF(AND(AM553="valid",$R$553=TRUE,ISNUMBER(AF553)),AF553+$Q$553*(1-1/$AC$553),AF553))</f>
        <v/>
      </c>
      <c r="AO553">
        <f>IF($Z$553="absent","NOT_RUN",IF($Y$553&gt;1,"ERROR",AK553))</f>
        <v/>
      </c>
      <c r="AP553">
        <f>IF(ISNUMBER(AO553),"OK",AO553)</f>
        <v/>
      </c>
      <c r="AQ553">
        <f>IF($Z$553="absent","NOT_RUN",IF($Y$553&gt;1,"ERROR",IFERROR(IF(OR(AK553="ERROR",AD553="ERROR"),"ERROR",IF(OR(NOT(ISNUMBER(AK553)),NOT(ISNUMBER(AD553))),"UNKNOWN",AD553*AK553)),"ERROR")))</f>
        <v/>
      </c>
      <c r="AR553">
        <f>IF(ISNUMBER(AQ553),"OK",AQ553)</f>
        <v/>
      </c>
      <c r="AS553">
        <f>IF($Z$553="absent","NOT_RUN",IF($Y$553&gt;1,"ERROR",IFERROR(IF(OR(AK553="ERROR",AN553="ERROR"),"ERROR",IF(OR(NOT(ISNUMBER(AK553)),NOT(ISNUMBER(AN553))),"UNKNOWN",AN553*AK553)),"ERROR")))</f>
        <v/>
      </c>
      <c r="AT553">
        <f>IF(ISNUMBER(AS553),IF(AND($R$553=TRUE,AM553="none"),"ESTIMATED","OK"),AS553)</f>
        <v/>
      </c>
      <c r="AU553">
        <f>IF($Z$553="absent","NOT_RUN",IF($Y$553&gt;1,"ERROR",IFERROR(IF(OR(AK553="ERROR",AN553="ERROR",AL553="ERROR"),"ERROR",IF(OR(NOT(ISNUMBER(AK553)),NOT(ISNUMBER(AN553)),NOT(ISNUMBER(AL553))),"UNKNOWN",AN553*AK553-AL553)),"ERROR")))</f>
        <v/>
      </c>
      <c r="AV553">
        <f>IF(ISNUMBER(AU553),IF(AND($R$553=TRUE,AM553="none"),"ESTIMATED","OK"),AU553)</f>
        <v/>
      </c>
      <c r="AW553">
        <f>IF($Z$553="absent","NOT_RUN",IF($Y$553&gt;1,"ERROR",IFERROR(IF(OR(AU553="ERROR",AQ553="ERROR"),"ERROR",IF(OR(NOT(ISNUMBER(AU553)),NOT(ISNUMBER(AQ553))),"UNKNOWN",IF(AQ553=0,"NOT_APPLICABLE",AU553/AQ553))),"ERROR")))</f>
        <v/>
      </c>
      <c r="AX553">
        <f>IF(ISNUMBER(AW553),IF(AND($R$553=TRUE,AM553="none"),"ESTIMATED","OK"),AW553)</f>
        <v/>
      </c>
      <c r="AY553">
        <f>IF($Z$553="absent","NOT_RUN",IF($Y$553&gt;1,"ERROR",IFERROR(IF(OR(AN553="ERROR",AL553="ERROR"),"ERROR",IF(OR(NOT(ISNUMBER(AN553)),NOT(ISNUMBER(AL553))),"UNKNOWN",IF(AN553&lt;=0,"NOT_APPLICABLE",AL553/AN553))),"ERROR")))</f>
        <v/>
      </c>
      <c r="AZ553">
        <f>IF(ISNUMBER(AY553),IF(AND($R$553=TRUE,AM553="none"),"ESTIMATED","OK"),AY553)</f>
        <v/>
      </c>
      <c r="BA553">
        <f>IF($Z$553="absent","NOT_RUN",IF($Y$553&gt;1,"ERROR",IFERROR(IF(OR(AK553="ERROR",AN553="ERROR",AL553="ERROR"),"ERROR",IF(OR(NOT(ISNUMBER(AK553)),NOT(ISNUMBER(AN553)),NOT(ISNUMBER(AL553))),"UNKNOWN",IF(AN553&lt;=0,"NOT_APPLICABLE",AK553-AY553))),"ERROR")))</f>
        <v/>
      </c>
      <c r="BB553">
        <f>IF(ISNUMBER(BA553),IF(AND($R$553=TRUE,AM553="none"),"ESTIMATED","OK"),BA553)</f>
        <v/>
      </c>
      <c r="BC553">
        <f>IF($Z$553="absent","NOT_RUN",IF($Y$553&gt;1,"ERROR",IFERROR(IF(OR(AK553="ERROR",AN553="ERROR",AL553="ERROR"),"ERROR",IF(OR(NOT(ISNUMBER(AK553)),NOT(ISNUMBER(AN553)),NOT(ISNUMBER(AL553))),"UNKNOWN",IF(OR(AN553&lt;=0,AK553=0),"NOT_APPLICABLE",(AK553-AY553)/AK553))),"ERROR")))</f>
        <v/>
      </c>
      <c r="BD553">
        <f>IF(ISNUMBER(BC553),IF(AND($R$553=TRUE,AM553="none"),"ESTIMATED","OK"),BC553)</f>
        <v/>
      </c>
      <c r="BE553">
        <f>IF($Z$553="absent","NOT_RUN",IF(OR(AP553="ERROR",AR553="ERROR",AT553="ERROR",AV553="ERROR",AX553="ERROR",AZ553="ERROR",BB553="ERROR",BD553="ERROR"),"ERROR",IF(OR(AP553="UNKNOWN",AR553="UNKNOWN",AT553="UNKNOWN",AV553="UNKNOWN",AX553="UNKNOWN",AZ553="UNKNOWN",BB553="UNKNOWN",BD553="UNKNOWN"),"INCOMPLETE","OK")))</f>
        <v/>
      </c>
      <c r="BF553">
        <f>IF($Z$553="absent","",AH553)</f>
        <v/>
      </c>
    </row>
    <row r="554">
      <c r="B554" s="8" t="inlineStr">
        <is>
          <t>Total Net Sales ex VAT</t>
        </is>
      </c>
      <c r="C554" s="52">
        <f>AQ553</f>
        <v/>
      </c>
      <c r="D554" s="30" t="inlineStr">
        <is>
          <t>UNKNOWN</t>
        </is>
      </c>
      <c r="E554" s="51">
        <f>IF(ISNUMBER(D554),IF(ISNUMBER(AQ553),ABS(AQ553-D554),"N/A"),"N/A")</f>
        <v/>
      </c>
      <c r="F554" s="15">
        <f>IFERROR(IF(ISNUMBER(D554),IF(ISNUMBER(AQ553),IF(ABS(AQ553-D554)&lt;=0.01,"PASS","FAIL"),"FAIL"),IF(NOT(ISNUMBER(AQ553)),IF(AQ553=D554,"PASS","FAIL"),"FAIL")),"FAIL")</f>
        <v/>
      </c>
      <c r="G554" s="16">
        <f>AR553</f>
        <v/>
      </c>
      <c r="H554" s="30" t="inlineStr">
        <is>
          <t>UNKNOWN</t>
        </is>
      </c>
      <c r="I554" s="15">
        <f>IF(AR553=H554,"PASS","FAIL")</f>
        <v/>
      </c>
    </row>
    <row r="555">
      <c r="B555" s="8" t="inlineStr">
        <is>
          <t>Total Contribution Margin</t>
        </is>
      </c>
      <c r="C555" s="52">
        <f>AS553</f>
        <v/>
      </c>
      <c r="D555" s="30" t="inlineStr">
        <is>
          <t>ERROR</t>
        </is>
      </c>
      <c r="E555" s="51">
        <f>IF(ISNUMBER(D555),IF(ISNUMBER(AS553),ABS(AS553-D555),"N/A"),"N/A")</f>
        <v/>
      </c>
      <c r="F555" s="15">
        <f>IFERROR(IF(ISNUMBER(D555),IF(ISNUMBER(AS553),IF(ABS(AS553-D555)&lt;=0.01,"PASS","FAIL"),"FAIL"),IF(NOT(ISNUMBER(AS553)),IF(AS553=D555,"PASS","FAIL"),"FAIL")),"FAIL")</f>
        <v/>
      </c>
      <c r="G555" s="16">
        <f>AT553</f>
        <v/>
      </c>
      <c r="H555" s="30" t="inlineStr">
        <is>
          <t>ERROR</t>
        </is>
      </c>
      <c r="I555" s="15">
        <f>IF(AT553=H555,"PASS","FAIL")</f>
        <v/>
      </c>
    </row>
    <row r="556">
      <c r="B556" s="8" t="inlineStr">
        <is>
          <t>Operating Profit</t>
        </is>
      </c>
      <c r="C556" s="52">
        <f>AU553</f>
        <v/>
      </c>
      <c r="D556" s="30" t="inlineStr">
        <is>
          <t>ERROR</t>
        </is>
      </c>
      <c r="E556" s="51">
        <f>IF(ISNUMBER(D556),IF(ISNUMBER(AU553),ABS(AU553-D556),"N/A"),"N/A")</f>
        <v/>
      </c>
      <c r="F556" s="15">
        <f>IFERROR(IF(ISNUMBER(D556),IF(ISNUMBER(AU553),IF(ABS(AU553-D556)&lt;=0.01,"PASS","FAIL"),"FAIL"),IF(NOT(ISNUMBER(AU553)),IF(AU553=D556,"PASS","FAIL"),"FAIL")),"FAIL")</f>
        <v/>
      </c>
      <c r="G556" s="16">
        <f>AV553</f>
        <v/>
      </c>
      <c r="H556" s="30" t="inlineStr">
        <is>
          <t>ERROR</t>
        </is>
      </c>
      <c r="I556" s="15">
        <f>IF(AV553=H556,"PASS","FAIL")</f>
        <v/>
      </c>
    </row>
    <row r="557">
      <c r="B557" s="8" t="inlineStr">
        <is>
          <t>Operating Profit Rate</t>
        </is>
      </c>
      <c r="C557" s="54">
        <f>AW553</f>
        <v/>
      </c>
      <c r="D557" s="30" t="inlineStr">
        <is>
          <t>ERROR</t>
        </is>
      </c>
      <c r="E557" s="51">
        <f>IF(ISNUMBER(D557),IF(ISNUMBER(AW553),ABS(AW553-D557),"N/A"),"N/A")</f>
        <v/>
      </c>
      <c r="F557" s="15">
        <f>IFERROR(IF(ISNUMBER(D557),IF(ISNUMBER(AW553),IF(ABS(AW553-D557)&lt;=1e-06,"PASS","FAIL"),"FAIL"),IF(NOT(ISNUMBER(AW553)),IF(AW553=D557,"PASS","FAIL"),"FAIL")),"FAIL")</f>
        <v/>
      </c>
      <c r="G557" s="16">
        <f>AX553</f>
        <v/>
      </c>
      <c r="H557" s="30" t="inlineStr">
        <is>
          <t>ERROR</t>
        </is>
      </c>
      <c r="I557" s="15">
        <f>IF(AX553=H557,"PASS","FAIL")</f>
        <v/>
      </c>
    </row>
    <row r="558">
      <c r="B558" s="8" t="inlineStr">
        <is>
          <t>Break-Even Quantity (Q_BEP)</t>
        </is>
      </c>
      <c r="C558" s="25">
        <f>AY553</f>
        <v/>
      </c>
      <c r="D558" s="30" t="inlineStr">
        <is>
          <t>ERROR</t>
        </is>
      </c>
      <c r="E558" s="51">
        <f>IF(ISNUMBER(D558),IF(ISNUMBER(AY553),ABS(AY553-D558),"N/A"),"N/A")</f>
        <v/>
      </c>
      <c r="F558" s="15">
        <f>IFERROR(IF(ISNUMBER(D558),IF(ISNUMBER(AY553),IF(ABS(AY553-D558)&lt;=0.01,"PASS","FAIL"),"FAIL"),IF(NOT(ISNUMBER(AY553)),IF(AY553=D558,"PASS","FAIL"),"FAIL")),"FAIL")</f>
        <v/>
      </c>
      <c r="G558" s="16">
        <f>AZ553</f>
        <v/>
      </c>
      <c r="H558" s="30" t="inlineStr">
        <is>
          <t>ERROR</t>
        </is>
      </c>
      <c r="I558" s="15">
        <f>IF(AZ553=H558,"PASS","FAIL")</f>
        <v/>
      </c>
    </row>
    <row r="559">
      <c r="B559" s="8" t="inlineStr">
        <is>
          <t>Margin of Safety Quantity</t>
        </is>
      </c>
      <c r="C559" s="25">
        <f>BA553</f>
        <v/>
      </c>
      <c r="D559" s="30" t="inlineStr">
        <is>
          <t>ERROR</t>
        </is>
      </c>
      <c r="E559" s="51">
        <f>IF(ISNUMBER(D559),IF(ISNUMBER(BA553),ABS(BA553-D559),"N/A"),"N/A")</f>
        <v/>
      </c>
      <c r="F559" s="15">
        <f>IFERROR(IF(ISNUMBER(D559),IF(ISNUMBER(BA553),IF(ABS(BA553-D559)&lt;=0.01,"PASS","FAIL"),"FAIL"),IF(NOT(ISNUMBER(BA553)),IF(BA553=D559,"PASS","FAIL"),"FAIL")),"FAIL")</f>
        <v/>
      </c>
      <c r="G559" s="16">
        <f>BB553</f>
        <v/>
      </c>
      <c r="H559" s="30" t="inlineStr">
        <is>
          <t>ERROR</t>
        </is>
      </c>
      <c r="I559" s="15">
        <f>IF(BB553=H559,"PASS","FAIL")</f>
        <v/>
      </c>
    </row>
    <row r="560">
      <c r="B560" s="8" t="inlineStr">
        <is>
          <t>Margin of Safety Rate</t>
        </is>
      </c>
      <c r="C560" s="54">
        <f>BC553</f>
        <v/>
      </c>
      <c r="D560" s="30" t="inlineStr">
        <is>
          <t>ERROR</t>
        </is>
      </c>
      <c r="E560" s="51">
        <f>IF(ISNUMBER(D560),IF(ISNUMBER(BC553),ABS(BC553-D560),"N/A"),"N/A")</f>
        <v/>
      </c>
      <c r="F560" s="15">
        <f>IFERROR(IF(ISNUMBER(D560),IF(ISNUMBER(BC553),IF(ABS(BC553-D560)&lt;=1e-06,"PASS","FAIL"),"FAIL"),IF(NOT(ISNUMBER(BC553)),IF(BC553=D560,"PASS","FAIL"),"FAIL")),"FAIL")</f>
        <v/>
      </c>
      <c r="G560" s="16">
        <f>BD553</f>
        <v/>
      </c>
      <c r="H560" s="30" t="inlineStr">
        <is>
          <t>ERROR</t>
        </is>
      </c>
      <c r="I560" s="15">
        <f>IF(BD553=H560,"PASS","FAIL")</f>
        <v/>
      </c>
    </row>
    <row r="561">
      <c r="B561" s="8" t="inlineStr">
        <is>
          <t>Module Status</t>
        </is>
      </c>
      <c r="C561" s="16">
        <f>BE553</f>
        <v/>
      </c>
      <c r="D561" s="30" t="inlineStr">
        <is>
          <t>ERROR</t>
        </is>
      </c>
      <c r="F561" s="15">
        <f>IF(BE553=D561,"PASS","FAIL")</f>
        <v/>
      </c>
    </row>
    <row r="562">
      <c r="B562" s="8" t="inlineStr">
        <is>
          <t>Analysis Period Basis</t>
        </is>
      </c>
      <c r="C562" s="16">
        <f>BF553</f>
        <v/>
      </c>
      <c r="D562" s="30" t="inlineStr">
        <is>
          <t>per_month</t>
        </is>
      </c>
      <c r="F562" s="15">
        <f>IF(BF553=D562,"PASS","FAIL")</f>
        <v/>
      </c>
    </row>
    <row r="563">
      <c r="B563" s="8" t="inlineStr">
        <is>
          <t>Self-Check: |MoS qty × CMu − Operating Profit| ≤ tol</t>
        </is>
      </c>
      <c r="C563" s="36">
        <f>IF(OR(NOT(ISNUMBER(BA553)),NOT(ISNUMBER(AN553)),NOT(ISNUMBER(AU553))),"SKIP",IF(ABS(BA553*AN553-AU553)&lt;=0.01,"PASS","FAIL"))</f>
        <v/>
      </c>
      <c r="D563" s="34" t="n"/>
      <c r="F563" s="15">
        <f>IF(C563="FAIL","FAIL","PASS")</f>
        <v/>
      </c>
    </row>
    <row r="565" ht="20" customHeight="1">
      <c r="B565" s="2" t="inlineStr">
        <is>
          <t>V41. units_per_order + NOT_RUN gate</t>
        </is>
      </c>
      <c r="C565" s="7" t="n"/>
      <c r="D565" s="7" t="n"/>
      <c r="E565" s="7" t="n"/>
      <c r="F565" s="7" t="n"/>
      <c r="G565" s="7" t="n"/>
      <c r="H565" s="7" t="n"/>
      <c r="I565" s="7" t="n"/>
    </row>
    <row r="566">
      <c r="B566" s="4" t="inlineStr">
        <is>
          <t>Metric</t>
        </is>
      </c>
      <c r="C566" s="4" t="inlineStr">
        <is>
          <t>Excel Result</t>
        </is>
      </c>
      <c r="D566" s="4" t="inlineStr">
        <is>
          <t>Python Reference</t>
        </is>
      </c>
      <c r="E566" s="4" t="inlineStr">
        <is>
          <t>Difference</t>
        </is>
      </c>
      <c r="F566" s="4" t="inlineStr">
        <is>
          <t>PASS / FAIL</t>
        </is>
      </c>
      <c r="G566" s="4" t="inlineStr">
        <is>
          <t>Excel Status</t>
        </is>
      </c>
      <c r="H566" s="4" t="inlineStr">
        <is>
          <t>Python Status</t>
        </is>
      </c>
      <c r="I566" s="4" t="inlineStr">
        <is>
          <t>Status PASS</t>
        </is>
      </c>
    </row>
    <row r="567">
      <c r="B567" s="8" t="inlineStr">
        <is>
          <t>Planned Quantity (units)</t>
        </is>
      </c>
      <c r="C567" s="25">
        <f>AO567</f>
        <v/>
      </c>
      <c r="D567" s="30" t="inlineStr">
        <is>
          <t>NOT_RUN</t>
        </is>
      </c>
      <c r="E567" s="51">
        <f>IF(ISNUMBER(D567),IF(ISNUMBER(AO567),ABS(AO567-D567),"N/A"),"N/A")</f>
        <v/>
      </c>
      <c r="F567" s="15">
        <f>IFERROR(IF(ISNUMBER(D567),IF(ISNUMBER(AO567),IF(ABS(AO567-D567)&lt;=0.01,"PASS","FAIL"),"FAIL"),IF(NOT(ISNUMBER(AO567)),IF(AO567=D567,"PASS","FAIL"),"FAIL")),"FAIL")</f>
        <v/>
      </c>
      <c r="G567" s="16">
        <f>AP567</f>
        <v/>
      </c>
      <c r="H567" s="30" t="inlineStr">
        <is>
          <t>NOT_RUN</t>
        </is>
      </c>
      <c r="I567" s="15">
        <f>IF(AP567=H567,"PASS","FAIL")</f>
        <v/>
      </c>
      <c r="M567" t="n">
        <v>35000</v>
      </c>
      <c r="N567" t="b">
        <v>1</v>
      </c>
      <c r="O567" t="n">
        <v>0.1</v>
      </c>
      <c r="P567" t="n">
        <v>13500</v>
      </c>
      <c r="Q567" t="n">
        <v>3000</v>
      </c>
      <c r="R567" t="b">
        <v>1</v>
      </c>
      <c r="S567" t="n">
        <v>0</v>
      </c>
      <c r="T567" t="n">
        <v>0.025</v>
      </c>
      <c r="U567" t="n">
        <v>2000000</v>
      </c>
      <c r="V567" t="inlineStr">
        <is>
          <t>per_month</t>
        </is>
      </c>
      <c r="W567" t="inlineStr">
        <is>
          <t>component</t>
        </is>
      </c>
      <c r="X567" t="inlineStr">
        <is>
          <t>consistent</t>
        </is>
      </c>
      <c r="Y567" t="n">
        <v>1</v>
      </c>
      <c r="Z567" t="inlineStr">
        <is>
          <t>absent</t>
        </is>
      </c>
      <c r="AA567" t="n">
        <v>200</v>
      </c>
      <c r="AB567" t="inlineStr">
        <is>
          <t>per_month</t>
        </is>
      </c>
      <c r="AC567" t="n">
        <v>2</v>
      </c>
      <c r="AD567">
        <f>IFERROR(IF(ISBLANK($M$567),"UNKNOWN",IF(ISBLANK($N$567),"UNKNOWN",IF($N$567=FALSE,$M$567,IF(ISBLANK($O$567),"UNKNOWN",$M$567/(1+$O$567))))),"ERROR")</f>
        <v/>
      </c>
      <c r="AE567">
        <f>IFERROR(IF(ISBLANK($M$567),"UNKNOWN",IF(ISBLANK($N$567),"UNKNOWN",IF($N$567=TRUE,$M$567,IF(ISBLANK($O$567),"UNKNOWN",$M$567*(1+$O$567))))),"ERROR")</f>
        <v/>
      </c>
      <c r="AF567">
        <f>IF($Y$567&gt;1,"ERROR",IFERROR(IF(AD567="ERROR","ERROR",IF(OR(NOT(ISNUMBER(AD567)),ISBLANK($P$567),ISBLANK($Q$567),ISBLANK($S$567),ISBLANK($T$567)),"UNKNOWN",IF($T$567&gt;0,IF(AE567="ERROR","ERROR",IF(NOT(ISNUMBER(AE567)),"UNKNOWN",AD567-$P$567-$Q$567-$S$567*AD567-$T$567*AE567)),AD567-$P$567-$Q$567-$S$567*AD567))),"ERROR"))</f>
        <v/>
      </c>
      <c r="AG567">
        <f>IF($Y$567&gt;1,"ERROR",IFERROR(IF($W$567="invalid_direct","ERROR",IF($X$567="inconsistent","ERROR",IF($W$567="none",0,IF(OR($W$567="unresolved",$W$567="blended_only"),"UNKNOWN",IF(ISBLANK($U$567),"UNKNOWN",IF($U$567&lt;0,"ERROR",$U$567)))))),"ERROR"))</f>
        <v/>
      </c>
      <c r="AH567">
        <f>IF($Y$567&gt;1,"",IF(OR($W$567="invalid_direct",$X$567="inconsistent"),"",IF($W$567="none","",IF(OR($W$567="unresolved",$W$567="blended_only"),"",IF(ISBLANK($U$567),"",IF($U$567&lt;0,"",$V$567))))))</f>
        <v/>
      </c>
      <c r="AI567">
        <f>IF($Y$567&gt;1,"ERROR",IFERROR(IF(OR(AF567="ERROR",AG567="ERROR"),"ERROR",IF(OR(NOT(ISNUMBER(AF567)),NOT(ISNUMBER(AG567))),"UNKNOWN",IF(AF567&lt;=0,"NOT_APPLICABLE",AG567/AF567))),"ERROR"))</f>
        <v/>
      </c>
      <c r="AJ567">
        <f>IF($Y$567&gt;1,"MULTI_COMPONENT_BEP_NOT_SUPPORTED",IF($W$567="invalid_direct","INVALID_ALLOCATION_CONFIGURATION",IF($X$567="inconsistent","INCONSISTENT_FIXED_COST_BASIS",IF(AND($W$567="component",NOT(ISBLANK($U$567)),$U$567&lt;0),"INVALID_NEGATIVE_COST",IF(AF567="ERROR","CALCULATION_ERROR",IF($W$567="blended_only","FIXED_COST_BLENDED_ONLY_NOT_ALLOCATED",IF($W$567="unresolved","UNSUPPORTED_SHARED_COST_ALLOCATION",IF(NOT(ISNUMBER(AF567)),"MISSING_DEPENDENCY",IF(AND($W$567="component",ISBLANK($U$567)),"MISSING_DEPENDENCY",IF(AND(AF567=0,AG567=0),"BREAK_EVEN_UNDEFINED_ZERO_MARGIN_ZERO_FIXED_COST",IF(AF567=0,"BREAK_EVEN_UNDEFINED_ZERO_MARGIN",IF(AF567&lt;0,"BREAK_EVEN_UNDEFINED_NEGATIVE_MARGIN","NONE"))))))))))))</f>
        <v/>
      </c>
      <c r="AK567">
        <f>IF(AND(NOT(ISBLANK($AA$567)),$AA$567&lt;0),"ERROR",IF(AND($AB$567&lt;&gt;"",$AB$567&lt;&gt;"per_month"),"ERROR",IF(OR(ISBLANK($AA$567),$AB$567=""),"UNKNOWN",$AA$567)))</f>
        <v/>
      </c>
      <c r="AL567">
        <f>IF(AND(ISNUMBER(AG567),AH567&lt;&gt;"",AH567&lt;&gt;"per_month"),"ERROR",AG567)</f>
        <v/>
      </c>
      <c r="AM567">
        <f>IF(ISBLANK($AC$567),"none",IF(AND(ISNUMBER($AC$567),$AC$567&gt;0),"valid","invalid"))</f>
        <v/>
      </c>
      <c r="AN567">
        <f>IF(AM567="invalid","ERROR",IF(AND(AM567="valid",$R$567=TRUE,ISNUMBER(AF567)),AF567+$Q$567*(1-1/$AC$567),AF567))</f>
        <v/>
      </c>
      <c r="AO567">
        <f>IF($Z$567="absent","NOT_RUN",IF($Y$567&gt;1,"ERROR",AK567))</f>
        <v/>
      </c>
      <c r="AP567">
        <f>IF(ISNUMBER(AO567),"OK",AO567)</f>
        <v/>
      </c>
      <c r="AQ567">
        <f>IF($Z$567="absent","NOT_RUN",IF($Y$567&gt;1,"ERROR",IFERROR(IF(OR(AK567="ERROR",AD567="ERROR"),"ERROR",IF(OR(NOT(ISNUMBER(AK567)),NOT(ISNUMBER(AD567))),"UNKNOWN",AD567*AK567)),"ERROR")))</f>
        <v/>
      </c>
      <c r="AR567">
        <f>IF(ISNUMBER(AQ567),"OK",AQ567)</f>
        <v/>
      </c>
      <c r="AS567">
        <f>IF($Z$567="absent","NOT_RUN",IF($Y$567&gt;1,"ERROR",IFERROR(IF(OR(AK567="ERROR",AN567="ERROR"),"ERROR",IF(OR(NOT(ISNUMBER(AK567)),NOT(ISNUMBER(AN567))),"UNKNOWN",AN567*AK567)),"ERROR")))</f>
        <v/>
      </c>
      <c r="AT567">
        <f>IF(ISNUMBER(AS567),IF(AND($R$567=TRUE,AM567="none"),"ESTIMATED","OK"),AS567)</f>
        <v/>
      </c>
      <c r="AU567">
        <f>IF($Z$567="absent","NOT_RUN",IF($Y$567&gt;1,"ERROR",IFERROR(IF(OR(AK567="ERROR",AN567="ERROR",AL567="ERROR"),"ERROR",IF(OR(NOT(ISNUMBER(AK567)),NOT(ISNUMBER(AN567)),NOT(ISNUMBER(AL567))),"UNKNOWN",AN567*AK567-AL567)),"ERROR")))</f>
        <v/>
      </c>
      <c r="AV567">
        <f>IF(ISNUMBER(AU567),IF(AND($R$567=TRUE,AM567="none"),"ESTIMATED","OK"),AU567)</f>
        <v/>
      </c>
      <c r="AW567">
        <f>IF($Z$567="absent","NOT_RUN",IF($Y$567&gt;1,"ERROR",IFERROR(IF(OR(AU567="ERROR",AQ567="ERROR"),"ERROR",IF(OR(NOT(ISNUMBER(AU567)),NOT(ISNUMBER(AQ567))),"UNKNOWN",IF(AQ567=0,"NOT_APPLICABLE",AU567/AQ567))),"ERROR")))</f>
        <v/>
      </c>
      <c r="AX567">
        <f>IF(ISNUMBER(AW567),IF(AND($R$567=TRUE,AM567="none"),"ESTIMATED","OK"),AW567)</f>
        <v/>
      </c>
      <c r="AY567">
        <f>IF($Z$567="absent","NOT_RUN",IF($Y$567&gt;1,"ERROR",IFERROR(IF(OR(AN567="ERROR",AL567="ERROR"),"ERROR",IF(OR(NOT(ISNUMBER(AN567)),NOT(ISNUMBER(AL567))),"UNKNOWN",IF(AN567&lt;=0,"NOT_APPLICABLE",AL567/AN567))),"ERROR")))</f>
        <v/>
      </c>
      <c r="AZ567">
        <f>IF(ISNUMBER(AY567),IF(AND($R$567=TRUE,AM567="none"),"ESTIMATED","OK"),AY567)</f>
        <v/>
      </c>
      <c r="BA567">
        <f>IF($Z$567="absent","NOT_RUN",IF($Y$567&gt;1,"ERROR",IFERROR(IF(OR(AK567="ERROR",AN567="ERROR",AL567="ERROR"),"ERROR",IF(OR(NOT(ISNUMBER(AK567)),NOT(ISNUMBER(AN567)),NOT(ISNUMBER(AL567))),"UNKNOWN",IF(AN567&lt;=0,"NOT_APPLICABLE",AK567-AY567))),"ERROR")))</f>
        <v/>
      </c>
      <c r="BB567">
        <f>IF(ISNUMBER(BA567),IF(AND($R$567=TRUE,AM567="none"),"ESTIMATED","OK"),BA567)</f>
        <v/>
      </c>
      <c r="BC567">
        <f>IF($Z$567="absent","NOT_RUN",IF($Y$567&gt;1,"ERROR",IFERROR(IF(OR(AK567="ERROR",AN567="ERROR",AL567="ERROR"),"ERROR",IF(OR(NOT(ISNUMBER(AK567)),NOT(ISNUMBER(AN567)),NOT(ISNUMBER(AL567))),"UNKNOWN",IF(OR(AN567&lt;=0,AK567=0),"NOT_APPLICABLE",(AK567-AY567)/AK567))),"ERROR")))</f>
        <v/>
      </c>
      <c r="BD567">
        <f>IF(ISNUMBER(BC567),IF(AND($R$567=TRUE,AM567="none"),"ESTIMATED","OK"),BC567)</f>
        <v/>
      </c>
      <c r="BE567">
        <f>IF($Z$567="absent","NOT_RUN",IF(OR(AP567="ERROR",AR567="ERROR",AT567="ERROR",AV567="ERROR",AX567="ERROR",AZ567="ERROR",BB567="ERROR",BD567="ERROR"),"ERROR",IF(OR(AP567="UNKNOWN",AR567="UNKNOWN",AT567="UNKNOWN",AV567="UNKNOWN",AX567="UNKNOWN",AZ567="UNKNOWN",BB567="UNKNOWN",BD567="UNKNOWN"),"INCOMPLETE","OK")))</f>
        <v/>
      </c>
      <c r="BF567">
        <f>IF($Z$567="absent","",AH567)</f>
        <v/>
      </c>
    </row>
    <row r="568">
      <c r="B568" s="8" t="inlineStr">
        <is>
          <t>Total Net Sales ex VAT</t>
        </is>
      </c>
      <c r="C568" s="52">
        <f>AQ567</f>
        <v/>
      </c>
      <c r="D568" s="30" t="inlineStr">
        <is>
          <t>NOT_RUN</t>
        </is>
      </c>
      <c r="E568" s="51">
        <f>IF(ISNUMBER(D568),IF(ISNUMBER(AQ567),ABS(AQ567-D568),"N/A"),"N/A")</f>
        <v/>
      </c>
      <c r="F568" s="15">
        <f>IFERROR(IF(ISNUMBER(D568),IF(ISNUMBER(AQ567),IF(ABS(AQ567-D568)&lt;=0.01,"PASS","FAIL"),"FAIL"),IF(NOT(ISNUMBER(AQ567)),IF(AQ567=D568,"PASS","FAIL"),"FAIL")),"FAIL")</f>
        <v/>
      </c>
      <c r="G568" s="16">
        <f>AR567</f>
        <v/>
      </c>
      <c r="H568" s="30" t="inlineStr">
        <is>
          <t>NOT_RUN</t>
        </is>
      </c>
      <c r="I568" s="15">
        <f>IF(AR567=H568,"PASS","FAIL")</f>
        <v/>
      </c>
    </row>
    <row r="569">
      <c r="B569" s="8" t="inlineStr">
        <is>
          <t>Total Contribution Margin</t>
        </is>
      </c>
      <c r="C569" s="52">
        <f>AS567</f>
        <v/>
      </c>
      <c r="D569" s="30" t="inlineStr">
        <is>
          <t>NOT_RUN</t>
        </is>
      </c>
      <c r="E569" s="51">
        <f>IF(ISNUMBER(D569),IF(ISNUMBER(AS567),ABS(AS567-D569),"N/A"),"N/A")</f>
        <v/>
      </c>
      <c r="F569" s="15">
        <f>IFERROR(IF(ISNUMBER(D569),IF(ISNUMBER(AS567),IF(ABS(AS567-D569)&lt;=0.01,"PASS","FAIL"),"FAIL"),IF(NOT(ISNUMBER(AS567)),IF(AS567=D569,"PASS","FAIL"),"FAIL")),"FAIL")</f>
        <v/>
      </c>
      <c r="G569" s="16">
        <f>AT567</f>
        <v/>
      </c>
      <c r="H569" s="30" t="inlineStr">
        <is>
          <t>NOT_RUN</t>
        </is>
      </c>
      <c r="I569" s="15">
        <f>IF(AT567=H569,"PASS","FAIL")</f>
        <v/>
      </c>
    </row>
    <row r="570">
      <c r="B570" s="8" t="inlineStr">
        <is>
          <t>Operating Profit</t>
        </is>
      </c>
      <c r="C570" s="52">
        <f>AU567</f>
        <v/>
      </c>
      <c r="D570" s="30" t="inlineStr">
        <is>
          <t>NOT_RUN</t>
        </is>
      </c>
      <c r="E570" s="51">
        <f>IF(ISNUMBER(D570),IF(ISNUMBER(AU567),ABS(AU567-D570),"N/A"),"N/A")</f>
        <v/>
      </c>
      <c r="F570" s="15">
        <f>IFERROR(IF(ISNUMBER(D570),IF(ISNUMBER(AU567),IF(ABS(AU567-D570)&lt;=0.01,"PASS","FAIL"),"FAIL"),IF(NOT(ISNUMBER(AU567)),IF(AU567=D570,"PASS","FAIL"),"FAIL")),"FAIL")</f>
        <v/>
      </c>
      <c r="G570" s="16">
        <f>AV567</f>
        <v/>
      </c>
      <c r="H570" s="30" t="inlineStr">
        <is>
          <t>NOT_RUN</t>
        </is>
      </c>
      <c r="I570" s="15">
        <f>IF(AV567=H570,"PASS","FAIL")</f>
        <v/>
      </c>
    </row>
    <row r="571">
      <c r="B571" s="8" t="inlineStr">
        <is>
          <t>Operating Profit Rate</t>
        </is>
      </c>
      <c r="C571" s="54">
        <f>AW567</f>
        <v/>
      </c>
      <c r="D571" s="30" t="inlineStr">
        <is>
          <t>NOT_RUN</t>
        </is>
      </c>
      <c r="E571" s="51">
        <f>IF(ISNUMBER(D571),IF(ISNUMBER(AW567),ABS(AW567-D571),"N/A"),"N/A")</f>
        <v/>
      </c>
      <c r="F571" s="15">
        <f>IFERROR(IF(ISNUMBER(D571),IF(ISNUMBER(AW567),IF(ABS(AW567-D571)&lt;=1e-06,"PASS","FAIL"),"FAIL"),IF(NOT(ISNUMBER(AW567)),IF(AW567=D571,"PASS","FAIL"),"FAIL")),"FAIL")</f>
        <v/>
      </c>
      <c r="G571" s="16">
        <f>AX567</f>
        <v/>
      </c>
      <c r="H571" s="30" t="inlineStr">
        <is>
          <t>NOT_RUN</t>
        </is>
      </c>
      <c r="I571" s="15">
        <f>IF(AX567=H571,"PASS","FAIL")</f>
        <v/>
      </c>
    </row>
    <row r="572">
      <c r="B572" s="8" t="inlineStr">
        <is>
          <t>Break-Even Quantity (Q_BEP)</t>
        </is>
      </c>
      <c r="C572" s="25">
        <f>AY567</f>
        <v/>
      </c>
      <c r="D572" s="30" t="inlineStr">
        <is>
          <t>NOT_RUN</t>
        </is>
      </c>
      <c r="E572" s="51">
        <f>IF(ISNUMBER(D572),IF(ISNUMBER(AY567),ABS(AY567-D572),"N/A"),"N/A")</f>
        <v/>
      </c>
      <c r="F572" s="15">
        <f>IFERROR(IF(ISNUMBER(D572),IF(ISNUMBER(AY567),IF(ABS(AY567-D572)&lt;=0.01,"PASS","FAIL"),"FAIL"),IF(NOT(ISNUMBER(AY567)),IF(AY567=D572,"PASS","FAIL"),"FAIL")),"FAIL")</f>
        <v/>
      </c>
      <c r="G572" s="16">
        <f>AZ567</f>
        <v/>
      </c>
      <c r="H572" s="30" t="inlineStr">
        <is>
          <t>NOT_RUN</t>
        </is>
      </c>
      <c r="I572" s="15">
        <f>IF(AZ567=H572,"PASS","FAIL")</f>
        <v/>
      </c>
    </row>
    <row r="573">
      <c r="B573" s="8" t="inlineStr">
        <is>
          <t>Margin of Safety Quantity</t>
        </is>
      </c>
      <c r="C573" s="25">
        <f>BA567</f>
        <v/>
      </c>
      <c r="D573" s="30" t="inlineStr">
        <is>
          <t>NOT_RUN</t>
        </is>
      </c>
      <c r="E573" s="51">
        <f>IF(ISNUMBER(D573),IF(ISNUMBER(BA567),ABS(BA567-D573),"N/A"),"N/A")</f>
        <v/>
      </c>
      <c r="F573" s="15">
        <f>IFERROR(IF(ISNUMBER(D573),IF(ISNUMBER(BA567),IF(ABS(BA567-D573)&lt;=0.01,"PASS","FAIL"),"FAIL"),IF(NOT(ISNUMBER(BA567)),IF(BA567=D573,"PASS","FAIL"),"FAIL")),"FAIL")</f>
        <v/>
      </c>
      <c r="G573" s="16">
        <f>BB567</f>
        <v/>
      </c>
      <c r="H573" s="30" t="inlineStr">
        <is>
          <t>NOT_RUN</t>
        </is>
      </c>
      <c r="I573" s="15">
        <f>IF(BB567=H573,"PASS","FAIL")</f>
        <v/>
      </c>
    </row>
    <row r="574">
      <c r="B574" s="8" t="inlineStr">
        <is>
          <t>Margin of Safety Rate</t>
        </is>
      </c>
      <c r="C574" s="54">
        <f>BC567</f>
        <v/>
      </c>
      <c r="D574" s="30" t="inlineStr">
        <is>
          <t>NOT_RUN</t>
        </is>
      </c>
      <c r="E574" s="51">
        <f>IF(ISNUMBER(D574),IF(ISNUMBER(BC567),ABS(BC567-D574),"N/A"),"N/A")</f>
        <v/>
      </c>
      <c r="F574" s="15">
        <f>IFERROR(IF(ISNUMBER(D574),IF(ISNUMBER(BC567),IF(ABS(BC567-D574)&lt;=1e-06,"PASS","FAIL"),"FAIL"),IF(NOT(ISNUMBER(BC567)),IF(BC567=D574,"PASS","FAIL"),"FAIL")),"FAIL")</f>
        <v/>
      </c>
      <c r="G574" s="16">
        <f>BD567</f>
        <v/>
      </c>
      <c r="H574" s="30" t="inlineStr">
        <is>
          <t>NOT_RUN</t>
        </is>
      </c>
      <c r="I574" s="15">
        <f>IF(BD567=H574,"PASS","FAIL")</f>
        <v/>
      </c>
    </row>
    <row r="575">
      <c r="B575" s="8" t="inlineStr">
        <is>
          <t>Module Status</t>
        </is>
      </c>
      <c r="C575" s="16">
        <f>BE567</f>
        <v/>
      </c>
      <c r="D575" s="30" t="inlineStr">
        <is>
          <t>NOT_RUN</t>
        </is>
      </c>
      <c r="F575" s="15">
        <f>IF(BE567=D575,"PASS","FAIL")</f>
        <v/>
      </c>
    </row>
    <row r="576">
      <c r="B576" s="8" t="inlineStr">
        <is>
          <t>Analysis Period Basis</t>
        </is>
      </c>
      <c r="C576" s="16">
        <f>BF567</f>
        <v/>
      </c>
      <c r="D576" s="30" t="inlineStr"/>
      <c r="F576" s="15">
        <f>IF(BF567=D576,"PASS","FAIL")</f>
        <v/>
      </c>
    </row>
    <row r="577">
      <c r="B577" s="8" t="inlineStr">
        <is>
          <t>Self-Check: |MoS qty × CMu − Operating Profit| ≤ tol</t>
        </is>
      </c>
      <c r="C577" s="36">
        <f>IF(OR(NOT(ISNUMBER(BA567)),NOT(ISNUMBER(AN567)),NOT(ISNUMBER(AU567))),"SKIP",IF(ABS(BA567*AN567-AU567)&lt;=0.01,"PASS","FAIL"))</f>
        <v/>
      </c>
      <c r="D577" s="34" t="n"/>
      <c r="F577" s="15">
        <f>IF(C577="FAIL","FAIL","PASS")</f>
        <v/>
      </c>
    </row>
    <row r="579" ht="20" customHeight="1">
      <c r="B579" s="2" t="inlineStr">
        <is>
          <t>V42. units_per_order + multi-component gate</t>
        </is>
      </c>
      <c r="C579" s="7" t="n"/>
      <c r="D579" s="7" t="n"/>
      <c r="E579" s="7" t="n"/>
      <c r="F579" s="7" t="n"/>
      <c r="G579" s="7" t="n"/>
      <c r="H579" s="7" t="n"/>
      <c r="I579" s="7" t="n"/>
    </row>
    <row r="580">
      <c r="B580" s="4" t="inlineStr">
        <is>
          <t>Metric</t>
        </is>
      </c>
      <c r="C580" s="4" t="inlineStr">
        <is>
          <t>Excel Result</t>
        </is>
      </c>
      <c r="D580" s="4" t="inlineStr">
        <is>
          <t>Python Reference</t>
        </is>
      </c>
      <c r="E580" s="4" t="inlineStr">
        <is>
          <t>Difference</t>
        </is>
      </c>
      <c r="F580" s="4" t="inlineStr">
        <is>
          <t>PASS / FAIL</t>
        </is>
      </c>
      <c r="G580" s="4" t="inlineStr">
        <is>
          <t>Excel Status</t>
        </is>
      </c>
      <c r="H580" s="4" t="inlineStr">
        <is>
          <t>Python Status</t>
        </is>
      </c>
      <c r="I580" s="4" t="inlineStr">
        <is>
          <t>Status PASS</t>
        </is>
      </c>
    </row>
    <row r="581">
      <c r="B581" s="8" t="inlineStr">
        <is>
          <t>Planned Quantity (units)</t>
        </is>
      </c>
      <c r="C581" s="25">
        <f>AO581</f>
        <v/>
      </c>
      <c r="D581" s="30" t="inlineStr">
        <is>
          <t>ERROR</t>
        </is>
      </c>
      <c r="E581" s="51">
        <f>IF(ISNUMBER(D581),IF(ISNUMBER(AO581),ABS(AO581-D581),"N/A"),"N/A")</f>
        <v/>
      </c>
      <c r="F581" s="15">
        <f>IFERROR(IF(ISNUMBER(D581),IF(ISNUMBER(AO581),IF(ABS(AO581-D581)&lt;=0.01,"PASS","FAIL"),"FAIL"),IF(NOT(ISNUMBER(AO581)),IF(AO581=D581,"PASS","FAIL"),"FAIL")),"FAIL")</f>
        <v/>
      </c>
      <c r="G581" s="16">
        <f>AP581</f>
        <v/>
      </c>
      <c r="H581" s="30" t="inlineStr">
        <is>
          <t>ERROR</t>
        </is>
      </c>
      <c r="I581" s="15">
        <f>IF(AP581=H581,"PASS","FAIL")</f>
        <v/>
      </c>
      <c r="M581" t="n">
        <v>35000</v>
      </c>
      <c r="N581" t="b">
        <v>1</v>
      </c>
      <c r="O581" t="n">
        <v>0.1</v>
      </c>
      <c r="P581" t="n">
        <v>13500</v>
      </c>
      <c r="Q581" t="n">
        <v>3000</v>
      </c>
      <c r="R581" t="b">
        <v>1</v>
      </c>
      <c r="S581" t="n">
        <v>0</v>
      </c>
      <c r="T581" t="n">
        <v>0.025</v>
      </c>
      <c r="U581" t="n">
        <v>2000000</v>
      </c>
      <c r="V581" t="inlineStr">
        <is>
          <t>per_month</t>
        </is>
      </c>
      <c r="W581" t="inlineStr">
        <is>
          <t>component</t>
        </is>
      </c>
      <c r="X581" t="inlineStr">
        <is>
          <t>consistent</t>
        </is>
      </c>
      <c r="Y581" t="n">
        <v>2</v>
      </c>
      <c r="Z581" t="inlineStr">
        <is>
          <t>present</t>
        </is>
      </c>
      <c r="AA581" t="n">
        <v>200</v>
      </c>
      <c r="AB581" t="inlineStr">
        <is>
          <t>per_month</t>
        </is>
      </c>
      <c r="AC581" t="n">
        <v>2</v>
      </c>
      <c r="AD581">
        <f>IFERROR(IF(ISBLANK($M$581),"UNKNOWN",IF(ISBLANK($N$581),"UNKNOWN",IF($N$581=FALSE,$M$581,IF(ISBLANK($O$581),"UNKNOWN",$M$581/(1+$O$581))))),"ERROR")</f>
        <v/>
      </c>
      <c r="AE581">
        <f>IFERROR(IF(ISBLANK($M$581),"UNKNOWN",IF(ISBLANK($N$581),"UNKNOWN",IF($N$581=TRUE,$M$581,IF(ISBLANK($O$581),"UNKNOWN",$M$581*(1+$O$581))))),"ERROR")</f>
        <v/>
      </c>
      <c r="AF581">
        <f>IF($Y$581&gt;1,"ERROR",IFERROR(IF(AD581="ERROR","ERROR",IF(OR(NOT(ISNUMBER(AD581)),ISBLANK($P$581),ISBLANK($Q$581),ISBLANK($S$581),ISBLANK($T$581)),"UNKNOWN",IF($T$581&gt;0,IF(AE581="ERROR","ERROR",IF(NOT(ISNUMBER(AE581)),"UNKNOWN",AD581-$P$581-$Q$581-$S$581*AD581-$T$581*AE581)),AD581-$P$581-$Q$581-$S$581*AD581))),"ERROR"))</f>
        <v/>
      </c>
      <c r="AG581">
        <f>IF($Y$581&gt;1,"ERROR",IFERROR(IF($W$581="invalid_direct","ERROR",IF($X$581="inconsistent","ERROR",IF($W$581="none",0,IF(OR($W$581="unresolved",$W$581="blended_only"),"UNKNOWN",IF(ISBLANK($U$581),"UNKNOWN",IF($U$581&lt;0,"ERROR",$U$581)))))),"ERROR"))</f>
        <v/>
      </c>
      <c r="AH581">
        <f>IF($Y$581&gt;1,"",IF(OR($W$581="invalid_direct",$X$581="inconsistent"),"",IF($W$581="none","",IF(OR($W$581="unresolved",$W$581="blended_only"),"",IF(ISBLANK($U$581),"",IF($U$581&lt;0,"",$V$581))))))</f>
        <v/>
      </c>
      <c r="AI581">
        <f>IF($Y$581&gt;1,"ERROR",IFERROR(IF(OR(AF581="ERROR",AG581="ERROR"),"ERROR",IF(OR(NOT(ISNUMBER(AF581)),NOT(ISNUMBER(AG581))),"UNKNOWN",IF(AF581&lt;=0,"NOT_APPLICABLE",AG581/AF581))),"ERROR"))</f>
        <v/>
      </c>
      <c r="AJ581">
        <f>IF($Y$581&gt;1,"MULTI_COMPONENT_BEP_NOT_SUPPORTED",IF($W$581="invalid_direct","INVALID_ALLOCATION_CONFIGURATION",IF($X$581="inconsistent","INCONSISTENT_FIXED_COST_BASIS",IF(AND($W$581="component",NOT(ISBLANK($U$581)),$U$581&lt;0),"INVALID_NEGATIVE_COST",IF(AF581="ERROR","CALCULATION_ERROR",IF($W$581="blended_only","FIXED_COST_BLENDED_ONLY_NOT_ALLOCATED",IF($W$581="unresolved","UNSUPPORTED_SHARED_COST_ALLOCATION",IF(NOT(ISNUMBER(AF581)),"MISSING_DEPENDENCY",IF(AND($W$581="component",ISBLANK($U$581)),"MISSING_DEPENDENCY",IF(AND(AF581=0,AG581=0),"BREAK_EVEN_UNDEFINED_ZERO_MARGIN_ZERO_FIXED_COST",IF(AF581=0,"BREAK_EVEN_UNDEFINED_ZERO_MARGIN",IF(AF581&lt;0,"BREAK_EVEN_UNDEFINED_NEGATIVE_MARGIN","NONE"))))))))))))</f>
        <v/>
      </c>
      <c r="AK581">
        <f>IF(AND(NOT(ISBLANK($AA$581)),$AA$581&lt;0),"ERROR",IF(AND($AB$581&lt;&gt;"",$AB$581&lt;&gt;"per_month"),"ERROR",IF(OR(ISBLANK($AA$581),$AB$581=""),"UNKNOWN",$AA$581)))</f>
        <v/>
      </c>
      <c r="AL581">
        <f>IF(AND(ISNUMBER(AG581),AH581&lt;&gt;"",AH581&lt;&gt;"per_month"),"ERROR",AG581)</f>
        <v/>
      </c>
      <c r="AM581">
        <f>IF(ISBLANK($AC$581),"none",IF(AND(ISNUMBER($AC$581),$AC$581&gt;0),"valid","invalid"))</f>
        <v/>
      </c>
      <c r="AN581">
        <f>IF(AM581="invalid","ERROR",IF(AND(AM581="valid",$R$581=TRUE,ISNUMBER(AF581)),AF581+$Q$581*(1-1/$AC$581),AF581))</f>
        <v/>
      </c>
      <c r="AO581">
        <f>IF($Z$581="absent","NOT_RUN",IF($Y$581&gt;1,"ERROR",AK581))</f>
        <v/>
      </c>
      <c r="AP581">
        <f>IF(ISNUMBER(AO581),"OK",AO581)</f>
        <v/>
      </c>
      <c r="AQ581">
        <f>IF($Z$581="absent","NOT_RUN",IF($Y$581&gt;1,"ERROR",IFERROR(IF(OR(AK581="ERROR",AD581="ERROR"),"ERROR",IF(OR(NOT(ISNUMBER(AK581)),NOT(ISNUMBER(AD581))),"UNKNOWN",AD581*AK581)),"ERROR")))</f>
        <v/>
      </c>
      <c r="AR581">
        <f>IF(ISNUMBER(AQ581),"OK",AQ581)</f>
        <v/>
      </c>
      <c r="AS581">
        <f>IF($Z$581="absent","NOT_RUN",IF($Y$581&gt;1,"ERROR",IFERROR(IF(OR(AK581="ERROR",AN581="ERROR"),"ERROR",IF(OR(NOT(ISNUMBER(AK581)),NOT(ISNUMBER(AN581))),"UNKNOWN",AN581*AK581)),"ERROR")))</f>
        <v/>
      </c>
      <c r="AT581">
        <f>IF(ISNUMBER(AS581),IF(AND($R$581=TRUE,AM581="none"),"ESTIMATED","OK"),AS581)</f>
        <v/>
      </c>
      <c r="AU581">
        <f>IF($Z$581="absent","NOT_RUN",IF($Y$581&gt;1,"ERROR",IFERROR(IF(OR(AK581="ERROR",AN581="ERROR",AL581="ERROR"),"ERROR",IF(OR(NOT(ISNUMBER(AK581)),NOT(ISNUMBER(AN581)),NOT(ISNUMBER(AL581))),"UNKNOWN",AN581*AK581-AL581)),"ERROR")))</f>
        <v/>
      </c>
      <c r="AV581">
        <f>IF(ISNUMBER(AU581),IF(AND($R$581=TRUE,AM581="none"),"ESTIMATED","OK"),AU581)</f>
        <v/>
      </c>
      <c r="AW581">
        <f>IF($Z$581="absent","NOT_RUN",IF($Y$581&gt;1,"ERROR",IFERROR(IF(OR(AU581="ERROR",AQ581="ERROR"),"ERROR",IF(OR(NOT(ISNUMBER(AU581)),NOT(ISNUMBER(AQ581))),"UNKNOWN",IF(AQ581=0,"NOT_APPLICABLE",AU581/AQ581))),"ERROR")))</f>
        <v/>
      </c>
      <c r="AX581">
        <f>IF(ISNUMBER(AW581),IF(AND($R$581=TRUE,AM581="none"),"ESTIMATED","OK"),AW581)</f>
        <v/>
      </c>
      <c r="AY581">
        <f>IF($Z$581="absent","NOT_RUN",IF($Y$581&gt;1,"ERROR",IFERROR(IF(OR(AN581="ERROR",AL581="ERROR"),"ERROR",IF(OR(NOT(ISNUMBER(AN581)),NOT(ISNUMBER(AL581))),"UNKNOWN",IF(AN581&lt;=0,"NOT_APPLICABLE",AL581/AN581))),"ERROR")))</f>
        <v/>
      </c>
      <c r="AZ581">
        <f>IF(ISNUMBER(AY581),IF(AND($R$581=TRUE,AM581="none"),"ESTIMATED","OK"),AY581)</f>
        <v/>
      </c>
      <c r="BA581">
        <f>IF($Z$581="absent","NOT_RUN",IF($Y$581&gt;1,"ERROR",IFERROR(IF(OR(AK581="ERROR",AN581="ERROR",AL581="ERROR"),"ERROR",IF(OR(NOT(ISNUMBER(AK581)),NOT(ISNUMBER(AN581)),NOT(ISNUMBER(AL581))),"UNKNOWN",IF(AN581&lt;=0,"NOT_APPLICABLE",AK581-AY581))),"ERROR")))</f>
        <v/>
      </c>
      <c r="BB581">
        <f>IF(ISNUMBER(BA581),IF(AND($R$581=TRUE,AM581="none"),"ESTIMATED","OK"),BA581)</f>
        <v/>
      </c>
      <c r="BC581">
        <f>IF($Z$581="absent","NOT_RUN",IF($Y$581&gt;1,"ERROR",IFERROR(IF(OR(AK581="ERROR",AN581="ERROR",AL581="ERROR"),"ERROR",IF(OR(NOT(ISNUMBER(AK581)),NOT(ISNUMBER(AN581)),NOT(ISNUMBER(AL581))),"UNKNOWN",IF(OR(AN581&lt;=0,AK581=0),"NOT_APPLICABLE",(AK581-AY581)/AK581))),"ERROR")))</f>
        <v/>
      </c>
      <c r="BD581">
        <f>IF(ISNUMBER(BC581),IF(AND($R$581=TRUE,AM581="none"),"ESTIMATED","OK"),BC581)</f>
        <v/>
      </c>
      <c r="BE581">
        <f>IF($Z$581="absent","NOT_RUN",IF(OR(AP581="ERROR",AR581="ERROR",AT581="ERROR",AV581="ERROR",AX581="ERROR",AZ581="ERROR",BB581="ERROR",BD581="ERROR"),"ERROR",IF(OR(AP581="UNKNOWN",AR581="UNKNOWN",AT581="UNKNOWN",AV581="UNKNOWN",AX581="UNKNOWN",AZ581="UNKNOWN",BB581="UNKNOWN",BD581="UNKNOWN"),"INCOMPLETE","OK")))</f>
        <v/>
      </c>
      <c r="BF581">
        <f>IF($Z$581="absent","",AH581)</f>
        <v/>
      </c>
    </row>
    <row r="582">
      <c r="B582" s="8" t="inlineStr">
        <is>
          <t>Total Net Sales ex VAT</t>
        </is>
      </c>
      <c r="C582" s="52">
        <f>AQ581</f>
        <v/>
      </c>
      <c r="D582" s="30" t="inlineStr">
        <is>
          <t>ERROR</t>
        </is>
      </c>
      <c r="E582" s="51">
        <f>IF(ISNUMBER(D582),IF(ISNUMBER(AQ581),ABS(AQ581-D582),"N/A"),"N/A")</f>
        <v/>
      </c>
      <c r="F582" s="15">
        <f>IFERROR(IF(ISNUMBER(D582),IF(ISNUMBER(AQ581),IF(ABS(AQ581-D582)&lt;=0.01,"PASS","FAIL"),"FAIL"),IF(NOT(ISNUMBER(AQ581)),IF(AQ581=D582,"PASS","FAIL"),"FAIL")),"FAIL")</f>
        <v/>
      </c>
      <c r="G582" s="16">
        <f>AR581</f>
        <v/>
      </c>
      <c r="H582" s="30" t="inlineStr">
        <is>
          <t>ERROR</t>
        </is>
      </c>
      <c r="I582" s="15">
        <f>IF(AR581=H582,"PASS","FAIL")</f>
        <v/>
      </c>
    </row>
    <row r="583">
      <c r="B583" s="8" t="inlineStr">
        <is>
          <t>Total Contribution Margin</t>
        </is>
      </c>
      <c r="C583" s="52">
        <f>AS581</f>
        <v/>
      </c>
      <c r="D583" s="30" t="inlineStr">
        <is>
          <t>ERROR</t>
        </is>
      </c>
      <c r="E583" s="51">
        <f>IF(ISNUMBER(D583),IF(ISNUMBER(AS581),ABS(AS581-D583),"N/A"),"N/A")</f>
        <v/>
      </c>
      <c r="F583" s="15">
        <f>IFERROR(IF(ISNUMBER(D583),IF(ISNUMBER(AS581),IF(ABS(AS581-D583)&lt;=0.01,"PASS","FAIL"),"FAIL"),IF(NOT(ISNUMBER(AS581)),IF(AS581=D583,"PASS","FAIL"),"FAIL")),"FAIL")</f>
        <v/>
      </c>
      <c r="G583" s="16">
        <f>AT581</f>
        <v/>
      </c>
      <c r="H583" s="30" t="inlineStr">
        <is>
          <t>ERROR</t>
        </is>
      </c>
      <c r="I583" s="15">
        <f>IF(AT581=H583,"PASS","FAIL")</f>
        <v/>
      </c>
    </row>
    <row r="584">
      <c r="B584" s="8" t="inlineStr">
        <is>
          <t>Operating Profit</t>
        </is>
      </c>
      <c r="C584" s="52">
        <f>AU581</f>
        <v/>
      </c>
      <c r="D584" s="30" t="inlineStr">
        <is>
          <t>ERROR</t>
        </is>
      </c>
      <c r="E584" s="51">
        <f>IF(ISNUMBER(D584),IF(ISNUMBER(AU581),ABS(AU581-D584),"N/A"),"N/A")</f>
        <v/>
      </c>
      <c r="F584" s="15">
        <f>IFERROR(IF(ISNUMBER(D584),IF(ISNUMBER(AU581),IF(ABS(AU581-D584)&lt;=0.01,"PASS","FAIL"),"FAIL"),IF(NOT(ISNUMBER(AU581)),IF(AU581=D584,"PASS","FAIL"),"FAIL")),"FAIL")</f>
        <v/>
      </c>
      <c r="G584" s="16">
        <f>AV581</f>
        <v/>
      </c>
      <c r="H584" s="30" t="inlineStr">
        <is>
          <t>ERROR</t>
        </is>
      </c>
      <c r="I584" s="15">
        <f>IF(AV581=H584,"PASS","FAIL")</f>
        <v/>
      </c>
    </row>
    <row r="585">
      <c r="B585" s="8" t="inlineStr">
        <is>
          <t>Operating Profit Rate</t>
        </is>
      </c>
      <c r="C585" s="54">
        <f>AW581</f>
        <v/>
      </c>
      <c r="D585" s="30" t="inlineStr">
        <is>
          <t>ERROR</t>
        </is>
      </c>
      <c r="E585" s="51">
        <f>IF(ISNUMBER(D585),IF(ISNUMBER(AW581),ABS(AW581-D585),"N/A"),"N/A")</f>
        <v/>
      </c>
      <c r="F585" s="15">
        <f>IFERROR(IF(ISNUMBER(D585),IF(ISNUMBER(AW581),IF(ABS(AW581-D585)&lt;=1e-06,"PASS","FAIL"),"FAIL"),IF(NOT(ISNUMBER(AW581)),IF(AW581=D585,"PASS","FAIL"),"FAIL")),"FAIL")</f>
        <v/>
      </c>
      <c r="G585" s="16">
        <f>AX581</f>
        <v/>
      </c>
      <c r="H585" s="30" t="inlineStr">
        <is>
          <t>ERROR</t>
        </is>
      </c>
      <c r="I585" s="15">
        <f>IF(AX581=H585,"PASS","FAIL")</f>
        <v/>
      </c>
    </row>
    <row r="586">
      <c r="B586" s="8" t="inlineStr">
        <is>
          <t>Break-Even Quantity (Q_BEP)</t>
        </is>
      </c>
      <c r="C586" s="25">
        <f>AY581</f>
        <v/>
      </c>
      <c r="D586" s="30" t="inlineStr">
        <is>
          <t>ERROR</t>
        </is>
      </c>
      <c r="E586" s="51">
        <f>IF(ISNUMBER(D586),IF(ISNUMBER(AY581),ABS(AY581-D586),"N/A"),"N/A")</f>
        <v/>
      </c>
      <c r="F586" s="15">
        <f>IFERROR(IF(ISNUMBER(D586),IF(ISNUMBER(AY581),IF(ABS(AY581-D586)&lt;=0.01,"PASS","FAIL"),"FAIL"),IF(NOT(ISNUMBER(AY581)),IF(AY581=D586,"PASS","FAIL"),"FAIL")),"FAIL")</f>
        <v/>
      </c>
      <c r="G586" s="16">
        <f>AZ581</f>
        <v/>
      </c>
      <c r="H586" s="30" t="inlineStr">
        <is>
          <t>ERROR</t>
        </is>
      </c>
      <c r="I586" s="15">
        <f>IF(AZ581=H586,"PASS","FAIL")</f>
        <v/>
      </c>
    </row>
    <row r="587">
      <c r="B587" s="8" t="inlineStr">
        <is>
          <t>Margin of Safety Quantity</t>
        </is>
      </c>
      <c r="C587" s="25">
        <f>BA581</f>
        <v/>
      </c>
      <c r="D587" s="30" t="inlineStr">
        <is>
          <t>ERROR</t>
        </is>
      </c>
      <c r="E587" s="51">
        <f>IF(ISNUMBER(D587),IF(ISNUMBER(BA581),ABS(BA581-D587),"N/A"),"N/A")</f>
        <v/>
      </c>
      <c r="F587" s="15">
        <f>IFERROR(IF(ISNUMBER(D587),IF(ISNUMBER(BA581),IF(ABS(BA581-D587)&lt;=0.01,"PASS","FAIL"),"FAIL"),IF(NOT(ISNUMBER(BA581)),IF(BA581=D587,"PASS","FAIL"),"FAIL")),"FAIL")</f>
        <v/>
      </c>
      <c r="G587" s="16">
        <f>BB581</f>
        <v/>
      </c>
      <c r="H587" s="30" t="inlineStr">
        <is>
          <t>ERROR</t>
        </is>
      </c>
      <c r="I587" s="15">
        <f>IF(BB581=H587,"PASS","FAIL")</f>
        <v/>
      </c>
    </row>
    <row r="588">
      <c r="B588" s="8" t="inlineStr">
        <is>
          <t>Margin of Safety Rate</t>
        </is>
      </c>
      <c r="C588" s="54">
        <f>BC581</f>
        <v/>
      </c>
      <c r="D588" s="30" t="inlineStr">
        <is>
          <t>ERROR</t>
        </is>
      </c>
      <c r="E588" s="51">
        <f>IF(ISNUMBER(D588),IF(ISNUMBER(BC581),ABS(BC581-D588),"N/A"),"N/A")</f>
        <v/>
      </c>
      <c r="F588" s="15">
        <f>IFERROR(IF(ISNUMBER(D588),IF(ISNUMBER(BC581),IF(ABS(BC581-D588)&lt;=1e-06,"PASS","FAIL"),"FAIL"),IF(NOT(ISNUMBER(BC581)),IF(BC581=D588,"PASS","FAIL"),"FAIL")),"FAIL")</f>
        <v/>
      </c>
      <c r="G588" s="16">
        <f>BD581</f>
        <v/>
      </c>
      <c r="H588" s="30" t="inlineStr">
        <is>
          <t>ERROR</t>
        </is>
      </c>
      <c r="I588" s="15">
        <f>IF(BD581=H588,"PASS","FAIL")</f>
        <v/>
      </c>
    </row>
    <row r="589">
      <c r="B589" s="8" t="inlineStr">
        <is>
          <t>Module Status</t>
        </is>
      </c>
      <c r="C589" s="16">
        <f>BE581</f>
        <v/>
      </c>
      <c r="D589" s="30" t="inlineStr">
        <is>
          <t>ERROR</t>
        </is>
      </c>
      <c r="F589" s="15">
        <f>IF(BE581=D589,"PASS","FAIL")</f>
        <v/>
      </c>
    </row>
    <row r="590">
      <c r="B590" s="8" t="inlineStr">
        <is>
          <t>Analysis Period Basis</t>
        </is>
      </c>
      <c r="C590" s="16">
        <f>BF581</f>
        <v/>
      </c>
      <c r="D590" s="30" t="inlineStr"/>
      <c r="F590" s="15">
        <f>IF(BF581=D590,"PASS","FAIL")</f>
        <v/>
      </c>
    </row>
    <row r="591">
      <c r="B591" s="8" t="inlineStr">
        <is>
          <t>Self-Check: |MoS qty × CMu − Operating Profit| ≤ tol</t>
        </is>
      </c>
      <c r="C591" s="36">
        <f>IF(OR(NOT(ISNUMBER(BA581)),NOT(ISNUMBER(AN581)),NOT(ISNUMBER(AU581))),"SKIP",IF(ABS(BA581*AN581-AU581)&lt;=0.01,"PASS","FAIL"))</f>
        <v/>
      </c>
      <c r="D591" s="34" t="n"/>
      <c r="F591" s="15">
        <f>IF(C591="FAIL","FAIL","PASS")</f>
        <v/>
      </c>
    </row>
    <row r="593" ht="20" customHeight="1">
      <c r="B593" s="2" t="inlineStr">
        <is>
          <t>V43. units_per_order = 2 with a plan below break-even (negative margin of safety, OK)</t>
        </is>
      </c>
      <c r="C593" s="7" t="n"/>
      <c r="D593" s="7" t="n"/>
      <c r="E593" s="7" t="n"/>
      <c r="F593" s="7" t="n"/>
      <c r="G593" s="7" t="n"/>
      <c r="H593" s="7" t="n"/>
      <c r="I593" s="7" t="n"/>
    </row>
    <row r="594">
      <c r="B594" s="4" t="inlineStr">
        <is>
          <t>Metric</t>
        </is>
      </c>
      <c r="C594" s="4" t="inlineStr">
        <is>
          <t>Excel Result</t>
        </is>
      </c>
      <c r="D594" s="4" t="inlineStr">
        <is>
          <t>Python Reference</t>
        </is>
      </c>
      <c r="E594" s="4" t="inlineStr">
        <is>
          <t>Difference</t>
        </is>
      </c>
      <c r="F594" s="4" t="inlineStr">
        <is>
          <t>PASS / FAIL</t>
        </is>
      </c>
      <c r="G594" s="4" t="inlineStr">
        <is>
          <t>Excel Status</t>
        </is>
      </c>
      <c r="H594" s="4" t="inlineStr">
        <is>
          <t>Python Status</t>
        </is>
      </c>
      <c r="I594" s="4" t="inlineStr">
        <is>
          <t>Status PASS</t>
        </is>
      </c>
    </row>
    <row r="595">
      <c r="B595" s="8" t="inlineStr">
        <is>
          <t>Planned Quantity (units)</t>
        </is>
      </c>
      <c r="C595" s="25">
        <f>AO595</f>
        <v/>
      </c>
      <c r="D595" s="21" t="n">
        <v>100</v>
      </c>
      <c r="E595" s="51">
        <f>IF(ISNUMBER(D595),IF(ISNUMBER(AO595),ABS(AO595-D595),"N/A"),"N/A")</f>
        <v/>
      </c>
      <c r="F595" s="15">
        <f>IFERROR(IF(ISNUMBER(D595),IF(ISNUMBER(AO595),IF(ABS(AO595-D595)&lt;=0.01,"PASS","FAIL"),"FAIL"),IF(NOT(ISNUMBER(AO595)),IF(AO595=D595,"PASS","FAIL"),"FAIL")),"FAIL")</f>
        <v/>
      </c>
      <c r="G595" s="16">
        <f>AP595</f>
        <v/>
      </c>
      <c r="H595" s="30" t="inlineStr">
        <is>
          <t>OK</t>
        </is>
      </c>
      <c r="I595" s="15">
        <f>IF(AP595=H595,"PASS","FAIL")</f>
        <v/>
      </c>
      <c r="M595" t="n">
        <v>35000</v>
      </c>
      <c r="N595" t="b">
        <v>1</v>
      </c>
      <c r="O595" t="n">
        <v>0.1</v>
      </c>
      <c r="P595" t="n">
        <v>13500</v>
      </c>
      <c r="Q595" t="n">
        <v>3000</v>
      </c>
      <c r="R595" t="b">
        <v>1</v>
      </c>
      <c r="S595" t="n">
        <v>0</v>
      </c>
      <c r="T595" t="n">
        <v>0.025</v>
      </c>
      <c r="U595" t="n">
        <v>2000000</v>
      </c>
      <c r="V595" t="inlineStr">
        <is>
          <t>per_month</t>
        </is>
      </c>
      <c r="W595" t="inlineStr">
        <is>
          <t>component</t>
        </is>
      </c>
      <c r="X595" t="inlineStr">
        <is>
          <t>consistent</t>
        </is>
      </c>
      <c r="Y595" t="n">
        <v>1</v>
      </c>
      <c r="Z595" t="inlineStr">
        <is>
          <t>present</t>
        </is>
      </c>
      <c r="AA595" t="n">
        <v>100</v>
      </c>
      <c r="AB595" t="inlineStr">
        <is>
          <t>per_month</t>
        </is>
      </c>
      <c r="AC595" t="n">
        <v>2</v>
      </c>
      <c r="AD595">
        <f>IFERROR(IF(ISBLANK($M$595),"UNKNOWN",IF(ISBLANK($N$595),"UNKNOWN",IF($N$595=FALSE,$M$595,IF(ISBLANK($O$595),"UNKNOWN",$M$595/(1+$O$595))))),"ERROR")</f>
        <v/>
      </c>
      <c r="AE595">
        <f>IFERROR(IF(ISBLANK($M$595),"UNKNOWN",IF(ISBLANK($N$595),"UNKNOWN",IF($N$595=TRUE,$M$595,IF(ISBLANK($O$595),"UNKNOWN",$M$595*(1+$O$595))))),"ERROR")</f>
        <v/>
      </c>
      <c r="AF595">
        <f>IF($Y$595&gt;1,"ERROR",IFERROR(IF(AD595="ERROR","ERROR",IF(OR(NOT(ISNUMBER(AD595)),ISBLANK($P$595),ISBLANK($Q$595),ISBLANK($S$595),ISBLANK($T$595)),"UNKNOWN",IF($T$595&gt;0,IF(AE595="ERROR","ERROR",IF(NOT(ISNUMBER(AE595)),"UNKNOWN",AD595-$P$595-$Q$595-$S$595*AD595-$T$595*AE595)),AD595-$P$595-$Q$595-$S$595*AD595))),"ERROR"))</f>
        <v/>
      </c>
      <c r="AG595">
        <f>IF($Y$595&gt;1,"ERROR",IFERROR(IF($W$595="invalid_direct","ERROR",IF($X$595="inconsistent","ERROR",IF($W$595="none",0,IF(OR($W$595="unresolved",$W$595="blended_only"),"UNKNOWN",IF(ISBLANK($U$595),"UNKNOWN",IF($U$595&lt;0,"ERROR",$U$595)))))),"ERROR"))</f>
        <v/>
      </c>
      <c r="AH595">
        <f>IF($Y$595&gt;1,"",IF(OR($W$595="invalid_direct",$X$595="inconsistent"),"",IF($W$595="none","",IF(OR($W$595="unresolved",$W$595="blended_only"),"",IF(ISBLANK($U$595),"",IF($U$595&lt;0,"",$V$595))))))</f>
        <v/>
      </c>
      <c r="AI595">
        <f>IF($Y$595&gt;1,"ERROR",IFERROR(IF(OR(AF595="ERROR",AG595="ERROR"),"ERROR",IF(OR(NOT(ISNUMBER(AF595)),NOT(ISNUMBER(AG595))),"UNKNOWN",IF(AF595&lt;=0,"NOT_APPLICABLE",AG595/AF595))),"ERROR"))</f>
        <v/>
      </c>
      <c r="AJ595">
        <f>IF($Y$595&gt;1,"MULTI_COMPONENT_BEP_NOT_SUPPORTED",IF($W$595="invalid_direct","INVALID_ALLOCATION_CONFIGURATION",IF($X$595="inconsistent","INCONSISTENT_FIXED_COST_BASIS",IF(AND($W$595="component",NOT(ISBLANK($U$595)),$U$595&lt;0),"INVALID_NEGATIVE_COST",IF(AF595="ERROR","CALCULATION_ERROR",IF($W$595="blended_only","FIXED_COST_BLENDED_ONLY_NOT_ALLOCATED",IF($W$595="unresolved","UNSUPPORTED_SHARED_COST_ALLOCATION",IF(NOT(ISNUMBER(AF595)),"MISSING_DEPENDENCY",IF(AND($W$595="component",ISBLANK($U$595)),"MISSING_DEPENDENCY",IF(AND(AF595=0,AG595=0),"BREAK_EVEN_UNDEFINED_ZERO_MARGIN_ZERO_FIXED_COST",IF(AF595=0,"BREAK_EVEN_UNDEFINED_ZERO_MARGIN",IF(AF595&lt;0,"BREAK_EVEN_UNDEFINED_NEGATIVE_MARGIN","NONE"))))))))))))</f>
        <v/>
      </c>
      <c r="AK595">
        <f>IF(AND(NOT(ISBLANK($AA$595)),$AA$595&lt;0),"ERROR",IF(AND($AB$595&lt;&gt;"",$AB$595&lt;&gt;"per_month"),"ERROR",IF(OR(ISBLANK($AA$595),$AB$595=""),"UNKNOWN",$AA$595)))</f>
        <v/>
      </c>
      <c r="AL595">
        <f>IF(AND(ISNUMBER(AG595),AH595&lt;&gt;"",AH595&lt;&gt;"per_month"),"ERROR",AG595)</f>
        <v/>
      </c>
      <c r="AM595">
        <f>IF(ISBLANK($AC$595),"none",IF(AND(ISNUMBER($AC$595),$AC$595&gt;0),"valid","invalid"))</f>
        <v/>
      </c>
      <c r="AN595">
        <f>IF(AM595="invalid","ERROR",IF(AND(AM595="valid",$R$595=TRUE,ISNUMBER(AF595)),AF595+$Q$595*(1-1/$AC$595),AF595))</f>
        <v/>
      </c>
      <c r="AO595">
        <f>IF($Z$595="absent","NOT_RUN",IF($Y$595&gt;1,"ERROR",AK595))</f>
        <v/>
      </c>
      <c r="AP595">
        <f>IF(ISNUMBER(AO595),"OK",AO595)</f>
        <v/>
      </c>
      <c r="AQ595">
        <f>IF($Z$595="absent","NOT_RUN",IF($Y$595&gt;1,"ERROR",IFERROR(IF(OR(AK595="ERROR",AD595="ERROR"),"ERROR",IF(OR(NOT(ISNUMBER(AK595)),NOT(ISNUMBER(AD595))),"UNKNOWN",AD595*AK595)),"ERROR")))</f>
        <v/>
      </c>
      <c r="AR595">
        <f>IF(ISNUMBER(AQ595),"OK",AQ595)</f>
        <v/>
      </c>
      <c r="AS595">
        <f>IF($Z$595="absent","NOT_RUN",IF($Y$595&gt;1,"ERROR",IFERROR(IF(OR(AK595="ERROR",AN595="ERROR"),"ERROR",IF(OR(NOT(ISNUMBER(AK595)),NOT(ISNUMBER(AN595))),"UNKNOWN",AN595*AK595)),"ERROR")))</f>
        <v/>
      </c>
      <c r="AT595">
        <f>IF(ISNUMBER(AS595),IF(AND($R$595=TRUE,AM595="none"),"ESTIMATED","OK"),AS595)</f>
        <v/>
      </c>
      <c r="AU595">
        <f>IF($Z$595="absent","NOT_RUN",IF($Y$595&gt;1,"ERROR",IFERROR(IF(OR(AK595="ERROR",AN595="ERROR",AL595="ERROR"),"ERROR",IF(OR(NOT(ISNUMBER(AK595)),NOT(ISNUMBER(AN595)),NOT(ISNUMBER(AL595))),"UNKNOWN",AN595*AK595-AL595)),"ERROR")))</f>
        <v/>
      </c>
      <c r="AV595">
        <f>IF(ISNUMBER(AU595),IF(AND($R$595=TRUE,AM595="none"),"ESTIMATED","OK"),AU595)</f>
        <v/>
      </c>
      <c r="AW595">
        <f>IF($Z$595="absent","NOT_RUN",IF($Y$595&gt;1,"ERROR",IFERROR(IF(OR(AU595="ERROR",AQ595="ERROR"),"ERROR",IF(OR(NOT(ISNUMBER(AU595)),NOT(ISNUMBER(AQ595))),"UNKNOWN",IF(AQ595=0,"NOT_APPLICABLE",AU595/AQ595))),"ERROR")))</f>
        <v/>
      </c>
      <c r="AX595">
        <f>IF(ISNUMBER(AW595),IF(AND($R$595=TRUE,AM595="none"),"ESTIMATED","OK"),AW595)</f>
        <v/>
      </c>
      <c r="AY595">
        <f>IF($Z$595="absent","NOT_RUN",IF($Y$595&gt;1,"ERROR",IFERROR(IF(OR(AN595="ERROR",AL595="ERROR"),"ERROR",IF(OR(NOT(ISNUMBER(AN595)),NOT(ISNUMBER(AL595))),"UNKNOWN",IF(AN595&lt;=0,"NOT_APPLICABLE",AL595/AN595))),"ERROR")))</f>
        <v/>
      </c>
      <c r="AZ595">
        <f>IF(ISNUMBER(AY595),IF(AND($R$595=TRUE,AM595="none"),"ESTIMATED","OK"),AY595)</f>
        <v/>
      </c>
      <c r="BA595">
        <f>IF($Z$595="absent","NOT_RUN",IF($Y$595&gt;1,"ERROR",IFERROR(IF(OR(AK595="ERROR",AN595="ERROR",AL595="ERROR"),"ERROR",IF(OR(NOT(ISNUMBER(AK595)),NOT(ISNUMBER(AN595)),NOT(ISNUMBER(AL595))),"UNKNOWN",IF(AN595&lt;=0,"NOT_APPLICABLE",AK595-AY595))),"ERROR")))</f>
        <v/>
      </c>
      <c r="BB595">
        <f>IF(ISNUMBER(BA595),IF(AND($R$595=TRUE,AM595="none"),"ESTIMATED","OK"),BA595)</f>
        <v/>
      </c>
      <c r="BC595">
        <f>IF($Z$595="absent","NOT_RUN",IF($Y$595&gt;1,"ERROR",IFERROR(IF(OR(AK595="ERROR",AN595="ERROR",AL595="ERROR"),"ERROR",IF(OR(NOT(ISNUMBER(AK595)),NOT(ISNUMBER(AN595)),NOT(ISNUMBER(AL595))),"UNKNOWN",IF(OR(AN595&lt;=0,AK595=0),"NOT_APPLICABLE",(AK595-AY595)/AK595))),"ERROR")))</f>
        <v/>
      </c>
      <c r="BD595">
        <f>IF(ISNUMBER(BC595),IF(AND($R$595=TRUE,AM595="none"),"ESTIMATED","OK"),BC595)</f>
        <v/>
      </c>
      <c r="BE595">
        <f>IF($Z$595="absent","NOT_RUN",IF(OR(AP595="ERROR",AR595="ERROR",AT595="ERROR",AV595="ERROR",AX595="ERROR",AZ595="ERROR",BB595="ERROR",BD595="ERROR"),"ERROR",IF(OR(AP595="UNKNOWN",AR595="UNKNOWN",AT595="UNKNOWN",AV595="UNKNOWN",AX595="UNKNOWN",AZ595="UNKNOWN",BB595="UNKNOWN",BD595="UNKNOWN"),"INCOMPLETE","OK")))</f>
        <v/>
      </c>
      <c r="BF595">
        <f>IF($Z$595="absent","",AH595)</f>
        <v/>
      </c>
    </row>
    <row r="596">
      <c r="B596" s="8" t="inlineStr">
        <is>
          <t>Total Net Sales ex VAT</t>
        </is>
      </c>
      <c r="C596" s="52">
        <f>AQ595</f>
        <v/>
      </c>
      <c r="D596" s="53" t="n">
        <v>3181818.181818182</v>
      </c>
      <c r="E596" s="51">
        <f>IF(ISNUMBER(D596),IF(ISNUMBER(AQ595),ABS(AQ595-D596),"N/A"),"N/A")</f>
        <v/>
      </c>
      <c r="F596" s="15">
        <f>IFERROR(IF(ISNUMBER(D596),IF(ISNUMBER(AQ595),IF(ABS(AQ595-D596)&lt;=0.01,"PASS","FAIL"),"FAIL"),IF(NOT(ISNUMBER(AQ595)),IF(AQ595=D596,"PASS","FAIL"),"FAIL")),"FAIL")</f>
        <v/>
      </c>
      <c r="G596" s="16">
        <f>AR595</f>
        <v/>
      </c>
      <c r="H596" s="30" t="inlineStr">
        <is>
          <t>OK</t>
        </is>
      </c>
      <c r="I596" s="15">
        <f>IF(AR595=H596,"PASS","FAIL")</f>
        <v/>
      </c>
    </row>
    <row r="597">
      <c r="B597" s="8" t="inlineStr">
        <is>
          <t>Total Contribution Margin</t>
        </is>
      </c>
      <c r="C597" s="52">
        <f>AS595</f>
        <v/>
      </c>
      <c r="D597" s="53" t="n">
        <v>1594318.181818182</v>
      </c>
      <c r="E597" s="51">
        <f>IF(ISNUMBER(D597),IF(ISNUMBER(AS595),ABS(AS595-D597),"N/A"),"N/A")</f>
        <v/>
      </c>
      <c r="F597" s="15">
        <f>IFERROR(IF(ISNUMBER(D597),IF(ISNUMBER(AS595),IF(ABS(AS595-D597)&lt;=0.01,"PASS","FAIL"),"FAIL"),IF(NOT(ISNUMBER(AS595)),IF(AS595=D597,"PASS","FAIL"),"FAIL")),"FAIL")</f>
        <v/>
      </c>
      <c r="G597" s="16">
        <f>AT595</f>
        <v/>
      </c>
      <c r="H597" s="30" t="inlineStr">
        <is>
          <t>OK</t>
        </is>
      </c>
      <c r="I597" s="15">
        <f>IF(AT595=H597,"PASS","FAIL")</f>
        <v/>
      </c>
    </row>
    <row r="598">
      <c r="B598" s="8" t="inlineStr">
        <is>
          <t>Operating Profit</t>
        </is>
      </c>
      <c r="C598" s="52">
        <f>AU595</f>
        <v/>
      </c>
      <c r="D598" s="53" t="n">
        <v>-405681.8181818184</v>
      </c>
      <c r="E598" s="51">
        <f>IF(ISNUMBER(D598),IF(ISNUMBER(AU595),ABS(AU595-D598),"N/A"),"N/A")</f>
        <v/>
      </c>
      <c r="F598" s="15">
        <f>IFERROR(IF(ISNUMBER(D598),IF(ISNUMBER(AU595),IF(ABS(AU595-D598)&lt;=0.01,"PASS","FAIL"),"FAIL"),IF(NOT(ISNUMBER(AU595)),IF(AU595=D598,"PASS","FAIL"),"FAIL")),"FAIL")</f>
        <v/>
      </c>
      <c r="G598" s="16">
        <f>AV595</f>
        <v/>
      </c>
      <c r="H598" s="30" t="inlineStr">
        <is>
          <t>OK</t>
        </is>
      </c>
      <c r="I598" s="15">
        <f>IF(AV595=H598,"PASS","FAIL")</f>
        <v/>
      </c>
    </row>
    <row r="599">
      <c r="B599" s="8" t="inlineStr">
        <is>
          <t>Operating Profit Rate</t>
        </is>
      </c>
      <c r="C599" s="54">
        <f>AW595</f>
        <v/>
      </c>
      <c r="D599" s="55" t="n">
        <v>-0.1275000000000001</v>
      </c>
      <c r="E599" s="51">
        <f>IF(ISNUMBER(D599),IF(ISNUMBER(AW595),ABS(AW595-D599),"N/A"),"N/A")</f>
        <v/>
      </c>
      <c r="F599" s="15">
        <f>IFERROR(IF(ISNUMBER(D599),IF(ISNUMBER(AW595),IF(ABS(AW595-D599)&lt;=1e-06,"PASS","FAIL"),"FAIL"),IF(NOT(ISNUMBER(AW595)),IF(AW595=D599,"PASS","FAIL"),"FAIL")),"FAIL")</f>
        <v/>
      </c>
      <c r="G599" s="16">
        <f>AX595</f>
        <v/>
      </c>
      <c r="H599" s="30" t="inlineStr">
        <is>
          <t>OK</t>
        </is>
      </c>
      <c r="I599" s="15">
        <f>IF(AX595=H599,"PASS","FAIL")</f>
        <v/>
      </c>
    </row>
    <row r="600">
      <c r="B600" s="8" t="inlineStr">
        <is>
          <t>Break-Even Quantity (Q_BEP)</t>
        </is>
      </c>
      <c r="C600" s="25">
        <f>AY595</f>
        <v/>
      </c>
      <c r="D600" s="21" t="n">
        <v>125.4454739843193</v>
      </c>
      <c r="E600" s="51">
        <f>IF(ISNUMBER(D600),IF(ISNUMBER(AY595),ABS(AY595-D600),"N/A"),"N/A")</f>
        <v/>
      </c>
      <c r="F600" s="15">
        <f>IFERROR(IF(ISNUMBER(D600),IF(ISNUMBER(AY595),IF(ABS(AY595-D600)&lt;=0.01,"PASS","FAIL"),"FAIL"),IF(NOT(ISNUMBER(AY595)),IF(AY595=D600,"PASS","FAIL"),"FAIL")),"FAIL")</f>
        <v/>
      </c>
      <c r="G600" s="16">
        <f>AZ595</f>
        <v/>
      </c>
      <c r="H600" s="30" t="inlineStr">
        <is>
          <t>OK</t>
        </is>
      </c>
      <c r="I600" s="15">
        <f>IF(AZ595=H600,"PASS","FAIL")</f>
        <v/>
      </c>
    </row>
    <row r="601">
      <c r="B601" s="8" t="inlineStr">
        <is>
          <t>Margin of Safety Quantity</t>
        </is>
      </c>
      <c r="C601" s="25">
        <f>BA595</f>
        <v/>
      </c>
      <c r="D601" s="21" t="n">
        <v>-25.44547398431934</v>
      </c>
      <c r="E601" s="51">
        <f>IF(ISNUMBER(D601),IF(ISNUMBER(BA595),ABS(BA595-D601),"N/A"),"N/A")</f>
        <v/>
      </c>
      <c r="F601" s="15">
        <f>IFERROR(IF(ISNUMBER(D601),IF(ISNUMBER(BA595),IF(ABS(BA595-D601)&lt;=0.01,"PASS","FAIL"),"FAIL"),IF(NOT(ISNUMBER(BA595)),IF(BA595=D601,"PASS","FAIL"),"FAIL")),"FAIL")</f>
        <v/>
      </c>
      <c r="G601" s="16">
        <f>BB595</f>
        <v/>
      </c>
      <c r="H601" s="30" t="inlineStr">
        <is>
          <t>OK</t>
        </is>
      </c>
      <c r="I601" s="15">
        <f>IF(BB595=H601,"PASS","FAIL")</f>
        <v/>
      </c>
    </row>
    <row r="602">
      <c r="B602" s="8" t="inlineStr">
        <is>
          <t>Margin of Safety Rate</t>
        </is>
      </c>
      <c r="C602" s="54">
        <f>BC595</f>
        <v/>
      </c>
      <c r="D602" s="55" t="n">
        <v>-0.2544547398431933</v>
      </c>
      <c r="E602" s="51">
        <f>IF(ISNUMBER(D602),IF(ISNUMBER(BC595),ABS(BC595-D602),"N/A"),"N/A")</f>
        <v/>
      </c>
      <c r="F602" s="15">
        <f>IFERROR(IF(ISNUMBER(D602),IF(ISNUMBER(BC595),IF(ABS(BC595-D602)&lt;=1e-06,"PASS","FAIL"),"FAIL"),IF(NOT(ISNUMBER(BC595)),IF(BC595=D602,"PASS","FAIL"),"FAIL")),"FAIL")</f>
        <v/>
      </c>
      <c r="G602" s="16">
        <f>BD595</f>
        <v/>
      </c>
      <c r="H602" s="30" t="inlineStr">
        <is>
          <t>OK</t>
        </is>
      </c>
      <c r="I602" s="15">
        <f>IF(BD595=H602,"PASS","FAIL")</f>
        <v/>
      </c>
    </row>
    <row r="603">
      <c r="B603" s="8" t="inlineStr">
        <is>
          <t>Module Status</t>
        </is>
      </c>
      <c r="C603" s="16">
        <f>BE595</f>
        <v/>
      </c>
      <c r="D603" s="30" t="inlineStr">
        <is>
          <t>OK</t>
        </is>
      </c>
      <c r="F603" s="15">
        <f>IF(BE595=D603,"PASS","FAIL")</f>
        <v/>
      </c>
    </row>
    <row r="604">
      <c r="B604" s="8" t="inlineStr">
        <is>
          <t>Analysis Period Basis</t>
        </is>
      </c>
      <c r="C604" s="16">
        <f>BF595</f>
        <v/>
      </c>
      <c r="D604" s="30" t="inlineStr">
        <is>
          <t>per_month</t>
        </is>
      </c>
      <c r="F604" s="15">
        <f>IF(BF595=D604,"PASS","FAIL")</f>
        <v/>
      </c>
    </row>
    <row r="605">
      <c r="B605" s="8" t="inlineStr">
        <is>
          <t>Self-Check: |MoS qty × CMu − Operating Profit| ≤ tol</t>
        </is>
      </c>
      <c r="C605" s="36">
        <f>IF(OR(NOT(ISNUMBER(BA595)),NOT(ISNUMBER(AN595)),NOT(ISNUMBER(AU595))),"SKIP",IF(ABS(BA595*AN595-AU595)&lt;=0.01,"PASS","FAIL"))</f>
        <v/>
      </c>
      <c r="D605" s="34" t="n"/>
      <c r="F605" s="15">
        <f>IF(C605="FAIL","FAIL","PASS")</f>
        <v/>
      </c>
    </row>
    <row r="607" ht="20" customHeight="1">
      <c r="B607" s="2" t="inlineStr">
        <is>
          <t>Overall (43/43 scenarios live Excel evaluation)</t>
        </is>
      </c>
      <c r="C607" s="7" t="n"/>
    </row>
    <row r="608">
      <c r="B608" s="8" t="inlineStr">
        <is>
          <t>All values/statuses/module/basis/self-check PASS?</t>
        </is>
      </c>
      <c r="C608" s="15">
        <f>IF(COUNTIF(F7:I605,"FAIL")=0,"ALL PASS","SOME FAILED")</f>
        <v/>
      </c>
    </row>
  </sheetData>
  <mergeCells count="89">
    <mergeCell ref="C381:D381"/>
    <mergeCell ref="B411:I411"/>
    <mergeCell ref="B159:I159"/>
    <mergeCell ref="C549:D549"/>
    <mergeCell ref="C73:D73"/>
    <mergeCell ref="C171:D171"/>
    <mergeCell ref="C591:D591"/>
    <mergeCell ref="B341:I341"/>
    <mergeCell ref="B145:I145"/>
    <mergeCell ref="C577:D577"/>
    <mergeCell ref="B481:I481"/>
    <mergeCell ref="B19:I19"/>
    <mergeCell ref="C17:D17"/>
    <mergeCell ref="B593:I593"/>
    <mergeCell ref="B187:I187"/>
    <mergeCell ref="B201:I201"/>
    <mergeCell ref="B5:I5"/>
    <mergeCell ref="B383:I383"/>
    <mergeCell ref="C367:D367"/>
    <mergeCell ref="B173:I173"/>
    <mergeCell ref="B271:I271"/>
    <mergeCell ref="B75:I75"/>
    <mergeCell ref="B47:I47"/>
    <mergeCell ref="C45:D45"/>
    <mergeCell ref="C185:D185"/>
    <mergeCell ref="B439:I439"/>
    <mergeCell ref="B215:I215"/>
    <mergeCell ref="C353:D353"/>
    <mergeCell ref="C451:D451"/>
    <mergeCell ref="C227:D227"/>
    <mergeCell ref="B425:I425"/>
    <mergeCell ref="B229:I229"/>
    <mergeCell ref="B299:I299"/>
    <mergeCell ref="B243:I243"/>
    <mergeCell ref="B467:I467"/>
    <mergeCell ref="C479:D479"/>
    <mergeCell ref="B285:I285"/>
    <mergeCell ref="B33:I33"/>
    <mergeCell ref="C423:D423"/>
    <mergeCell ref="B607:C607"/>
    <mergeCell ref="C465:D465"/>
    <mergeCell ref="C157:D157"/>
    <mergeCell ref="B327:I327"/>
    <mergeCell ref="C325:D325"/>
    <mergeCell ref="B509:I509"/>
    <mergeCell ref="C143:D143"/>
    <mergeCell ref="B117:I117"/>
    <mergeCell ref="C507:D507"/>
    <mergeCell ref="B551:I551"/>
    <mergeCell ref="C563:D563"/>
    <mergeCell ref="C311:D311"/>
    <mergeCell ref="C255:D255"/>
    <mergeCell ref="B61:I61"/>
    <mergeCell ref="C31:D31"/>
    <mergeCell ref="C129:D129"/>
    <mergeCell ref="C59:D59"/>
    <mergeCell ref="B579:I579"/>
    <mergeCell ref="C605:D605"/>
    <mergeCell ref="C297:D297"/>
    <mergeCell ref="B103:I103"/>
    <mergeCell ref="C241:D241"/>
    <mergeCell ref="B565:I565"/>
    <mergeCell ref="B313:I313"/>
    <mergeCell ref="C283:D283"/>
    <mergeCell ref="B89:I89"/>
    <mergeCell ref="B453:I453"/>
    <mergeCell ref="C101:D101"/>
    <mergeCell ref="B355:I355"/>
    <mergeCell ref="C493:D493"/>
    <mergeCell ref="C269:D269"/>
    <mergeCell ref="B3:I3"/>
    <mergeCell ref="B537:I537"/>
    <mergeCell ref="B131:I131"/>
    <mergeCell ref="C535:D535"/>
    <mergeCell ref="B2:I2"/>
    <mergeCell ref="B523:I523"/>
    <mergeCell ref="C521:D521"/>
    <mergeCell ref="B495:I495"/>
    <mergeCell ref="C115:D115"/>
    <mergeCell ref="C213:D213"/>
    <mergeCell ref="C409:D409"/>
    <mergeCell ref="B397:I397"/>
    <mergeCell ref="B257:I257"/>
    <mergeCell ref="C395:D395"/>
    <mergeCell ref="C199:D199"/>
    <mergeCell ref="B369:I369"/>
    <mergeCell ref="C339:D339"/>
    <mergeCell ref="C437:D437"/>
    <mergeCell ref="C87:D87"/>
  </mergeCells>
  <conditionalFormatting sqref="F7">
    <cfRule type="expression" priority="1" dxfId="0">
      <formula>F7="FAIL"</formula>
    </cfRule>
    <cfRule type="expression" priority="2" dxfId="1">
      <formula>F7="PASS"</formula>
    </cfRule>
  </conditionalFormatting>
  <conditionalFormatting sqref="I7">
    <cfRule type="expression" priority="3" dxfId="0">
      <formula>I7="FAIL"</formula>
    </cfRule>
    <cfRule type="expression" priority="4" dxfId="1">
      <formula>I7="PASS"</formula>
    </cfRule>
  </conditionalFormatting>
  <conditionalFormatting sqref="F8">
    <cfRule type="expression" priority="5" dxfId="0">
      <formula>F8="FAIL"</formula>
    </cfRule>
    <cfRule type="expression" priority="6" dxfId="1">
      <formula>F8="PASS"</formula>
    </cfRule>
  </conditionalFormatting>
  <conditionalFormatting sqref="I8">
    <cfRule type="expression" priority="7" dxfId="0">
      <formula>I8="FAIL"</formula>
    </cfRule>
    <cfRule type="expression" priority="8" dxfId="1">
      <formula>I8="PASS"</formula>
    </cfRule>
  </conditionalFormatting>
  <conditionalFormatting sqref="F9">
    <cfRule type="expression" priority="9" dxfId="0">
      <formula>F9="FAIL"</formula>
    </cfRule>
    <cfRule type="expression" priority="10" dxfId="1">
      <formula>F9="PASS"</formula>
    </cfRule>
  </conditionalFormatting>
  <conditionalFormatting sqref="I9">
    <cfRule type="expression" priority="11" dxfId="0">
      <formula>I9="FAIL"</formula>
    </cfRule>
    <cfRule type="expression" priority="12" dxfId="1">
      <formula>I9="PASS"</formula>
    </cfRule>
  </conditionalFormatting>
  <conditionalFormatting sqref="F10">
    <cfRule type="expression" priority="13" dxfId="0">
      <formula>F10="FAIL"</formula>
    </cfRule>
    <cfRule type="expression" priority="14" dxfId="1">
      <formula>F10="PASS"</formula>
    </cfRule>
  </conditionalFormatting>
  <conditionalFormatting sqref="I10">
    <cfRule type="expression" priority="15" dxfId="0">
      <formula>I10="FAIL"</formula>
    </cfRule>
    <cfRule type="expression" priority="16" dxfId="1">
      <formula>I10="PASS"</formula>
    </cfRule>
  </conditionalFormatting>
  <conditionalFormatting sqref="F11">
    <cfRule type="expression" priority="17" dxfId="0">
      <formula>F11="FAIL"</formula>
    </cfRule>
    <cfRule type="expression" priority="18" dxfId="1">
      <formula>F11="PASS"</formula>
    </cfRule>
  </conditionalFormatting>
  <conditionalFormatting sqref="I11">
    <cfRule type="expression" priority="19" dxfId="0">
      <formula>I11="FAIL"</formula>
    </cfRule>
    <cfRule type="expression" priority="20" dxfId="1">
      <formula>I11="PASS"</formula>
    </cfRule>
  </conditionalFormatting>
  <conditionalFormatting sqref="F12">
    <cfRule type="expression" priority="21" dxfId="0">
      <formula>F12="FAIL"</formula>
    </cfRule>
    <cfRule type="expression" priority="22" dxfId="1">
      <formula>F12="PASS"</formula>
    </cfRule>
  </conditionalFormatting>
  <conditionalFormatting sqref="I12">
    <cfRule type="expression" priority="23" dxfId="0">
      <formula>I12="FAIL"</formula>
    </cfRule>
    <cfRule type="expression" priority="24" dxfId="1">
      <formula>I12="PASS"</formula>
    </cfRule>
  </conditionalFormatting>
  <conditionalFormatting sqref="F13">
    <cfRule type="expression" priority="25" dxfId="0">
      <formula>F13="FAIL"</formula>
    </cfRule>
    <cfRule type="expression" priority="26" dxfId="1">
      <formula>F13="PASS"</formula>
    </cfRule>
  </conditionalFormatting>
  <conditionalFormatting sqref="I13">
    <cfRule type="expression" priority="27" dxfId="0">
      <formula>I13="FAIL"</formula>
    </cfRule>
    <cfRule type="expression" priority="28" dxfId="1">
      <formula>I13="PASS"</formula>
    </cfRule>
  </conditionalFormatting>
  <conditionalFormatting sqref="F14">
    <cfRule type="expression" priority="29" dxfId="0">
      <formula>F14="FAIL"</formula>
    </cfRule>
    <cfRule type="expression" priority="30" dxfId="1">
      <formula>F14="PASS"</formula>
    </cfRule>
  </conditionalFormatting>
  <conditionalFormatting sqref="I14">
    <cfRule type="expression" priority="31" dxfId="0">
      <formula>I14="FAIL"</formula>
    </cfRule>
    <cfRule type="expression" priority="32" dxfId="1">
      <formula>I14="PASS"</formula>
    </cfRule>
  </conditionalFormatting>
  <conditionalFormatting sqref="F15">
    <cfRule type="expression" priority="33" dxfId="0">
      <formula>F15="FAIL"</formula>
    </cfRule>
    <cfRule type="expression" priority="34" dxfId="1">
      <formula>F15="PASS"</formula>
    </cfRule>
  </conditionalFormatting>
  <conditionalFormatting sqref="F16">
    <cfRule type="expression" priority="35" dxfId="0">
      <formula>F16="FAIL"</formula>
    </cfRule>
    <cfRule type="expression" priority="36" dxfId="1">
      <formula>F16="PASS"</formula>
    </cfRule>
  </conditionalFormatting>
  <conditionalFormatting sqref="F17">
    <cfRule type="expression" priority="37" dxfId="0">
      <formula>F17="FAIL"</formula>
    </cfRule>
    <cfRule type="expression" priority="38" dxfId="1">
      <formula>F17="PASS"</formula>
    </cfRule>
  </conditionalFormatting>
  <conditionalFormatting sqref="F21">
    <cfRule type="expression" priority="39" dxfId="0">
      <formula>F21="FAIL"</formula>
    </cfRule>
    <cfRule type="expression" priority="40" dxfId="1">
      <formula>F21="PASS"</formula>
    </cfRule>
  </conditionalFormatting>
  <conditionalFormatting sqref="I21">
    <cfRule type="expression" priority="41" dxfId="0">
      <formula>I21="FAIL"</formula>
    </cfRule>
    <cfRule type="expression" priority="42" dxfId="1">
      <formula>I21="PASS"</formula>
    </cfRule>
  </conditionalFormatting>
  <conditionalFormatting sqref="F22">
    <cfRule type="expression" priority="43" dxfId="0">
      <formula>F22="FAIL"</formula>
    </cfRule>
    <cfRule type="expression" priority="44" dxfId="1">
      <formula>F22="PASS"</formula>
    </cfRule>
  </conditionalFormatting>
  <conditionalFormatting sqref="I22">
    <cfRule type="expression" priority="45" dxfId="0">
      <formula>I22="FAIL"</formula>
    </cfRule>
    <cfRule type="expression" priority="46" dxfId="1">
      <formula>I22="PASS"</formula>
    </cfRule>
  </conditionalFormatting>
  <conditionalFormatting sqref="F23">
    <cfRule type="expression" priority="47" dxfId="0">
      <formula>F23="FAIL"</formula>
    </cfRule>
    <cfRule type="expression" priority="48" dxfId="1">
      <formula>F23="PASS"</formula>
    </cfRule>
  </conditionalFormatting>
  <conditionalFormatting sqref="I23">
    <cfRule type="expression" priority="49" dxfId="0">
      <formula>I23="FAIL"</formula>
    </cfRule>
    <cfRule type="expression" priority="50" dxfId="1">
      <formula>I23="PASS"</formula>
    </cfRule>
  </conditionalFormatting>
  <conditionalFormatting sqref="F24">
    <cfRule type="expression" priority="51" dxfId="0">
      <formula>F24="FAIL"</formula>
    </cfRule>
    <cfRule type="expression" priority="52" dxfId="1">
      <formula>F24="PASS"</formula>
    </cfRule>
  </conditionalFormatting>
  <conditionalFormatting sqref="I24">
    <cfRule type="expression" priority="53" dxfId="0">
      <formula>I24="FAIL"</formula>
    </cfRule>
    <cfRule type="expression" priority="54" dxfId="1">
      <formula>I24="PASS"</formula>
    </cfRule>
  </conditionalFormatting>
  <conditionalFormatting sqref="F25">
    <cfRule type="expression" priority="55" dxfId="0">
      <formula>F25="FAIL"</formula>
    </cfRule>
    <cfRule type="expression" priority="56" dxfId="1">
      <formula>F25="PASS"</formula>
    </cfRule>
  </conditionalFormatting>
  <conditionalFormatting sqref="I25">
    <cfRule type="expression" priority="57" dxfId="0">
      <formula>I25="FAIL"</formula>
    </cfRule>
    <cfRule type="expression" priority="58" dxfId="1">
      <formula>I25="PASS"</formula>
    </cfRule>
  </conditionalFormatting>
  <conditionalFormatting sqref="F26">
    <cfRule type="expression" priority="59" dxfId="0">
      <formula>F26="FAIL"</formula>
    </cfRule>
    <cfRule type="expression" priority="60" dxfId="1">
      <formula>F26="PASS"</formula>
    </cfRule>
  </conditionalFormatting>
  <conditionalFormatting sqref="I26">
    <cfRule type="expression" priority="61" dxfId="0">
      <formula>I26="FAIL"</formula>
    </cfRule>
    <cfRule type="expression" priority="62" dxfId="1">
      <formula>I26="PASS"</formula>
    </cfRule>
  </conditionalFormatting>
  <conditionalFormatting sqref="F27">
    <cfRule type="expression" priority="63" dxfId="0">
      <formula>F27="FAIL"</formula>
    </cfRule>
    <cfRule type="expression" priority="64" dxfId="1">
      <formula>F27="PASS"</formula>
    </cfRule>
  </conditionalFormatting>
  <conditionalFormatting sqref="I27">
    <cfRule type="expression" priority="65" dxfId="0">
      <formula>I27="FAIL"</formula>
    </cfRule>
    <cfRule type="expression" priority="66" dxfId="1">
      <formula>I27="PASS"</formula>
    </cfRule>
  </conditionalFormatting>
  <conditionalFormatting sqref="F28">
    <cfRule type="expression" priority="67" dxfId="0">
      <formula>F28="FAIL"</formula>
    </cfRule>
    <cfRule type="expression" priority="68" dxfId="1">
      <formula>F28="PASS"</formula>
    </cfRule>
  </conditionalFormatting>
  <conditionalFormatting sqref="I28">
    <cfRule type="expression" priority="69" dxfId="0">
      <formula>I28="FAIL"</formula>
    </cfRule>
    <cfRule type="expression" priority="70" dxfId="1">
      <formula>I28="PASS"</formula>
    </cfRule>
  </conditionalFormatting>
  <conditionalFormatting sqref="F29">
    <cfRule type="expression" priority="71" dxfId="0">
      <formula>F29="FAIL"</formula>
    </cfRule>
    <cfRule type="expression" priority="72" dxfId="1">
      <formula>F29="PASS"</formula>
    </cfRule>
  </conditionalFormatting>
  <conditionalFormatting sqref="F30">
    <cfRule type="expression" priority="73" dxfId="0">
      <formula>F30="FAIL"</formula>
    </cfRule>
    <cfRule type="expression" priority="74" dxfId="1">
      <formula>F30="PASS"</formula>
    </cfRule>
  </conditionalFormatting>
  <conditionalFormatting sqref="F31">
    <cfRule type="expression" priority="75" dxfId="0">
      <formula>F31="FAIL"</formula>
    </cfRule>
    <cfRule type="expression" priority="76" dxfId="1">
      <formula>F31="PASS"</formula>
    </cfRule>
  </conditionalFormatting>
  <conditionalFormatting sqref="F35">
    <cfRule type="expression" priority="77" dxfId="0">
      <formula>F35="FAIL"</formula>
    </cfRule>
    <cfRule type="expression" priority="78" dxfId="1">
      <formula>F35="PASS"</formula>
    </cfRule>
  </conditionalFormatting>
  <conditionalFormatting sqref="I35">
    <cfRule type="expression" priority="79" dxfId="0">
      <formula>I35="FAIL"</formula>
    </cfRule>
    <cfRule type="expression" priority="80" dxfId="1">
      <formula>I35="PASS"</formula>
    </cfRule>
  </conditionalFormatting>
  <conditionalFormatting sqref="F36">
    <cfRule type="expression" priority="81" dxfId="0">
      <formula>F36="FAIL"</formula>
    </cfRule>
    <cfRule type="expression" priority="82" dxfId="1">
      <formula>F36="PASS"</formula>
    </cfRule>
  </conditionalFormatting>
  <conditionalFormatting sqref="I36">
    <cfRule type="expression" priority="83" dxfId="0">
      <formula>I36="FAIL"</formula>
    </cfRule>
    <cfRule type="expression" priority="84" dxfId="1">
      <formula>I36="PASS"</formula>
    </cfRule>
  </conditionalFormatting>
  <conditionalFormatting sqref="F37">
    <cfRule type="expression" priority="85" dxfId="0">
      <formula>F37="FAIL"</formula>
    </cfRule>
    <cfRule type="expression" priority="86" dxfId="1">
      <formula>F37="PASS"</formula>
    </cfRule>
  </conditionalFormatting>
  <conditionalFormatting sqref="I37">
    <cfRule type="expression" priority="87" dxfId="0">
      <formula>I37="FAIL"</formula>
    </cfRule>
    <cfRule type="expression" priority="88" dxfId="1">
      <formula>I37="PASS"</formula>
    </cfRule>
  </conditionalFormatting>
  <conditionalFormatting sqref="F38">
    <cfRule type="expression" priority="89" dxfId="0">
      <formula>F38="FAIL"</formula>
    </cfRule>
    <cfRule type="expression" priority="90" dxfId="1">
      <formula>F38="PASS"</formula>
    </cfRule>
  </conditionalFormatting>
  <conditionalFormatting sqref="I38">
    <cfRule type="expression" priority="91" dxfId="0">
      <formula>I38="FAIL"</formula>
    </cfRule>
    <cfRule type="expression" priority="92" dxfId="1">
      <formula>I38="PASS"</formula>
    </cfRule>
  </conditionalFormatting>
  <conditionalFormatting sqref="F39">
    <cfRule type="expression" priority="93" dxfId="0">
      <formula>F39="FAIL"</formula>
    </cfRule>
    <cfRule type="expression" priority="94" dxfId="1">
      <formula>F39="PASS"</formula>
    </cfRule>
  </conditionalFormatting>
  <conditionalFormatting sqref="I39">
    <cfRule type="expression" priority="95" dxfId="0">
      <formula>I39="FAIL"</formula>
    </cfRule>
    <cfRule type="expression" priority="96" dxfId="1">
      <formula>I39="PASS"</formula>
    </cfRule>
  </conditionalFormatting>
  <conditionalFormatting sqref="F40">
    <cfRule type="expression" priority="97" dxfId="0">
      <formula>F40="FAIL"</formula>
    </cfRule>
    <cfRule type="expression" priority="98" dxfId="1">
      <formula>F40="PASS"</formula>
    </cfRule>
  </conditionalFormatting>
  <conditionalFormatting sqref="I40">
    <cfRule type="expression" priority="99" dxfId="0">
      <formula>I40="FAIL"</formula>
    </cfRule>
    <cfRule type="expression" priority="100" dxfId="1">
      <formula>I40="PASS"</formula>
    </cfRule>
  </conditionalFormatting>
  <conditionalFormatting sqref="F41">
    <cfRule type="expression" priority="101" dxfId="0">
      <formula>F41="FAIL"</formula>
    </cfRule>
    <cfRule type="expression" priority="102" dxfId="1">
      <formula>F41="PASS"</formula>
    </cfRule>
  </conditionalFormatting>
  <conditionalFormatting sqref="I41">
    <cfRule type="expression" priority="103" dxfId="0">
      <formula>I41="FAIL"</formula>
    </cfRule>
    <cfRule type="expression" priority="104" dxfId="1">
      <formula>I41="PASS"</formula>
    </cfRule>
  </conditionalFormatting>
  <conditionalFormatting sqref="F42">
    <cfRule type="expression" priority="105" dxfId="0">
      <formula>F42="FAIL"</formula>
    </cfRule>
    <cfRule type="expression" priority="106" dxfId="1">
      <formula>F42="PASS"</formula>
    </cfRule>
  </conditionalFormatting>
  <conditionalFormatting sqref="I42">
    <cfRule type="expression" priority="107" dxfId="0">
      <formula>I42="FAIL"</formula>
    </cfRule>
    <cfRule type="expression" priority="108" dxfId="1">
      <formula>I42="PASS"</formula>
    </cfRule>
  </conditionalFormatting>
  <conditionalFormatting sqref="F43">
    <cfRule type="expression" priority="109" dxfId="0">
      <formula>F43="FAIL"</formula>
    </cfRule>
    <cfRule type="expression" priority="110" dxfId="1">
      <formula>F43="PASS"</formula>
    </cfRule>
  </conditionalFormatting>
  <conditionalFormatting sqref="F44">
    <cfRule type="expression" priority="111" dxfId="0">
      <formula>F44="FAIL"</formula>
    </cfRule>
    <cfRule type="expression" priority="112" dxfId="1">
      <formula>F44="PASS"</formula>
    </cfRule>
  </conditionalFormatting>
  <conditionalFormatting sqref="F45">
    <cfRule type="expression" priority="113" dxfId="0">
      <formula>F45="FAIL"</formula>
    </cfRule>
    <cfRule type="expression" priority="114" dxfId="1">
      <formula>F45="PASS"</formula>
    </cfRule>
  </conditionalFormatting>
  <conditionalFormatting sqref="F49">
    <cfRule type="expression" priority="115" dxfId="0">
      <formula>F49="FAIL"</formula>
    </cfRule>
    <cfRule type="expression" priority="116" dxfId="1">
      <formula>F49="PASS"</formula>
    </cfRule>
  </conditionalFormatting>
  <conditionalFormatting sqref="I49">
    <cfRule type="expression" priority="117" dxfId="0">
      <formula>I49="FAIL"</formula>
    </cfRule>
    <cfRule type="expression" priority="118" dxfId="1">
      <formula>I49="PASS"</formula>
    </cfRule>
  </conditionalFormatting>
  <conditionalFormatting sqref="F50">
    <cfRule type="expression" priority="119" dxfId="0">
      <formula>F50="FAIL"</formula>
    </cfRule>
    <cfRule type="expression" priority="120" dxfId="1">
      <formula>F50="PASS"</formula>
    </cfRule>
  </conditionalFormatting>
  <conditionalFormatting sqref="I50">
    <cfRule type="expression" priority="121" dxfId="0">
      <formula>I50="FAIL"</formula>
    </cfRule>
    <cfRule type="expression" priority="122" dxfId="1">
      <formula>I50="PASS"</formula>
    </cfRule>
  </conditionalFormatting>
  <conditionalFormatting sqref="F51">
    <cfRule type="expression" priority="123" dxfId="0">
      <formula>F51="FAIL"</formula>
    </cfRule>
    <cfRule type="expression" priority="124" dxfId="1">
      <formula>F51="PASS"</formula>
    </cfRule>
  </conditionalFormatting>
  <conditionalFormatting sqref="I51">
    <cfRule type="expression" priority="125" dxfId="0">
      <formula>I51="FAIL"</formula>
    </cfRule>
    <cfRule type="expression" priority="126" dxfId="1">
      <formula>I51="PASS"</formula>
    </cfRule>
  </conditionalFormatting>
  <conditionalFormatting sqref="F52">
    <cfRule type="expression" priority="127" dxfId="0">
      <formula>F52="FAIL"</formula>
    </cfRule>
    <cfRule type="expression" priority="128" dxfId="1">
      <formula>F52="PASS"</formula>
    </cfRule>
  </conditionalFormatting>
  <conditionalFormatting sqref="I52">
    <cfRule type="expression" priority="129" dxfId="0">
      <formula>I52="FAIL"</formula>
    </cfRule>
    <cfRule type="expression" priority="130" dxfId="1">
      <formula>I52="PASS"</formula>
    </cfRule>
  </conditionalFormatting>
  <conditionalFormatting sqref="F53">
    <cfRule type="expression" priority="131" dxfId="0">
      <formula>F53="FAIL"</formula>
    </cfRule>
    <cfRule type="expression" priority="132" dxfId="1">
      <formula>F53="PASS"</formula>
    </cfRule>
  </conditionalFormatting>
  <conditionalFormatting sqref="I53">
    <cfRule type="expression" priority="133" dxfId="0">
      <formula>I53="FAIL"</formula>
    </cfRule>
    <cfRule type="expression" priority="134" dxfId="1">
      <formula>I53="PASS"</formula>
    </cfRule>
  </conditionalFormatting>
  <conditionalFormatting sqref="F54">
    <cfRule type="expression" priority="135" dxfId="0">
      <formula>F54="FAIL"</formula>
    </cfRule>
    <cfRule type="expression" priority="136" dxfId="1">
      <formula>F54="PASS"</formula>
    </cfRule>
  </conditionalFormatting>
  <conditionalFormatting sqref="I54">
    <cfRule type="expression" priority="137" dxfId="0">
      <formula>I54="FAIL"</formula>
    </cfRule>
    <cfRule type="expression" priority="138" dxfId="1">
      <formula>I54="PASS"</formula>
    </cfRule>
  </conditionalFormatting>
  <conditionalFormatting sqref="F55">
    <cfRule type="expression" priority="139" dxfId="0">
      <formula>F55="FAIL"</formula>
    </cfRule>
    <cfRule type="expression" priority="140" dxfId="1">
      <formula>F55="PASS"</formula>
    </cfRule>
  </conditionalFormatting>
  <conditionalFormatting sqref="I55">
    <cfRule type="expression" priority="141" dxfId="0">
      <formula>I55="FAIL"</formula>
    </cfRule>
    <cfRule type="expression" priority="142" dxfId="1">
      <formula>I55="PASS"</formula>
    </cfRule>
  </conditionalFormatting>
  <conditionalFormatting sqref="F56">
    <cfRule type="expression" priority="143" dxfId="0">
      <formula>F56="FAIL"</formula>
    </cfRule>
    <cfRule type="expression" priority="144" dxfId="1">
      <formula>F56="PASS"</formula>
    </cfRule>
  </conditionalFormatting>
  <conditionalFormatting sqref="I56">
    <cfRule type="expression" priority="145" dxfId="0">
      <formula>I56="FAIL"</formula>
    </cfRule>
    <cfRule type="expression" priority="146" dxfId="1">
      <formula>I56="PASS"</formula>
    </cfRule>
  </conditionalFormatting>
  <conditionalFormatting sqref="F57">
    <cfRule type="expression" priority="147" dxfId="0">
      <formula>F57="FAIL"</formula>
    </cfRule>
    <cfRule type="expression" priority="148" dxfId="1">
      <formula>F57="PASS"</formula>
    </cfRule>
  </conditionalFormatting>
  <conditionalFormatting sqref="F58">
    <cfRule type="expression" priority="149" dxfId="0">
      <formula>F58="FAIL"</formula>
    </cfRule>
    <cfRule type="expression" priority="150" dxfId="1">
      <formula>F58="PASS"</formula>
    </cfRule>
  </conditionalFormatting>
  <conditionalFormatting sqref="F59">
    <cfRule type="expression" priority="151" dxfId="0">
      <formula>F59="FAIL"</formula>
    </cfRule>
    <cfRule type="expression" priority="152" dxfId="1">
      <formula>F59="PASS"</formula>
    </cfRule>
  </conditionalFormatting>
  <conditionalFormatting sqref="F63">
    <cfRule type="expression" priority="153" dxfId="0">
      <formula>F63="FAIL"</formula>
    </cfRule>
    <cfRule type="expression" priority="154" dxfId="1">
      <formula>F63="PASS"</formula>
    </cfRule>
  </conditionalFormatting>
  <conditionalFormatting sqref="I63">
    <cfRule type="expression" priority="155" dxfId="0">
      <formula>I63="FAIL"</formula>
    </cfRule>
    <cfRule type="expression" priority="156" dxfId="1">
      <formula>I63="PASS"</formula>
    </cfRule>
  </conditionalFormatting>
  <conditionalFormatting sqref="F64">
    <cfRule type="expression" priority="157" dxfId="0">
      <formula>F64="FAIL"</formula>
    </cfRule>
    <cfRule type="expression" priority="158" dxfId="1">
      <formula>F64="PASS"</formula>
    </cfRule>
  </conditionalFormatting>
  <conditionalFormatting sqref="I64">
    <cfRule type="expression" priority="159" dxfId="0">
      <formula>I64="FAIL"</formula>
    </cfRule>
    <cfRule type="expression" priority="160" dxfId="1">
      <formula>I64="PASS"</formula>
    </cfRule>
  </conditionalFormatting>
  <conditionalFormatting sqref="F65">
    <cfRule type="expression" priority="161" dxfId="0">
      <formula>F65="FAIL"</formula>
    </cfRule>
    <cfRule type="expression" priority="162" dxfId="1">
      <formula>F65="PASS"</formula>
    </cfRule>
  </conditionalFormatting>
  <conditionalFormatting sqref="I65">
    <cfRule type="expression" priority="163" dxfId="0">
      <formula>I65="FAIL"</formula>
    </cfRule>
    <cfRule type="expression" priority="164" dxfId="1">
      <formula>I65="PASS"</formula>
    </cfRule>
  </conditionalFormatting>
  <conditionalFormatting sqref="F66">
    <cfRule type="expression" priority="165" dxfId="0">
      <formula>F66="FAIL"</formula>
    </cfRule>
    <cfRule type="expression" priority="166" dxfId="1">
      <formula>F66="PASS"</formula>
    </cfRule>
  </conditionalFormatting>
  <conditionalFormatting sqref="I66">
    <cfRule type="expression" priority="167" dxfId="0">
      <formula>I66="FAIL"</formula>
    </cfRule>
    <cfRule type="expression" priority="168" dxfId="1">
      <formula>I66="PASS"</formula>
    </cfRule>
  </conditionalFormatting>
  <conditionalFormatting sqref="F67">
    <cfRule type="expression" priority="169" dxfId="0">
      <formula>F67="FAIL"</formula>
    </cfRule>
    <cfRule type="expression" priority="170" dxfId="1">
      <formula>F67="PASS"</formula>
    </cfRule>
  </conditionalFormatting>
  <conditionalFormatting sqref="I67">
    <cfRule type="expression" priority="171" dxfId="0">
      <formula>I67="FAIL"</formula>
    </cfRule>
    <cfRule type="expression" priority="172" dxfId="1">
      <formula>I67="PASS"</formula>
    </cfRule>
  </conditionalFormatting>
  <conditionalFormatting sqref="F68">
    <cfRule type="expression" priority="173" dxfId="0">
      <formula>F68="FAIL"</formula>
    </cfRule>
    <cfRule type="expression" priority="174" dxfId="1">
      <formula>F68="PASS"</formula>
    </cfRule>
  </conditionalFormatting>
  <conditionalFormatting sqref="I68">
    <cfRule type="expression" priority="175" dxfId="0">
      <formula>I68="FAIL"</formula>
    </cfRule>
    <cfRule type="expression" priority="176" dxfId="1">
      <formula>I68="PASS"</formula>
    </cfRule>
  </conditionalFormatting>
  <conditionalFormatting sqref="F69">
    <cfRule type="expression" priority="177" dxfId="0">
      <formula>F69="FAIL"</formula>
    </cfRule>
    <cfRule type="expression" priority="178" dxfId="1">
      <formula>F69="PASS"</formula>
    </cfRule>
  </conditionalFormatting>
  <conditionalFormatting sqref="I69">
    <cfRule type="expression" priority="179" dxfId="0">
      <formula>I69="FAIL"</formula>
    </cfRule>
    <cfRule type="expression" priority="180" dxfId="1">
      <formula>I69="PASS"</formula>
    </cfRule>
  </conditionalFormatting>
  <conditionalFormatting sqref="F70">
    <cfRule type="expression" priority="181" dxfId="0">
      <formula>F70="FAIL"</formula>
    </cfRule>
    <cfRule type="expression" priority="182" dxfId="1">
      <formula>F70="PASS"</formula>
    </cfRule>
  </conditionalFormatting>
  <conditionalFormatting sqref="I70">
    <cfRule type="expression" priority="183" dxfId="0">
      <formula>I70="FAIL"</formula>
    </cfRule>
    <cfRule type="expression" priority="184" dxfId="1">
      <formula>I70="PASS"</formula>
    </cfRule>
  </conditionalFormatting>
  <conditionalFormatting sqref="F71">
    <cfRule type="expression" priority="185" dxfId="0">
      <formula>F71="FAIL"</formula>
    </cfRule>
    <cfRule type="expression" priority="186" dxfId="1">
      <formula>F71="PASS"</formula>
    </cfRule>
  </conditionalFormatting>
  <conditionalFormatting sqref="F72">
    <cfRule type="expression" priority="187" dxfId="0">
      <formula>F72="FAIL"</formula>
    </cfRule>
    <cfRule type="expression" priority="188" dxfId="1">
      <formula>F72="PASS"</formula>
    </cfRule>
  </conditionalFormatting>
  <conditionalFormatting sqref="F73">
    <cfRule type="expression" priority="189" dxfId="0">
      <formula>F73="FAIL"</formula>
    </cfRule>
    <cfRule type="expression" priority="190" dxfId="1">
      <formula>F73="PASS"</formula>
    </cfRule>
  </conditionalFormatting>
  <conditionalFormatting sqref="F77">
    <cfRule type="expression" priority="191" dxfId="0">
      <formula>F77="FAIL"</formula>
    </cfRule>
    <cfRule type="expression" priority="192" dxfId="1">
      <formula>F77="PASS"</formula>
    </cfRule>
  </conditionalFormatting>
  <conditionalFormatting sqref="I77">
    <cfRule type="expression" priority="193" dxfId="0">
      <formula>I77="FAIL"</formula>
    </cfRule>
    <cfRule type="expression" priority="194" dxfId="1">
      <formula>I77="PASS"</formula>
    </cfRule>
  </conditionalFormatting>
  <conditionalFormatting sqref="F78">
    <cfRule type="expression" priority="195" dxfId="0">
      <formula>F78="FAIL"</formula>
    </cfRule>
    <cfRule type="expression" priority="196" dxfId="1">
      <formula>F78="PASS"</formula>
    </cfRule>
  </conditionalFormatting>
  <conditionalFormatting sqref="I78">
    <cfRule type="expression" priority="197" dxfId="0">
      <formula>I78="FAIL"</formula>
    </cfRule>
    <cfRule type="expression" priority="198" dxfId="1">
      <formula>I78="PASS"</formula>
    </cfRule>
  </conditionalFormatting>
  <conditionalFormatting sqref="F79">
    <cfRule type="expression" priority="199" dxfId="0">
      <formula>F79="FAIL"</formula>
    </cfRule>
    <cfRule type="expression" priority="200" dxfId="1">
      <formula>F79="PASS"</formula>
    </cfRule>
  </conditionalFormatting>
  <conditionalFormatting sqref="I79">
    <cfRule type="expression" priority="201" dxfId="0">
      <formula>I79="FAIL"</formula>
    </cfRule>
    <cfRule type="expression" priority="202" dxfId="1">
      <formula>I79="PASS"</formula>
    </cfRule>
  </conditionalFormatting>
  <conditionalFormatting sqref="F80">
    <cfRule type="expression" priority="203" dxfId="0">
      <formula>F80="FAIL"</formula>
    </cfRule>
    <cfRule type="expression" priority="204" dxfId="1">
      <formula>F80="PASS"</formula>
    </cfRule>
  </conditionalFormatting>
  <conditionalFormatting sqref="I80">
    <cfRule type="expression" priority="205" dxfId="0">
      <formula>I80="FAIL"</formula>
    </cfRule>
    <cfRule type="expression" priority="206" dxfId="1">
      <formula>I80="PASS"</formula>
    </cfRule>
  </conditionalFormatting>
  <conditionalFormatting sqref="F81">
    <cfRule type="expression" priority="207" dxfId="0">
      <formula>F81="FAIL"</formula>
    </cfRule>
    <cfRule type="expression" priority="208" dxfId="1">
      <formula>F81="PASS"</formula>
    </cfRule>
  </conditionalFormatting>
  <conditionalFormatting sqref="I81">
    <cfRule type="expression" priority="209" dxfId="0">
      <formula>I81="FAIL"</formula>
    </cfRule>
    <cfRule type="expression" priority="210" dxfId="1">
      <formula>I81="PASS"</formula>
    </cfRule>
  </conditionalFormatting>
  <conditionalFormatting sqref="F82">
    <cfRule type="expression" priority="211" dxfId="0">
      <formula>F82="FAIL"</formula>
    </cfRule>
    <cfRule type="expression" priority="212" dxfId="1">
      <formula>F82="PASS"</formula>
    </cfRule>
  </conditionalFormatting>
  <conditionalFormatting sqref="I82">
    <cfRule type="expression" priority="213" dxfId="0">
      <formula>I82="FAIL"</formula>
    </cfRule>
    <cfRule type="expression" priority="214" dxfId="1">
      <formula>I82="PASS"</formula>
    </cfRule>
  </conditionalFormatting>
  <conditionalFormatting sqref="F83">
    <cfRule type="expression" priority="215" dxfId="0">
      <formula>F83="FAIL"</formula>
    </cfRule>
    <cfRule type="expression" priority="216" dxfId="1">
      <formula>F83="PASS"</formula>
    </cfRule>
  </conditionalFormatting>
  <conditionalFormatting sqref="I83">
    <cfRule type="expression" priority="217" dxfId="0">
      <formula>I83="FAIL"</formula>
    </cfRule>
    <cfRule type="expression" priority="218" dxfId="1">
      <formula>I83="PASS"</formula>
    </cfRule>
  </conditionalFormatting>
  <conditionalFormatting sqref="F84">
    <cfRule type="expression" priority="219" dxfId="0">
      <formula>F84="FAIL"</formula>
    </cfRule>
    <cfRule type="expression" priority="220" dxfId="1">
      <formula>F84="PASS"</formula>
    </cfRule>
  </conditionalFormatting>
  <conditionalFormatting sqref="I84">
    <cfRule type="expression" priority="221" dxfId="0">
      <formula>I84="FAIL"</formula>
    </cfRule>
    <cfRule type="expression" priority="222" dxfId="1">
      <formula>I84="PASS"</formula>
    </cfRule>
  </conditionalFormatting>
  <conditionalFormatting sqref="F85">
    <cfRule type="expression" priority="223" dxfId="0">
      <formula>F85="FAIL"</formula>
    </cfRule>
    <cfRule type="expression" priority="224" dxfId="1">
      <formula>F85="PASS"</formula>
    </cfRule>
  </conditionalFormatting>
  <conditionalFormatting sqref="F86">
    <cfRule type="expression" priority="225" dxfId="0">
      <formula>F86="FAIL"</formula>
    </cfRule>
    <cfRule type="expression" priority="226" dxfId="1">
      <formula>F86="PASS"</formula>
    </cfRule>
  </conditionalFormatting>
  <conditionalFormatting sqref="F87">
    <cfRule type="expression" priority="227" dxfId="0">
      <formula>F87="FAIL"</formula>
    </cfRule>
    <cfRule type="expression" priority="228" dxfId="1">
      <formula>F87="PASS"</formula>
    </cfRule>
  </conditionalFormatting>
  <conditionalFormatting sqref="F91">
    <cfRule type="expression" priority="229" dxfId="0">
      <formula>F91="FAIL"</formula>
    </cfRule>
    <cfRule type="expression" priority="230" dxfId="1">
      <formula>F91="PASS"</formula>
    </cfRule>
  </conditionalFormatting>
  <conditionalFormatting sqref="I91">
    <cfRule type="expression" priority="231" dxfId="0">
      <formula>I91="FAIL"</formula>
    </cfRule>
    <cfRule type="expression" priority="232" dxfId="1">
      <formula>I91="PASS"</formula>
    </cfRule>
  </conditionalFormatting>
  <conditionalFormatting sqref="F92">
    <cfRule type="expression" priority="233" dxfId="0">
      <formula>F92="FAIL"</formula>
    </cfRule>
    <cfRule type="expression" priority="234" dxfId="1">
      <formula>F92="PASS"</formula>
    </cfRule>
  </conditionalFormatting>
  <conditionalFormatting sqref="I92">
    <cfRule type="expression" priority="235" dxfId="0">
      <formula>I92="FAIL"</formula>
    </cfRule>
    <cfRule type="expression" priority="236" dxfId="1">
      <formula>I92="PASS"</formula>
    </cfRule>
  </conditionalFormatting>
  <conditionalFormatting sqref="F93">
    <cfRule type="expression" priority="237" dxfId="0">
      <formula>F93="FAIL"</formula>
    </cfRule>
    <cfRule type="expression" priority="238" dxfId="1">
      <formula>F93="PASS"</formula>
    </cfRule>
  </conditionalFormatting>
  <conditionalFormatting sqref="I93">
    <cfRule type="expression" priority="239" dxfId="0">
      <formula>I93="FAIL"</formula>
    </cfRule>
    <cfRule type="expression" priority="240" dxfId="1">
      <formula>I93="PASS"</formula>
    </cfRule>
  </conditionalFormatting>
  <conditionalFormatting sqref="F94">
    <cfRule type="expression" priority="241" dxfId="0">
      <formula>F94="FAIL"</formula>
    </cfRule>
    <cfRule type="expression" priority="242" dxfId="1">
      <formula>F94="PASS"</formula>
    </cfRule>
  </conditionalFormatting>
  <conditionalFormatting sqref="I94">
    <cfRule type="expression" priority="243" dxfId="0">
      <formula>I94="FAIL"</formula>
    </cfRule>
    <cfRule type="expression" priority="244" dxfId="1">
      <formula>I94="PASS"</formula>
    </cfRule>
  </conditionalFormatting>
  <conditionalFormatting sqref="F95">
    <cfRule type="expression" priority="245" dxfId="0">
      <formula>F95="FAIL"</formula>
    </cfRule>
    <cfRule type="expression" priority="246" dxfId="1">
      <formula>F95="PASS"</formula>
    </cfRule>
  </conditionalFormatting>
  <conditionalFormatting sqref="I95">
    <cfRule type="expression" priority="247" dxfId="0">
      <formula>I95="FAIL"</formula>
    </cfRule>
    <cfRule type="expression" priority="248" dxfId="1">
      <formula>I95="PASS"</formula>
    </cfRule>
  </conditionalFormatting>
  <conditionalFormatting sqref="F96">
    <cfRule type="expression" priority="249" dxfId="0">
      <formula>F96="FAIL"</formula>
    </cfRule>
    <cfRule type="expression" priority="250" dxfId="1">
      <formula>F96="PASS"</formula>
    </cfRule>
  </conditionalFormatting>
  <conditionalFormatting sqref="I96">
    <cfRule type="expression" priority="251" dxfId="0">
      <formula>I96="FAIL"</formula>
    </cfRule>
    <cfRule type="expression" priority="252" dxfId="1">
      <formula>I96="PASS"</formula>
    </cfRule>
  </conditionalFormatting>
  <conditionalFormatting sqref="F97">
    <cfRule type="expression" priority="253" dxfId="0">
      <formula>F97="FAIL"</formula>
    </cfRule>
    <cfRule type="expression" priority="254" dxfId="1">
      <formula>F97="PASS"</formula>
    </cfRule>
  </conditionalFormatting>
  <conditionalFormatting sqref="I97">
    <cfRule type="expression" priority="255" dxfId="0">
      <formula>I97="FAIL"</formula>
    </cfRule>
    <cfRule type="expression" priority="256" dxfId="1">
      <formula>I97="PASS"</formula>
    </cfRule>
  </conditionalFormatting>
  <conditionalFormatting sqref="F98">
    <cfRule type="expression" priority="257" dxfId="0">
      <formula>F98="FAIL"</formula>
    </cfRule>
    <cfRule type="expression" priority="258" dxfId="1">
      <formula>F98="PASS"</formula>
    </cfRule>
  </conditionalFormatting>
  <conditionalFormatting sqref="I98">
    <cfRule type="expression" priority="259" dxfId="0">
      <formula>I98="FAIL"</formula>
    </cfRule>
    <cfRule type="expression" priority="260" dxfId="1">
      <formula>I98="PASS"</formula>
    </cfRule>
  </conditionalFormatting>
  <conditionalFormatting sqref="F99">
    <cfRule type="expression" priority="261" dxfId="0">
      <formula>F99="FAIL"</formula>
    </cfRule>
    <cfRule type="expression" priority="262" dxfId="1">
      <formula>F99="PASS"</formula>
    </cfRule>
  </conditionalFormatting>
  <conditionalFormatting sqref="F100">
    <cfRule type="expression" priority="263" dxfId="0">
      <formula>F100="FAIL"</formula>
    </cfRule>
    <cfRule type="expression" priority="264" dxfId="1">
      <formula>F100="PASS"</formula>
    </cfRule>
  </conditionalFormatting>
  <conditionalFormatting sqref="F101">
    <cfRule type="expression" priority="265" dxfId="0">
      <formula>F101="FAIL"</formula>
    </cfRule>
    <cfRule type="expression" priority="266" dxfId="1">
      <formula>F101="PASS"</formula>
    </cfRule>
  </conditionalFormatting>
  <conditionalFormatting sqref="F105">
    <cfRule type="expression" priority="267" dxfId="0">
      <formula>F105="FAIL"</formula>
    </cfRule>
    <cfRule type="expression" priority="268" dxfId="1">
      <formula>F105="PASS"</formula>
    </cfRule>
  </conditionalFormatting>
  <conditionalFormatting sqref="I105">
    <cfRule type="expression" priority="269" dxfId="0">
      <formula>I105="FAIL"</formula>
    </cfRule>
    <cfRule type="expression" priority="270" dxfId="1">
      <formula>I105="PASS"</formula>
    </cfRule>
  </conditionalFormatting>
  <conditionalFormatting sqref="F106">
    <cfRule type="expression" priority="271" dxfId="0">
      <formula>F106="FAIL"</formula>
    </cfRule>
    <cfRule type="expression" priority="272" dxfId="1">
      <formula>F106="PASS"</formula>
    </cfRule>
  </conditionalFormatting>
  <conditionalFormatting sqref="I106">
    <cfRule type="expression" priority="273" dxfId="0">
      <formula>I106="FAIL"</formula>
    </cfRule>
    <cfRule type="expression" priority="274" dxfId="1">
      <formula>I106="PASS"</formula>
    </cfRule>
  </conditionalFormatting>
  <conditionalFormatting sqref="F107">
    <cfRule type="expression" priority="275" dxfId="0">
      <formula>F107="FAIL"</formula>
    </cfRule>
    <cfRule type="expression" priority="276" dxfId="1">
      <formula>F107="PASS"</formula>
    </cfRule>
  </conditionalFormatting>
  <conditionalFormatting sqref="I107">
    <cfRule type="expression" priority="277" dxfId="0">
      <formula>I107="FAIL"</formula>
    </cfRule>
    <cfRule type="expression" priority="278" dxfId="1">
      <formula>I107="PASS"</formula>
    </cfRule>
  </conditionalFormatting>
  <conditionalFormatting sqref="F108">
    <cfRule type="expression" priority="279" dxfId="0">
      <formula>F108="FAIL"</formula>
    </cfRule>
    <cfRule type="expression" priority="280" dxfId="1">
      <formula>F108="PASS"</formula>
    </cfRule>
  </conditionalFormatting>
  <conditionalFormatting sqref="I108">
    <cfRule type="expression" priority="281" dxfId="0">
      <formula>I108="FAIL"</formula>
    </cfRule>
    <cfRule type="expression" priority="282" dxfId="1">
      <formula>I108="PASS"</formula>
    </cfRule>
  </conditionalFormatting>
  <conditionalFormatting sqref="F109">
    <cfRule type="expression" priority="283" dxfId="0">
      <formula>F109="FAIL"</formula>
    </cfRule>
    <cfRule type="expression" priority="284" dxfId="1">
      <formula>F109="PASS"</formula>
    </cfRule>
  </conditionalFormatting>
  <conditionalFormatting sqref="I109">
    <cfRule type="expression" priority="285" dxfId="0">
      <formula>I109="FAIL"</formula>
    </cfRule>
    <cfRule type="expression" priority="286" dxfId="1">
      <formula>I109="PASS"</formula>
    </cfRule>
  </conditionalFormatting>
  <conditionalFormatting sqref="F110">
    <cfRule type="expression" priority="287" dxfId="0">
      <formula>F110="FAIL"</formula>
    </cfRule>
    <cfRule type="expression" priority="288" dxfId="1">
      <formula>F110="PASS"</formula>
    </cfRule>
  </conditionalFormatting>
  <conditionalFormatting sqref="I110">
    <cfRule type="expression" priority="289" dxfId="0">
      <formula>I110="FAIL"</formula>
    </cfRule>
    <cfRule type="expression" priority="290" dxfId="1">
      <formula>I110="PASS"</formula>
    </cfRule>
  </conditionalFormatting>
  <conditionalFormatting sqref="F111">
    <cfRule type="expression" priority="291" dxfId="0">
      <formula>F111="FAIL"</formula>
    </cfRule>
    <cfRule type="expression" priority="292" dxfId="1">
      <formula>F111="PASS"</formula>
    </cfRule>
  </conditionalFormatting>
  <conditionalFormatting sqref="I111">
    <cfRule type="expression" priority="293" dxfId="0">
      <formula>I111="FAIL"</formula>
    </cfRule>
    <cfRule type="expression" priority="294" dxfId="1">
      <formula>I111="PASS"</formula>
    </cfRule>
  </conditionalFormatting>
  <conditionalFormatting sqref="F112">
    <cfRule type="expression" priority="295" dxfId="0">
      <formula>F112="FAIL"</formula>
    </cfRule>
    <cfRule type="expression" priority="296" dxfId="1">
      <formula>F112="PASS"</formula>
    </cfRule>
  </conditionalFormatting>
  <conditionalFormatting sqref="I112">
    <cfRule type="expression" priority="297" dxfId="0">
      <formula>I112="FAIL"</formula>
    </cfRule>
    <cfRule type="expression" priority="298" dxfId="1">
      <formula>I112="PASS"</formula>
    </cfRule>
  </conditionalFormatting>
  <conditionalFormatting sqref="F113">
    <cfRule type="expression" priority="299" dxfId="0">
      <formula>F113="FAIL"</formula>
    </cfRule>
    <cfRule type="expression" priority="300" dxfId="1">
      <formula>F113="PASS"</formula>
    </cfRule>
  </conditionalFormatting>
  <conditionalFormatting sqref="F114">
    <cfRule type="expression" priority="301" dxfId="0">
      <formula>F114="FAIL"</formula>
    </cfRule>
    <cfRule type="expression" priority="302" dxfId="1">
      <formula>F114="PASS"</formula>
    </cfRule>
  </conditionalFormatting>
  <conditionalFormatting sqref="F115">
    <cfRule type="expression" priority="303" dxfId="0">
      <formula>F115="FAIL"</formula>
    </cfRule>
    <cfRule type="expression" priority="304" dxfId="1">
      <formula>F115="PASS"</formula>
    </cfRule>
  </conditionalFormatting>
  <conditionalFormatting sqref="F119">
    <cfRule type="expression" priority="305" dxfId="0">
      <formula>F119="FAIL"</formula>
    </cfRule>
    <cfRule type="expression" priority="306" dxfId="1">
      <formula>F119="PASS"</formula>
    </cfRule>
  </conditionalFormatting>
  <conditionalFormatting sqref="I119">
    <cfRule type="expression" priority="307" dxfId="0">
      <formula>I119="FAIL"</formula>
    </cfRule>
    <cfRule type="expression" priority="308" dxfId="1">
      <formula>I119="PASS"</formula>
    </cfRule>
  </conditionalFormatting>
  <conditionalFormatting sqref="F120">
    <cfRule type="expression" priority="309" dxfId="0">
      <formula>F120="FAIL"</formula>
    </cfRule>
    <cfRule type="expression" priority="310" dxfId="1">
      <formula>F120="PASS"</formula>
    </cfRule>
  </conditionalFormatting>
  <conditionalFormatting sqref="I120">
    <cfRule type="expression" priority="311" dxfId="0">
      <formula>I120="FAIL"</formula>
    </cfRule>
    <cfRule type="expression" priority="312" dxfId="1">
      <formula>I120="PASS"</formula>
    </cfRule>
  </conditionalFormatting>
  <conditionalFormatting sqref="F121">
    <cfRule type="expression" priority="313" dxfId="0">
      <formula>F121="FAIL"</formula>
    </cfRule>
    <cfRule type="expression" priority="314" dxfId="1">
      <formula>F121="PASS"</formula>
    </cfRule>
  </conditionalFormatting>
  <conditionalFormatting sqref="I121">
    <cfRule type="expression" priority="315" dxfId="0">
      <formula>I121="FAIL"</formula>
    </cfRule>
    <cfRule type="expression" priority="316" dxfId="1">
      <formula>I121="PASS"</formula>
    </cfRule>
  </conditionalFormatting>
  <conditionalFormatting sqref="F122">
    <cfRule type="expression" priority="317" dxfId="0">
      <formula>F122="FAIL"</formula>
    </cfRule>
    <cfRule type="expression" priority="318" dxfId="1">
      <formula>F122="PASS"</formula>
    </cfRule>
  </conditionalFormatting>
  <conditionalFormatting sqref="I122">
    <cfRule type="expression" priority="319" dxfId="0">
      <formula>I122="FAIL"</formula>
    </cfRule>
    <cfRule type="expression" priority="320" dxfId="1">
      <formula>I122="PASS"</formula>
    </cfRule>
  </conditionalFormatting>
  <conditionalFormatting sqref="F123">
    <cfRule type="expression" priority="321" dxfId="0">
      <formula>F123="FAIL"</formula>
    </cfRule>
    <cfRule type="expression" priority="322" dxfId="1">
      <formula>F123="PASS"</formula>
    </cfRule>
  </conditionalFormatting>
  <conditionalFormatting sqref="I123">
    <cfRule type="expression" priority="323" dxfId="0">
      <formula>I123="FAIL"</formula>
    </cfRule>
    <cfRule type="expression" priority="324" dxfId="1">
      <formula>I123="PASS"</formula>
    </cfRule>
  </conditionalFormatting>
  <conditionalFormatting sqref="F124">
    <cfRule type="expression" priority="325" dxfId="0">
      <formula>F124="FAIL"</formula>
    </cfRule>
    <cfRule type="expression" priority="326" dxfId="1">
      <formula>F124="PASS"</formula>
    </cfRule>
  </conditionalFormatting>
  <conditionalFormatting sqref="I124">
    <cfRule type="expression" priority="327" dxfId="0">
      <formula>I124="FAIL"</formula>
    </cfRule>
    <cfRule type="expression" priority="328" dxfId="1">
      <formula>I124="PASS"</formula>
    </cfRule>
  </conditionalFormatting>
  <conditionalFormatting sqref="F125">
    <cfRule type="expression" priority="329" dxfId="0">
      <formula>F125="FAIL"</formula>
    </cfRule>
    <cfRule type="expression" priority="330" dxfId="1">
      <formula>F125="PASS"</formula>
    </cfRule>
  </conditionalFormatting>
  <conditionalFormatting sqref="I125">
    <cfRule type="expression" priority="331" dxfId="0">
      <formula>I125="FAIL"</formula>
    </cfRule>
    <cfRule type="expression" priority="332" dxfId="1">
      <formula>I125="PASS"</formula>
    </cfRule>
  </conditionalFormatting>
  <conditionalFormatting sqref="F126">
    <cfRule type="expression" priority="333" dxfId="0">
      <formula>F126="FAIL"</formula>
    </cfRule>
    <cfRule type="expression" priority="334" dxfId="1">
      <formula>F126="PASS"</formula>
    </cfRule>
  </conditionalFormatting>
  <conditionalFormatting sqref="I126">
    <cfRule type="expression" priority="335" dxfId="0">
      <formula>I126="FAIL"</formula>
    </cfRule>
    <cfRule type="expression" priority="336" dxfId="1">
      <formula>I126="PASS"</formula>
    </cfRule>
  </conditionalFormatting>
  <conditionalFormatting sqref="F127">
    <cfRule type="expression" priority="337" dxfId="0">
      <formula>F127="FAIL"</formula>
    </cfRule>
    <cfRule type="expression" priority="338" dxfId="1">
      <formula>F127="PASS"</formula>
    </cfRule>
  </conditionalFormatting>
  <conditionalFormatting sqref="F128">
    <cfRule type="expression" priority="339" dxfId="0">
      <formula>F128="FAIL"</formula>
    </cfRule>
    <cfRule type="expression" priority="340" dxfId="1">
      <formula>F128="PASS"</formula>
    </cfRule>
  </conditionalFormatting>
  <conditionalFormatting sqref="F129">
    <cfRule type="expression" priority="341" dxfId="0">
      <formula>F129="FAIL"</formula>
    </cfRule>
    <cfRule type="expression" priority="342" dxfId="1">
      <formula>F129="PASS"</formula>
    </cfRule>
  </conditionalFormatting>
  <conditionalFormatting sqref="F133">
    <cfRule type="expression" priority="343" dxfId="0">
      <formula>F133="FAIL"</formula>
    </cfRule>
    <cfRule type="expression" priority="344" dxfId="1">
      <formula>F133="PASS"</formula>
    </cfRule>
  </conditionalFormatting>
  <conditionalFormatting sqref="I133">
    <cfRule type="expression" priority="345" dxfId="0">
      <formula>I133="FAIL"</formula>
    </cfRule>
    <cfRule type="expression" priority="346" dxfId="1">
      <formula>I133="PASS"</formula>
    </cfRule>
  </conditionalFormatting>
  <conditionalFormatting sqref="F134">
    <cfRule type="expression" priority="347" dxfId="0">
      <formula>F134="FAIL"</formula>
    </cfRule>
    <cfRule type="expression" priority="348" dxfId="1">
      <formula>F134="PASS"</formula>
    </cfRule>
  </conditionalFormatting>
  <conditionalFormatting sqref="I134">
    <cfRule type="expression" priority="349" dxfId="0">
      <formula>I134="FAIL"</formula>
    </cfRule>
    <cfRule type="expression" priority="350" dxfId="1">
      <formula>I134="PASS"</formula>
    </cfRule>
  </conditionalFormatting>
  <conditionalFormatting sqref="F135">
    <cfRule type="expression" priority="351" dxfId="0">
      <formula>F135="FAIL"</formula>
    </cfRule>
    <cfRule type="expression" priority="352" dxfId="1">
      <formula>F135="PASS"</formula>
    </cfRule>
  </conditionalFormatting>
  <conditionalFormatting sqref="I135">
    <cfRule type="expression" priority="353" dxfId="0">
      <formula>I135="FAIL"</formula>
    </cfRule>
    <cfRule type="expression" priority="354" dxfId="1">
      <formula>I135="PASS"</formula>
    </cfRule>
  </conditionalFormatting>
  <conditionalFormatting sqref="F136">
    <cfRule type="expression" priority="355" dxfId="0">
      <formula>F136="FAIL"</formula>
    </cfRule>
    <cfRule type="expression" priority="356" dxfId="1">
      <formula>F136="PASS"</formula>
    </cfRule>
  </conditionalFormatting>
  <conditionalFormatting sqref="I136">
    <cfRule type="expression" priority="357" dxfId="0">
      <formula>I136="FAIL"</formula>
    </cfRule>
    <cfRule type="expression" priority="358" dxfId="1">
      <formula>I136="PASS"</formula>
    </cfRule>
  </conditionalFormatting>
  <conditionalFormatting sqref="F137">
    <cfRule type="expression" priority="359" dxfId="0">
      <formula>F137="FAIL"</formula>
    </cfRule>
    <cfRule type="expression" priority="360" dxfId="1">
      <formula>F137="PASS"</formula>
    </cfRule>
  </conditionalFormatting>
  <conditionalFormatting sqref="I137">
    <cfRule type="expression" priority="361" dxfId="0">
      <formula>I137="FAIL"</formula>
    </cfRule>
    <cfRule type="expression" priority="362" dxfId="1">
      <formula>I137="PASS"</formula>
    </cfRule>
  </conditionalFormatting>
  <conditionalFormatting sqref="F138">
    <cfRule type="expression" priority="363" dxfId="0">
      <formula>F138="FAIL"</formula>
    </cfRule>
    <cfRule type="expression" priority="364" dxfId="1">
      <formula>F138="PASS"</formula>
    </cfRule>
  </conditionalFormatting>
  <conditionalFormatting sqref="I138">
    <cfRule type="expression" priority="365" dxfId="0">
      <formula>I138="FAIL"</formula>
    </cfRule>
    <cfRule type="expression" priority="366" dxfId="1">
      <formula>I138="PASS"</formula>
    </cfRule>
  </conditionalFormatting>
  <conditionalFormatting sqref="F139">
    <cfRule type="expression" priority="367" dxfId="0">
      <formula>F139="FAIL"</formula>
    </cfRule>
    <cfRule type="expression" priority="368" dxfId="1">
      <formula>F139="PASS"</formula>
    </cfRule>
  </conditionalFormatting>
  <conditionalFormatting sqref="I139">
    <cfRule type="expression" priority="369" dxfId="0">
      <formula>I139="FAIL"</formula>
    </cfRule>
    <cfRule type="expression" priority="370" dxfId="1">
      <formula>I139="PASS"</formula>
    </cfRule>
  </conditionalFormatting>
  <conditionalFormatting sqref="F140">
    <cfRule type="expression" priority="371" dxfId="0">
      <formula>F140="FAIL"</formula>
    </cfRule>
    <cfRule type="expression" priority="372" dxfId="1">
      <formula>F140="PASS"</formula>
    </cfRule>
  </conditionalFormatting>
  <conditionalFormatting sqref="I140">
    <cfRule type="expression" priority="373" dxfId="0">
      <formula>I140="FAIL"</formula>
    </cfRule>
    <cfRule type="expression" priority="374" dxfId="1">
      <formula>I140="PASS"</formula>
    </cfRule>
  </conditionalFormatting>
  <conditionalFormatting sqref="F141">
    <cfRule type="expression" priority="375" dxfId="0">
      <formula>F141="FAIL"</formula>
    </cfRule>
    <cfRule type="expression" priority="376" dxfId="1">
      <formula>F141="PASS"</formula>
    </cfRule>
  </conditionalFormatting>
  <conditionalFormatting sqref="F142">
    <cfRule type="expression" priority="377" dxfId="0">
      <formula>F142="FAIL"</formula>
    </cfRule>
    <cfRule type="expression" priority="378" dxfId="1">
      <formula>F142="PASS"</formula>
    </cfRule>
  </conditionalFormatting>
  <conditionalFormatting sqref="F143">
    <cfRule type="expression" priority="379" dxfId="0">
      <formula>F143="FAIL"</formula>
    </cfRule>
    <cfRule type="expression" priority="380" dxfId="1">
      <formula>F143="PASS"</formula>
    </cfRule>
  </conditionalFormatting>
  <conditionalFormatting sqref="F147">
    <cfRule type="expression" priority="381" dxfId="0">
      <formula>F147="FAIL"</formula>
    </cfRule>
    <cfRule type="expression" priority="382" dxfId="1">
      <formula>F147="PASS"</formula>
    </cfRule>
  </conditionalFormatting>
  <conditionalFormatting sqref="I147">
    <cfRule type="expression" priority="383" dxfId="0">
      <formula>I147="FAIL"</formula>
    </cfRule>
    <cfRule type="expression" priority="384" dxfId="1">
      <formula>I147="PASS"</formula>
    </cfRule>
  </conditionalFormatting>
  <conditionalFormatting sqref="F148">
    <cfRule type="expression" priority="385" dxfId="0">
      <formula>F148="FAIL"</formula>
    </cfRule>
    <cfRule type="expression" priority="386" dxfId="1">
      <formula>F148="PASS"</formula>
    </cfRule>
  </conditionalFormatting>
  <conditionalFormatting sqref="I148">
    <cfRule type="expression" priority="387" dxfId="0">
      <formula>I148="FAIL"</formula>
    </cfRule>
    <cfRule type="expression" priority="388" dxfId="1">
      <formula>I148="PASS"</formula>
    </cfRule>
  </conditionalFormatting>
  <conditionalFormatting sqref="F149">
    <cfRule type="expression" priority="389" dxfId="0">
      <formula>F149="FAIL"</formula>
    </cfRule>
    <cfRule type="expression" priority="390" dxfId="1">
      <formula>F149="PASS"</formula>
    </cfRule>
  </conditionalFormatting>
  <conditionalFormatting sqref="I149">
    <cfRule type="expression" priority="391" dxfId="0">
      <formula>I149="FAIL"</formula>
    </cfRule>
    <cfRule type="expression" priority="392" dxfId="1">
      <formula>I149="PASS"</formula>
    </cfRule>
  </conditionalFormatting>
  <conditionalFormatting sqref="F150">
    <cfRule type="expression" priority="393" dxfId="0">
      <formula>F150="FAIL"</formula>
    </cfRule>
    <cfRule type="expression" priority="394" dxfId="1">
      <formula>F150="PASS"</formula>
    </cfRule>
  </conditionalFormatting>
  <conditionalFormatting sqref="I150">
    <cfRule type="expression" priority="395" dxfId="0">
      <formula>I150="FAIL"</formula>
    </cfRule>
    <cfRule type="expression" priority="396" dxfId="1">
      <formula>I150="PASS"</formula>
    </cfRule>
  </conditionalFormatting>
  <conditionalFormatting sqref="F151">
    <cfRule type="expression" priority="397" dxfId="0">
      <formula>F151="FAIL"</formula>
    </cfRule>
    <cfRule type="expression" priority="398" dxfId="1">
      <formula>F151="PASS"</formula>
    </cfRule>
  </conditionalFormatting>
  <conditionalFormatting sqref="I151">
    <cfRule type="expression" priority="399" dxfId="0">
      <formula>I151="FAIL"</formula>
    </cfRule>
    <cfRule type="expression" priority="400" dxfId="1">
      <formula>I151="PASS"</formula>
    </cfRule>
  </conditionalFormatting>
  <conditionalFormatting sqref="F152">
    <cfRule type="expression" priority="401" dxfId="0">
      <formula>F152="FAIL"</formula>
    </cfRule>
    <cfRule type="expression" priority="402" dxfId="1">
      <formula>F152="PASS"</formula>
    </cfRule>
  </conditionalFormatting>
  <conditionalFormatting sqref="I152">
    <cfRule type="expression" priority="403" dxfId="0">
      <formula>I152="FAIL"</formula>
    </cfRule>
    <cfRule type="expression" priority="404" dxfId="1">
      <formula>I152="PASS"</formula>
    </cfRule>
  </conditionalFormatting>
  <conditionalFormatting sqref="F153">
    <cfRule type="expression" priority="405" dxfId="0">
      <formula>F153="FAIL"</formula>
    </cfRule>
    <cfRule type="expression" priority="406" dxfId="1">
      <formula>F153="PASS"</formula>
    </cfRule>
  </conditionalFormatting>
  <conditionalFormatting sqref="I153">
    <cfRule type="expression" priority="407" dxfId="0">
      <formula>I153="FAIL"</formula>
    </cfRule>
    <cfRule type="expression" priority="408" dxfId="1">
      <formula>I153="PASS"</formula>
    </cfRule>
  </conditionalFormatting>
  <conditionalFormatting sqref="F154">
    <cfRule type="expression" priority="409" dxfId="0">
      <formula>F154="FAIL"</formula>
    </cfRule>
    <cfRule type="expression" priority="410" dxfId="1">
      <formula>F154="PASS"</formula>
    </cfRule>
  </conditionalFormatting>
  <conditionalFormatting sqref="I154">
    <cfRule type="expression" priority="411" dxfId="0">
      <formula>I154="FAIL"</formula>
    </cfRule>
    <cfRule type="expression" priority="412" dxfId="1">
      <formula>I154="PASS"</formula>
    </cfRule>
  </conditionalFormatting>
  <conditionalFormatting sqref="F155">
    <cfRule type="expression" priority="413" dxfId="0">
      <formula>F155="FAIL"</formula>
    </cfRule>
    <cfRule type="expression" priority="414" dxfId="1">
      <formula>F155="PASS"</formula>
    </cfRule>
  </conditionalFormatting>
  <conditionalFormatting sqref="F156">
    <cfRule type="expression" priority="415" dxfId="0">
      <formula>F156="FAIL"</formula>
    </cfRule>
    <cfRule type="expression" priority="416" dxfId="1">
      <formula>F156="PASS"</formula>
    </cfRule>
  </conditionalFormatting>
  <conditionalFormatting sqref="F157">
    <cfRule type="expression" priority="417" dxfId="0">
      <formula>F157="FAIL"</formula>
    </cfRule>
    <cfRule type="expression" priority="418" dxfId="1">
      <formula>F157="PASS"</formula>
    </cfRule>
  </conditionalFormatting>
  <conditionalFormatting sqref="F161">
    <cfRule type="expression" priority="419" dxfId="0">
      <formula>F161="FAIL"</formula>
    </cfRule>
    <cfRule type="expression" priority="420" dxfId="1">
      <formula>F161="PASS"</formula>
    </cfRule>
  </conditionalFormatting>
  <conditionalFormatting sqref="I161">
    <cfRule type="expression" priority="421" dxfId="0">
      <formula>I161="FAIL"</formula>
    </cfRule>
    <cfRule type="expression" priority="422" dxfId="1">
      <formula>I161="PASS"</formula>
    </cfRule>
  </conditionalFormatting>
  <conditionalFormatting sqref="F162">
    <cfRule type="expression" priority="423" dxfId="0">
      <formula>F162="FAIL"</formula>
    </cfRule>
    <cfRule type="expression" priority="424" dxfId="1">
      <formula>F162="PASS"</formula>
    </cfRule>
  </conditionalFormatting>
  <conditionalFormatting sqref="I162">
    <cfRule type="expression" priority="425" dxfId="0">
      <formula>I162="FAIL"</formula>
    </cfRule>
    <cfRule type="expression" priority="426" dxfId="1">
      <formula>I162="PASS"</formula>
    </cfRule>
  </conditionalFormatting>
  <conditionalFormatting sqref="F163">
    <cfRule type="expression" priority="427" dxfId="0">
      <formula>F163="FAIL"</formula>
    </cfRule>
    <cfRule type="expression" priority="428" dxfId="1">
      <formula>F163="PASS"</formula>
    </cfRule>
  </conditionalFormatting>
  <conditionalFormatting sqref="I163">
    <cfRule type="expression" priority="429" dxfId="0">
      <formula>I163="FAIL"</formula>
    </cfRule>
    <cfRule type="expression" priority="430" dxfId="1">
      <formula>I163="PASS"</formula>
    </cfRule>
  </conditionalFormatting>
  <conditionalFormatting sqref="F164">
    <cfRule type="expression" priority="431" dxfId="0">
      <formula>F164="FAIL"</formula>
    </cfRule>
    <cfRule type="expression" priority="432" dxfId="1">
      <formula>F164="PASS"</formula>
    </cfRule>
  </conditionalFormatting>
  <conditionalFormatting sqref="I164">
    <cfRule type="expression" priority="433" dxfId="0">
      <formula>I164="FAIL"</formula>
    </cfRule>
    <cfRule type="expression" priority="434" dxfId="1">
      <formula>I164="PASS"</formula>
    </cfRule>
  </conditionalFormatting>
  <conditionalFormatting sqref="F165">
    <cfRule type="expression" priority="435" dxfId="0">
      <formula>F165="FAIL"</formula>
    </cfRule>
    <cfRule type="expression" priority="436" dxfId="1">
      <formula>F165="PASS"</formula>
    </cfRule>
  </conditionalFormatting>
  <conditionalFormatting sqref="I165">
    <cfRule type="expression" priority="437" dxfId="0">
      <formula>I165="FAIL"</formula>
    </cfRule>
    <cfRule type="expression" priority="438" dxfId="1">
      <formula>I165="PASS"</formula>
    </cfRule>
  </conditionalFormatting>
  <conditionalFormatting sqref="F166">
    <cfRule type="expression" priority="439" dxfId="0">
      <formula>F166="FAIL"</formula>
    </cfRule>
    <cfRule type="expression" priority="440" dxfId="1">
      <formula>F166="PASS"</formula>
    </cfRule>
  </conditionalFormatting>
  <conditionalFormatting sqref="I166">
    <cfRule type="expression" priority="441" dxfId="0">
      <formula>I166="FAIL"</formula>
    </cfRule>
    <cfRule type="expression" priority="442" dxfId="1">
      <formula>I166="PASS"</formula>
    </cfRule>
  </conditionalFormatting>
  <conditionalFormatting sqref="F167">
    <cfRule type="expression" priority="443" dxfId="0">
      <formula>F167="FAIL"</formula>
    </cfRule>
    <cfRule type="expression" priority="444" dxfId="1">
      <formula>F167="PASS"</formula>
    </cfRule>
  </conditionalFormatting>
  <conditionalFormatting sqref="I167">
    <cfRule type="expression" priority="445" dxfId="0">
      <formula>I167="FAIL"</formula>
    </cfRule>
    <cfRule type="expression" priority="446" dxfId="1">
      <formula>I167="PASS"</formula>
    </cfRule>
  </conditionalFormatting>
  <conditionalFormatting sqref="F168">
    <cfRule type="expression" priority="447" dxfId="0">
      <formula>F168="FAIL"</formula>
    </cfRule>
    <cfRule type="expression" priority="448" dxfId="1">
      <formula>F168="PASS"</formula>
    </cfRule>
  </conditionalFormatting>
  <conditionalFormatting sqref="I168">
    <cfRule type="expression" priority="449" dxfId="0">
      <formula>I168="FAIL"</formula>
    </cfRule>
    <cfRule type="expression" priority="450" dxfId="1">
      <formula>I168="PASS"</formula>
    </cfRule>
  </conditionalFormatting>
  <conditionalFormatting sqref="F169">
    <cfRule type="expression" priority="451" dxfId="0">
      <formula>F169="FAIL"</formula>
    </cfRule>
    <cfRule type="expression" priority="452" dxfId="1">
      <formula>F169="PASS"</formula>
    </cfRule>
  </conditionalFormatting>
  <conditionalFormatting sqref="F170">
    <cfRule type="expression" priority="453" dxfId="0">
      <formula>F170="FAIL"</formula>
    </cfRule>
    <cfRule type="expression" priority="454" dxfId="1">
      <formula>F170="PASS"</formula>
    </cfRule>
  </conditionalFormatting>
  <conditionalFormatting sqref="F171">
    <cfRule type="expression" priority="455" dxfId="0">
      <formula>F171="FAIL"</formula>
    </cfRule>
    <cfRule type="expression" priority="456" dxfId="1">
      <formula>F171="PASS"</formula>
    </cfRule>
  </conditionalFormatting>
  <conditionalFormatting sqref="F175">
    <cfRule type="expression" priority="457" dxfId="0">
      <formula>F175="FAIL"</formula>
    </cfRule>
    <cfRule type="expression" priority="458" dxfId="1">
      <formula>F175="PASS"</formula>
    </cfRule>
  </conditionalFormatting>
  <conditionalFormatting sqref="I175">
    <cfRule type="expression" priority="459" dxfId="0">
      <formula>I175="FAIL"</formula>
    </cfRule>
    <cfRule type="expression" priority="460" dxfId="1">
      <formula>I175="PASS"</formula>
    </cfRule>
  </conditionalFormatting>
  <conditionalFormatting sqref="F176">
    <cfRule type="expression" priority="461" dxfId="0">
      <formula>F176="FAIL"</formula>
    </cfRule>
    <cfRule type="expression" priority="462" dxfId="1">
      <formula>F176="PASS"</formula>
    </cfRule>
  </conditionalFormatting>
  <conditionalFormatting sqref="I176">
    <cfRule type="expression" priority="463" dxfId="0">
      <formula>I176="FAIL"</formula>
    </cfRule>
    <cfRule type="expression" priority="464" dxfId="1">
      <formula>I176="PASS"</formula>
    </cfRule>
  </conditionalFormatting>
  <conditionalFormatting sqref="F177">
    <cfRule type="expression" priority="465" dxfId="0">
      <formula>F177="FAIL"</formula>
    </cfRule>
    <cfRule type="expression" priority="466" dxfId="1">
      <formula>F177="PASS"</formula>
    </cfRule>
  </conditionalFormatting>
  <conditionalFormatting sqref="I177">
    <cfRule type="expression" priority="467" dxfId="0">
      <formula>I177="FAIL"</formula>
    </cfRule>
    <cfRule type="expression" priority="468" dxfId="1">
      <formula>I177="PASS"</formula>
    </cfRule>
  </conditionalFormatting>
  <conditionalFormatting sqref="F178">
    <cfRule type="expression" priority="469" dxfId="0">
      <formula>F178="FAIL"</formula>
    </cfRule>
    <cfRule type="expression" priority="470" dxfId="1">
      <formula>F178="PASS"</formula>
    </cfRule>
  </conditionalFormatting>
  <conditionalFormatting sqref="I178">
    <cfRule type="expression" priority="471" dxfId="0">
      <formula>I178="FAIL"</formula>
    </cfRule>
    <cfRule type="expression" priority="472" dxfId="1">
      <formula>I178="PASS"</formula>
    </cfRule>
  </conditionalFormatting>
  <conditionalFormatting sqref="F179">
    <cfRule type="expression" priority="473" dxfId="0">
      <formula>F179="FAIL"</formula>
    </cfRule>
    <cfRule type="expression" priority="474" dxfId="1">
      <formula>F179="PASS"</formula>
    </cfRule>
  </conditionalFormatting>
  <conditionalFormatting sqref="I179">
    <cfRule type="expression" priority="475" dxfId="0">
      <formula>I179="FAIL"</formula>
    </cfRule>
    <cfRule type="expression" priority="476" dxfId="1">
      <formula>I179="PASS"</formula>
    </cfRule>
  </conditionalFormatting>
  <conditionalFormatting sqref="F180">
    <cfRule type="expression" priority="477" dxfId="0">
      <formula>F180="FAIL"</formula>
    </cfRule>
    <cfRule type="expression" priority="478" dxfId="1">
      <formula>F180="PASS"</formula>
    </cfRule>
  </conditionalFormatting>
  <conditionalFormatting sqref="I180">
    <cfRule type="expression" priority="479" dxfId="0">
      <formula>I180="FAIL"</formula>
    </cfRule>
    <cfRule type="expression" priority="480" dxfId="1">
      <formula>I180="PASS"</formula>
    </cfRule>
  </conditionalFormatting>
  <conditionalFormatting sqref="F181">
    <cfRule type="expression" priority="481" dxfId="0">
      <formula>F181="FAIL"</formula>
    </cfRule>
    <cfRule type="expression" priority="482" dxfId="1">
      <formula>F181="PASS"</formula>
    </cfRule>
  </conditionalFormatting>
  <conditionalFormatting sqref="I181">
    <cfRule type="expression" priority="483" dxfId="0">
      <formula>I181="FAIL"</formula>
    </cfRule>
    <cfRule type="expression" priority="484" dxfId="1">
      <formula>I181="PASS"</formula>
    </cfRule>
  </conditionalFormatting>
  <conditionalFormatting sqref="F182">
    <cfRule type="expression" priority="485" dxfId="0">
      <formula>F182="FAIL"</formula>
    </cfRule>
    <cfRule type="expression" priority="486" dxfId="1">
      <formula>F182="PASS"</formula>
    </cfRule>
  </conditionalFormatting>
  <conditionalFormatting sqref="I182">
    <cfRule type="expression" priority="487" dxfId="0">
      <formula>I182="FAIL"</formula>
    </cfRule>
    <cfRule type="expression" priority="488" dxfId="1">
      <formula>I182="PASS"</formula>
    </cfRule>
  </conditionalFormatting>
  <conditionalFormatting sqref="F183">
    <cfRule type="expression" priority="489" dxfId="0">
      <formula>F183="FAIL"</formula>
    </cfRule>
    <cfRule type="expression" priority="490" dxfId="1">
      <formula>F183="PASS"</formula>
    </cfRule>
  </conditionalFormatting>
  <conditionalFormatting sqref="F184">
    <cfRule type="expression" priority="491" dxfId="0">
      <formula>F184="FAIL"</formula>
    </cfRule>
    <cfRule type="expression" priority="492" dxfId="1">
      <formula>F184="PASS"</formula>
    </cfRule>
  </conditionalFormatting>
  <conditionalFormatting sqref="F185">
    <cfRule type="expression" priority="493" dxfId="0">
      <formula>F185="FAIL"</formula>
    </cfRule>
    <cfRule type="expression" priority="494" dxfId="1">
      <formula>F185="PASS"</formula>
    </cfRule>
  </conditionalFormatting>
  <conditionalFormatting sqref="F189">
    <cfRule type="expression" priority="495" dxfId="0">
      <formula>F189="FAIL"</formula>
    </cfRule>
    <cfRule type="expression" priority="496" dxfId="1">
      <formula>F189="PASS"</formula>
    </cfRule>
  </conditionalFormatting>
  <conditionalFormatting sqref="I189">
    <cfRule type="expression" priority="497" dxfId="0">
      <formula>I189="FAIL"</formula>
    </cfRule>
    <cfRule type="expression" priority="498" dxfId="1">
      <formula>I189="PASS"</formula>
    </cfRule>
  </conditionalFormatting>
  <conditionalFormatting sqref="F190">
    <cfRule type="expression" priority="499" dxfId="0">
      <formula>F190="FAIL"</formula>
    </cfRule>
    <cfRule type="expression" priority="500" dxfId="1">
      <formula>F190="PASS"</formula>
    </cfRule>
  </conditionalFormatting>
  <conditionalFormatting sqref="I190">
    <cfRule type="expression" priority="501" dxfId="0">
      <formula>I190="FAIL"</formula>
    </cfRule>
    <cfRule type="expression" priority="502" dxfId="1">
      <formula>I190="PASS"</formula>
    </cfRule>
  </conditionalFormatting>
  <conditionalFormatting sqref="F191">
    <cfRule type="expression" priority="503" dxfId="0">
      <formula>F191="FAIL"</formula>
    </cfRule>
    <cfRule type="expression" priority="504" dxfId="1">
      <formula>F191="PASS"</formula>
    </cfRule>
  </conditionalFormatting>
  <conditionalFormatting sqref="I191">
    <cfRule type="expression" priority="505" dxfId="0">
      <formula>I191="FAIL"</formula>
    </cfRule>
    <cfRule type="expression" priority="506" dxfId="1">
      <formula>I191="PASS"</formula>
    </cfRule>
  </conditionalFormatting>
  <conditionalFormatting sqref="F192">
    <cfRule type="expression" priority="507" dxfId="0">
      <formula>F192="FAIL"</formula>
    </cfRule>
    <cfRule type="expression" priority="508" dxfId="1">
      <formula>F192="PASS"</formula>
    </cfRule>
  </conditionalFormatting>
  <conditionalFormatting sqref="I192">
    <cfRule type="expression" priority="509" dxfId="0">
      <formula>I192="FAIL"</formula>
    </cfRule>
    <cfRule type="expression" priority="510" dxfId="1">
      <formula>I192="PASS"</formula>
    </cfRule>
  </conditionalFormatting>
  <conditionalFormatting sqref="F193">
    <cfRule type="expression" priority="511" dxfId="0">
      <formula>F193="FAIL"</formula>
    </cfRule>
    <cfRule type="expression" priority="512" dxfId="1">
      <formula>F193="PASS"</formula>
    </cfRule>
  </conditionalFormatting>
  <conditionalFormatting sqref="I193">
    <cfRule type="expression" priority="513" dxfId="0">
      <formula>I193="FAIL"</formula>
    </cfRule>
    <cfRule type="expression" priority="514" dxfId="1">
      <formula>I193="PASS"</formula>
    </cfRule>
  </conditionalFormatting>
  <conditionalFormatting sqref="F194">
    <cfRule type="expression" priority="515" dxfId="0">
      <formula>F194="FAIL"</formula>
    </cfRule>
    <cfRule type="expression" priority="516" dxfId="1">
      <formula>F194="PASS"</formula>
    </cfRule>
  </conditionalFormatting>
  <conditionalFormatting sqref="I194">
    <cfRule type="expression" priority="517" dxfId="0">
      <formula>I194="FAIL"</formula>
    </cfRule>
    <cfRule type="expression" priority="518" dxfId="1">
      <formula>I194="PASS"</formula>
    </cfRule>
  </conditionalFormatting>
  <conditionalFormatting sqref="F195">
    <cfRule type="expression" priority="519" dxfId="0">
      <formula>F195="FAIL"</formula>
    </cfRule>
    <cfRule type="expression" priority="520" dxfId="1">
      <formula>F195="PASS"</formula>
    </cfRule>
  </conditionalFormatting>
  <conditionalFormatting sqref="I195">
    <cfRule type="expression" priority="521" dxfId="0">
      <formula>I195="FAIL"</formula>
    </cfRule>
    <cfRule type="expression" priority="522" dxfId="1">
      <formula>I195="PASS"</formula>
    </cfRule>
  </conditionalFormatting>
  <conditionalFormatting sqref="F196">
    <cfRule type="expression" priority="523" dxfId="0">
      <formula>F196="FAIL"</formula>
    </cfRule>
    <cfRule type="expression" priority="524" dxfId="1">
      <formula>F196="PASS"</formula>
    </cfRule>
  </conditionalFormatting>
  <conditionalFormatting sqref="I196">
    <cfRule type="expression" priority="525" dxfId="0">
      <formula>I196="FAIL"</formula>
    </cfRule>
    <cfRule type="expression" priority="526" dxfId="1">
      <formula>I196="PASS"</formula>
    </cfRule>
  </conditionalFormatting>
  <conditionalFormatting sqref="F197">
    <cfRule type="expression" priority="527" dxfId="0">
      <formula>F197="FAIL"</formula>
    </cfRule>
    <cfRule type="expression" priority="528" dxfId="1">
      <formula>F197="PASS"</formula>
    </cfRule>
  </conditionalFormatting>
  <conditionalFormatting sqref="F198">
    <cfRule type="expression" priority="529" dxfId="0">
      <formula>F198="FAIL"</formula>
    </cfRule>
    <cfRule type="expression" priority="530" dxfId="1">
      <formula>F198="PASS"</formula>
    </cfRule>
  </conditionalFormatting>
  <conditionalFormatting sqref="F199">
    <cfRule type="expression" priority="531" dxfId="0">
      <formula>F199="FAIL"</formula>
    </cfRule>
    <cfRule type="expression" priority="532" dxfId="1">
      <formula>F199="PASS"</formula>
    </cfRule>
  </conditionalFormatting>
  <conditionalFormatting sqref="F203">
    <cfRule type="expression" priority="533" dxfId="0">
      <formula>F203="FAIL"</formula>
    </cfRule>
    <cfRule type="expression" priority="534" dxfId="1">
      <formula>F203="PASS"</formula>
    </cfRule>
  </conditionalFormatting>
  <conditionalFormatting sqref="I203">
    <cfRule type="expression" priority="535" dxfId="0">
      <formula>I203="FAIL"</formula>
    </cfRule>
    <cfRule type="expression" priority="536" dxfId="1">
      <formula>I203="PASS"</formula>
    </cfRule>
  </conditionalFormatting>
  <conditionalFormatting sqref="F204">
    <cfRule type="expression" priority="537" dxfId="0">
      <formula>F204="FAIL"</formula>
    </cfRule>
    <cfRule type="expression" priority="538" dxfId="1">
      <formula>F204="PASS"</formula>
    </cfRule>
  </conditionalFormatting>
  <conditionalFormatting sqref="I204">
    <cfRule type="expression" priority="539" dxfId="0">
      <formula>I204="FAIL"</formula>
    </cfRule>
    <cfRule type="expression" priority="540" dxfId="1">
      <formula>I204="PASS"</formula>
    </cfRule>
  </conditionalFormatting>
  <conditionalFormatting sqref="F205">
    <cfRule type="expression" priority="541" dxfId="0">
      <formula>F205="FAIL"</formula>
    </cfRule>
    <cfRule type="expression" priority="542" dxfId="1">
      <formula>F205="PASS"</formula>
    </cfRule>
  </conditionalFormatting>
  <conditionalFormatting sqref="I205">
    <cfRule type="expression" priority="543" dxfId="0">
      <formula>I205="FAIL"</formula>
    </cfRule>
    <cfRule type="expression" priority="544" dxfId="1">
      <formula>I205="PASS"</formula>
    </cfRule>
  </conditionalFormatting>
  <conditionalFormatting sqref="F206">
    <cfRule type="expression" priority="545" dxfId="0">
      <formula>F206="FAIL"</formula>
    </cfRule>
    <cfRule type="expression" priority="546" dxfId="1">
      <formula>F206="PASS"</formula>
    </cfRule>
  </conditionalFormatting>
  <conditionalFormatting sqref="I206">
    <cfRule type="expression" priority="547" dxfId="0">
      <formula>I206="FAIL"</formula>
    </cfRule>
    <cfRule type="expression" priority="548" dxfId="1">
      <formula>I206="PASS"</formula>
    </cfRule>
  </conditionalFormatting>
  <conditionalFormatting sqref="F207">
    <cfRule type="expression" priority="549" dxfId="0">
      <formula>F207="FAIL"</formula>
    </cfRule>
    <cfRule type="expression" priority="550" dxfId="1">
      <formula>F207="PASS"</formula>
    </cfRule>
  </conditionalFormatting>
  <conditionalFormatting sqref="I207">
    <cfRule type="expression" priority="551" dxfId="0">
      <formula>I207="FAIL"</formula>
    </cfRule>
    <cfRule type="expression" priority="552" dxfId="1">
      <formula>I207="PASS"</formula>
    </cfRule>
  </conditionalFormatting>
  <conditionalFormatting sqref="F208">
    <cfRule type="expression" priority="553" dxfId="0">
      <formula>F208="FAIL"</formula>
    </cfRule>
    <cfRule type="expression" priority="554" dxfId="1">
      <formula>F208="PASS"</formula>
    </cfRule>
  </conditionalFormatting>
  <conditionalFormatting sqref="I208">
    <cfRule type="expression" priority="555" dxfId="0">
      <formula>I208="FAIL"</formula>
    </cfRule>
    <cfRule type="expression" priority="556" dxfId="1">
      <formula>I208="PASS"</formula>
    </cfRule>
  </conditionalFormatting>
  <conditionalFormatting sqref="F209">
    <cfRule type="expression" priority="557" dxfId="0">
      <formula>F209="FAIL"</formula>
    </cfRule>
    <cfRule type="expression" priority="558" dxfId="1">
      <formula>F209="PASS"</formula>
    </cfRule>
  </conditionalFormatting>
  <conditionalFormatting sqref="I209">
    <cfRule type="expression" priority="559" dxfId="0">
      <formula>I209="FAIL"</formula>
    </cfRule>
    <cfRule type="expression" priority="560" dxfId="1">
      <formula>I209="PASS"</formula>
    </cfRule>
  </conditionalFormatting>
  <conditionalFormatting sqref="F210">
    <cfRule type="expression" priority="561" dxfId="0">
      <formula>F210="FAIL"</formula>
    </cfRule>
    <cfRule type="expression" priority="562" dxfId="1">
      <formula>F210="PASS"</formula>
    </cfRule>
  </conditionalFormatting>
  <conditionalFormatting sqref="I210">
    <cfRule type="expression" priority="563" dxfId="0">
      <formula>I210="FAIL"</formula>
    </cfRule>
    <cfRule type="expression" priority="564" dxfId="1">
      <formula>I210="PASS"</formula>
    </cfRule>
  </conditionalFormatting>
  <conditionalFormatting sqref="F211">
    <cfRule type="expression" priority="565" dxfId="0">
      <formula>F211="FAIL"</formula>
    </cfRule>
    <cfRule type="expression" priority="566" dxfId="1">
      <formula>F211="PASS"</formula>
    </cfRule>
  </conditionalFormatting>
  <conditionalFormatting sqref="F212">
    <cfRule type="expression" priority="567" dxfId="0">
      <formula>F212="FAIL"</formula>
    </cfRule>
    <cfRule type="expression" priority="568" dxfId="1">
      <formula>F212="PASS"</formula>
    </cfRule>
  </conditionalFormatting>
  <conditionalFormatting sqref="F213">
    <cfRule type="expression" priority="569" dxfId="0">
      <formula>F213="FAIL"</formula>
    </cfRule>
    <cfRule type="expression" priority="570" dxfId="1">
      <formula>F213="PASS"</formula>
    </cfRule>
  </conditionalFormatting>
  <conditionalFormatting sqref="F217">
    <cfRule type="expression" priority="571" dxfId="0">
      <formula>F217="FAIL"</formula>
    </cfRule>
    <cfRule type="expression" priority="572" dxfId="1">
      <formula>F217="PASS"</formula>
    </cfRule>
  </conditionalFormatting>
  <conditionalFormatting sqref="I217">
    <cfRule type="expression" priority="573" dxfId="0">
      <formula>I217="FAIL"</formula>
    </cfRule>
    <cfRule type="expression" priority="574" dxfId="1">
      <formula>I217="PASS"</formula>
    </cfRule>
  </conditionalFormatting>
  <conditionalFormatting sqref="F218">
    <cfRule type="expression" priority="575" dxfId="0">
      <formula>F218="FAIL"</formula>
    </cfRule>
    <cfRule type="expression" priority="576" dxfId="1">
      <formula>F218="PASS"</formula>
    </cfRule>
  </conditionalFormatting>
  <conditionalFormatting sqref="I218">
    <cfRule type="expression" priority="577" dxfId="0">
      <formula>I218="FAIL"</formula>
    </cfRule>
    <cfRule type="expression" priority="578" dxfId="1">
      <formula>I218="PASS"</formula>
    </cfRule>
  </conditionalFormatting>
  <conditionalFormatting sqref="F219">
    <cfRule type="expression" priority="579" dxfId="0">
      <formula>F219="FAIL"</formula>
    </cfRule>
    <cfRule type="expression" priority="580" dxfId="1">
      <formula>F219="PASS"</formula>
    </cfRule>
  </conditionalFormatting>
  <conditionalFormatting sqref="I219">
    <cfRule type="expression" priority="581" dxfId="0">
      <formula>I219="FAIL"</formula>
    </cfRule>
    <cfRule type="expression" priority="582" dxfId="1">
      <formula>I219="PASS"</formula>
    </cfRule>
  </conditionalFormatting>
  <conditionalFormatting sqref="F220">
    <cfRule type="expression" priority="583" dxfId="0">
      <formula>F220="FAIL"</formula>
    </cfRule>
    <cfRule type="expression" priority="584" dxfId="1">
      <formula>F220="PASS"</formula>
    </cfRule>
  </conditionalFormatting>
  <conditionalFormatting sqref="I220">
    <cfRule type="expression" priority="585" dxfId="0">
      <formula>I220="FAIL"</formula>
    </cfRule>
    <cfRule type="expression" priority="586" dxfId="1">
      <formula>I220="PASS"</formula>
    </cfRule>
  </conditionalFormatting>
  <conditionalFormatting sqref="F221">
    <cfRule type="expression" priority="587" dxfId="0">
      <formula>F221="FAIL"</formula>
    </cfRule>
    <cfRule type="expression" priority="588" dxfId="1">
      <formula>F221="PASS"</formula>
    </cfRule>
  </conditionalFormatting>
  <conditionalFormatting sqref="I221">
    <cfRule type="expression" priority="589" dxfId="0">
      <formula>I221="FAIL"</formula>
    </cfRule>
    <cfRule type="expression" priority="590" dxfId="1">
      <formula>I221="PASS"</formula>
    </cfRule>
  </conditionalFormatting>
  <conditionalFormatting sqref="F222">
    <cfRule type="expression" priority="591" dxfId="0">
      <formula>F222="FAIL"</formula>
    </cfRule>
    <cfRule type="expression" priority="592" dxfId="1">
      <formula>F222="PASS"</formula>
    </cfRule>
  </conditionalFormatting>
  <conditionalFormatting sqref="I222">
    <cfRule type="expression" priority="593" dxfId="0">
      <formula>I222="FAIL"</formula>
    </cfRule>
    <cfRule type="expression" priority="594" dxfId="1">
      <formula>I222="PASS"</formula>
    </cfRule>
  </conditionalFormatting>
  <conditionalFormatting sqref="F223">
    <cfRule type="expression" priority="595" dxfId="0">
      <formula>F223="FAIL"</formula>
    </cfRule>
    <cfRule type="expression" priority="596" dxfId="1">
      <formula>F223="PASS"</formula>
    </cfRule>
  </conditionalFormatting>
  <conditionalFormatting sqref="I223">
    <cfRule type="expression" priority="597" dxfId="0">
      <formula>I223="FAIL"</formula>
    </cfRule>
    <cfRule type="expression" priority="598" dxfId="1">
      <formula>I223="PASS"</formula>
    </cfRule>
  </conditionalFormatting>
  <conditionalFormatting sqref="F224">
    <cfRule type="expression" priority="599" dxfId="0">
      <formula>F224="FAIL"</formula>
    </cfRule>
    <cfRule type="expression" priority="600" dxfId="1">
      <formula>F224="PASS"</formula>
    </cfRule>
  </conditionalFormatting>
  <conditionalFormatting sqref="I224">
    <cfRule type="expression" priority="601" dxfId="0">
      <formula>I224="FAIL"</formula>
    </cfRule>
    <cfRule type="expression" priority="602" dxfId="1">
      <formula>I224="PASS"</formula>
    </cfRule>
  </conditionalFormatting>
  <conditionalFormatting sqref="F225">
    <cfRule type="expression" priority="603" dxfId="0">
      <formula>F225="FAIL"</formula>
    </cfRule>
    <cfRule type="expression" priority="604" dxfId="1">
      <formula>F225="PASS"</formula>
    </cfRule>
  </conditionalFormatting>
  <conditionalFormatting sqref="F226">
    <cfRule type="expression" priority="605" dxfId="0">
      <formula>F226="FAIL"</formula>
    </cfRule>
    <cfRule type="expression" priority="606" dxfId="1">
      <formula>F226="PASS"</formula>
    </cfRule>
  </conditionalFormatting>
  <conditionalFormatting sqref="F227">
    <cfRule type="expression" priority="607" dxfId="0">
      <formula>F227="FAIL"</formula>
    </cfRule>
    <cfRule type="expression" priority="608" dxfId="1">
      <formula>F227="PASS"</formula>
    </cfRule>
  </conditionalFormatting>
  <conditionalFormatting sqref="F231">
    <cfRule type="expression" priority="609" dxfId="0">
      <formula>F231="FAIL"</formula>
    </cfRule>
    <cfRule type="expression" priority="610" dxfId="1">
      <formula>F231="PASS"</formula>
    </cfRule>
  </conditionalFormatting>
  <conditionalFormatting sqref="I231">
    <cfRule type="expression" priority="611" dxfId="0">
      <formula>I231="FAIL"</formula>
    </cfRule>
    <cfRule type="expression" priority="612" dxfId="1">
      <formula>I231="PASS"</formula>
    </cfRule>
  </conditionalFormatting>
  <conditionalFormatting sqref="F232">
    <cfRule type="expression" priority="613" dxfId="0">
      <formula>F232="FAIL"</formula>
    </cfRule>
    <cfRule type="expression" priority="614" dxfId="1">
      <formula>F232="PASS"</formula>
    </cfRule>
  </conditionalFormatting>
  <conditionalFormatting sqref="I232">
    <cfRule type="expression" priority="615" dxfId="0">
      <formula>I232="FAIL"</formula>
    </cfRule>
    <cfRule type="expression" priority="616" dxfId="1">
      <formula>I232="PASS"</formula>
    </cfRule>
  </conditionalFormatting>
  <conditionalFormatting sqref="F233">
    <cfRule type="expression" priority="617" dxfId="0">
      <formula>F233="FAIL"</formula>
    </cfRule>
    <cfRule type="expression" priority="618" dxfId="1">
      <formula>F233="PASS"</formula>
    </cfRule>
  </conditionalFormatting>
  <conditionalFormatting sqref="I233">
    <cfRule type="expression" priority="619" dxfId="0">
      <formula>I233="FAIL"</formula>
    </cfRule>
    <cfRule type="expression" priority="620" dxfId="1">
      <formula>I233="PASS"</formula>
    </cfRule>
  </conditionalFormatting>
  <conditionalFormatting sqref="F234">
    <cfRule type="expression" priority="621" dxfId="0">
      <formula>F234="FAIL"</formula>
    </cfRule>
    <cfRule type="expression" priority="622" dxfId="1">
      <formula>F234="PASS"</formula>
    </cfRule>
  </conditionalFormatting>
  <conditionalFormatting sqref="I234">
    <cfRule type="expression" priority="623" dxfId="0">
      <formula>I234="FAIL"</formula>
    </cfRule>
    <cfRule type="expression" priority="624" dxfId="1">
      <formula>I234="PASS"</formula>
    </cfRule>
  </conditionalFormatting>
  <conditionalFormatting sqref="F235">
    <cfRule type="expression" priority="625" dxfId="0">
      <formula>F235="FAIL"</formula>
    </cfRule>
    <cfRule type="expression" priority="626" dxfId="1">
      <formula>F235="PASS"</formula>
    </cfRule>
  </conditionalFormatting>
  <conditionalFormatting sqref="I235">
    <cfRule type="expression" priority="627" dxfId="0">
      <formula>I235="FAIL"</formula>
    </cfRule>
    <cfRule type="expression" priority="628" dxfId="1">
      <formula>I235="PASS"</formula>
    </cfRule>
  </conditionalFormatting>
  <conditionalFormatting sqref="F236">
    <cfRule type="expression" priority="629" dxfId="0">
      <formula>F236="FAIL"</formula>
    </cfRule>
    <cfRule type="expression" priority="630" dxfId="1">
      <formula>F236="PASS"</formula>
    </cfRule>
  </conditionalFormatting>
  <conditionalFormatting sqref="I236">
    <cfRule type="expression" priority="631" dxfId="0">
      <formula>I236="FAIL"</formula>
    </cfRule>
    <cfRule type="expression" priority="632" dxfId="1">
      <formula>I236="PASS"</formula>
    </cfRule>
  </conditionalFormatting>
  <conditionalFormatting sqref="F237">
    <cfRule type="expression" priority="633" dxfId="0">
      <formula>F237="FAIL"</formula>
    </cfRule>
    <cfRule type="expression" priority="634" dxfId="1">
      <formula>F237="PASS"</formula>
    </cfRule>
  </conditionalFormatting>
  <conditionalFormatting sqref="I237">
    <cfRule type="expression" priority="635" dxfId="0">
      <formula>I237="FAIL"</formula>
    </cfRule>
    <cfRule type="expression" priority="636" dxfId="1">
      <formula>I237="PASS"</formula>
    </cfRule>
  </conditionalFormatting>
  <conditionalFormatting sqref="F238">
    <cfRule type="expression" priority="637" dxfId="0">
      <formula>F238="FAIL"</formula>
    </cfRule>
    <cfRule type="expression" priority="638" dxfId="1">
      <formula>F238="PASS"</formula>
    </cfRule>
  </conditionalFormatting>
  <conditionalFormatting sqref="I238">
    <cfRule type="expression" priority="639" dxfId="0">
      <formula>I238="FAIL"</formula>
    </cfRule>
    <cfRule type="expression" priority="640" dxfId="1">
      <formula>I238="PASS"</formula>
    </cfRule>
  </conditionalFormatting>
  <conditionalFormatting sqref="F239">
    <cfRule type="expression" priority="641" dxfId="0">
      <formula>F239="FAIL"</formula>
    </cfRule>
    <cfRule type="expression" priority="642" dxfId="1">
      <formula>F239="PASS"</formula>
    </cfRule>
  </conditionalFormatting>
  <conditionalFormatting sqref="F240">
    <cfRule type="expression" priority="643" dxfId="0">
      <formula>F240="FAIL"</formula>
    </cfRule>
    <cfRule type="expression" priority="644" dxfId="1">
      <formula>F240="PASS"</formula>
    </cfRule>
  </conditionalFormatting>
  <conditionalFormatting sqref="F241">
    <cfRule type="expression" priority="645" dxfId="0">
      <formula>F241="FAIL"</formula>
    </cfRule>
    <cfRule type="expression" priority="646" dxfId="1">
      <formula>F241="PASS"</formula>
    </cfRule>
  </conditionalFormatting>
  <conditionalFormatting sqref="F245">
    <cfRule type="expression" priority="647" dxfId="0">
      <formula>F245="FAIL"</formula>
    </cfRule>
    <cfRule type="expression" priority="648" dxfId="1">
      <formula>F245="PASS"</formula>
    </cfRule>
  </conditionalFormatting>
  <conditionalFormatting sqref="I245">
    <cfRule type="expression" priority="649" dxfId="0">
      <formula>I245="FAIL"</formula>
    </cfRule>
    <cfRule type="expression" priority="650" dxfId="1">
      <formula>I245="PASS"</formula>
    </cfRule>
  </conditionalFormatting>
  <conditionalFormatting sqref="F246">
    <cfRule type="expression" priority="651" dxfId="0">
      <formula>F246="FAIL"</formula>
    </cfRule>
    <cfRule type="expression" priority="652" dxfId="1">
      <formula>F246="PASS"</formula>
    </cfRule>
  </conditionalFormatting>
  <conditionalFormatting sqref="I246">
    <cfRule type="expression" priority="653" dxfId="0">
      <formula>I246="FAIL"</formula>
    </cfRule>
    <cfRule type="expression" priority="654" dxfId="1">
      <formula>I246="PASS"</formula>
    </cfRule>
  </conditionalFormatting>
  <conditionalFormatting sqref="F247">
    <cfRule type="expression" priority="655" dxfId="0">
      <formula>F247="FAIL"</formula>
    </cfRule>
    <cfRule type="expression" priority="656" dxfId="1">
      <formula>F247="PASS"</formula>
    </cfRule>
  </conditionalFormatting>
  <conditionalFormatting sqref="I247">
    <cfRule type="expression" priority="657" dxfId="0">
      <formula>I247="FAIL"</formula>
    </cfRule>
    <cfRule type="expression" priority="658" dxfId="1">
      <formula>I247="PASS"</formula>
    </cfRule>
  </conditionalFormatting>
  <conditionalFormatting sqref="F248">
    <cfRule type="expression" priority="659" dxfId="0">
      <formula>F248="FAIL"</formula>
    </cfRule>
    <cfRule type="expression" priority="660" dxfId="1">
      <formula>F248="PASS"</formula>
    </cfRule>
  </conditionalFormatting>
  <conditionalFormatting sqref="I248">
    <cfRule type="expression" priority="661" dxfId="0">
      <formula>I248="FAIL"</formula>
    </cfRule>
    <cfRule type="expression" priority="662" dxfId="1">
      <formula>I248="PASS"</formula>
    </cfRule>
  </conditionalFormatting>
  <conditionalFormatting sqref="F249">
    <cfRule type="expression" priority="663" dxfId="0">
      <formula>F249="FAIL"</formula>
    </cfRule>
    <cfRule type="expression" priority="664" dxfId="1">
      <formula>F249="PASS"</formula>
    </cfRule>
  </conditionalFormatting>
  <conditionalFormatting sqref="I249">
    <cfRule type="expression" priority="665" dxfId="0">
      <formula>I249="FAIL"</formula>
    </cfRule>
    <cfRule type="expression" priority="666" dxfId="1">
      <formula>I249="PASS"</formula>
    </cfRule>
  </conditionalFormatting>
  <conditionalFormatting sqref="F250">
    <cfRule type="expression" priority="667" dxfId="0">
      <formula>F250="FAIL"</formula>
    </cfRule>
    <cfRule type="expression" priority="668" dxfId="1">
      <formula>F250="PASS"</formula>
    </cfRule>
  </conditionalFormatting>
  <conditionalFormatting sqref="I250">
    <cfRule type="expression" priority="669" dxfId="0">
      <formula>I250="FAIL"</formula>
    </cfRule>
    <cfRule type="expression" priority="670" dxfId="1">
      <formula>I250="PASS"</formula>
    </cfRule>
  </conditionalFormatting>
  <conditionalFormatting sqref="F251">
    <cfRule type="expression" priority="671" dxfId="0">
      <formula>F251="FAIL"</formula>
    </cfRule>
    <cfRule type="expression" priority="672" dxfId="1">
      <formula>F251="PASS"</formula>
    </cfRule>
  </conditionalFormatting>
  <conditionalFormatting sqref="I251">
    <cfRule type="expression" priority="673" dxfId="0">
      <formula>I251="FAIL"</formula>
    </cfRule>
    <cfRule type="expression" priority="674" dxfId="1">
      <formula>I251="PASS"</formula>
    </cfRule>
  </conditionalFormatting>
  <conditionalFormatting sqref="F252">
    <cfRule type="expression" priority="675" dxfId="0">
      <formula>F252="FAIL"</formula>
    </cfRule>
    <cfRule type="expression" priority="676" dxfId="1">
      <formula>F252="PASS"</formula>
    </cfRule>
  </conditionalFormatting>
  <conditionalFormatting sqref="I252">
    <cfRule type="expression" priority="677" dxfId="0">
      <formula>I252="FAIL"</formula>
    </cfRule>
    <cfRule type="expression" priority="678" dxfId="1">
      <formula>I252="PASS"</formula>
    </cfRule>
  </conditionalFormatting>
  <conditionalFormatting sqref="F253">
    <cfRule type="expression" priority="679" dxfId="0">
      <formula>F253="FAIL"</formula>
    </cfRule>
    <cfRule type="expression" priority="680" dxfId="1">
      <formula>F253="PASS"</formula>
    </cfRule>
  </conditionalFormatting>
  <conditionalFormatting sqref="F254">
    <cfRule type="expression" priority="681" dxfId="0">
      <formula>F254="FAIL"</formula>
    </cfRule>
    <cfRule type="expression" priority="682" dxfId="1">
      <formula>F254="PASS"</formula>
    </cfRule>
  </conditionalFormatting>
  <conditionalFormatting sqref="F255">
    <cfRule type="expression" priority="683" dxfId="0">
      <formula>F255="FAIL"</formula>
    </cfRule>
    <cfRule type="expression" priority="684" dxfId="1">
      <formula>F255="PASS"</formula>
    </cfRule>
  </conditionalFormatting>
  <conditionalFormatting sqref="F259">
    <cfRule type="expression" priority="685" dxfId="0">
      <formula>F259="FAIL"</formula>
    </cfRule>
    <cfRule type="expression" priority="686" dxfId="1">
      <formula>F259="PASS"</formula>
    </cfRule>
  </conditionalFormatting>
  <conditionalFormatting sqref="I259">
    <cfRule type="expression" priority="687" dxfId="0">
      <formula>I259="FAIL"</formula>
    </cfRule>
    <cfRule type="expression" priority="688" dxfId="1">
      <formula>I259="PASS"</formula>
    </cfRule>
  </conditionalFormatting>
  <conditionalFormatting sqref="F260">
    <cfRule type="expression" priority="689" dxfId="0">
      <formula>F260="FAIL"</formula>
    </cfRule>
    <cfRule type="expression" priority="690" dxfId="1">
      <formula>F260="PASS"</formula>
    </cfRule>
  </conditionalFormatting>
  <conditionalFormatting sqref="I260">
    <cfRule type="expression" priority="691" dxfId="0">
      <formula>I260="FAIL"</formula>
    </cfRule>
    <cfRule type="expression" priority="692" dxfId="1">
      <formula>I260="PASS"</formula>
    </cfRule>
  </conditionalFormatting>
  <conditionalFormatting sqref="F261">
    <cfRule type="expression" priority="693" dxfId="0">
      <formula>F261="FAIL"</formula>
    </cfRule>
    <cfRule type="expression" priority="694" dxfId="1">
      <formula>F261="PASS"</formula>
    </cfRule>
  </conditionalFormatting>
  <conditionalFormatting sqref="I261">
    <cfRule type="expression" priority="695" dxfId="0">
      <formula>I261="FAIL"</formula>
    </cfRule>
    <cfRule type="expression" priority="696" dxfId="1">
      <formula>I261="PASS"</formula>
    </cfRule>
  </conditionalFormatting>
  <conditionalFormatting sqref="F262">
    <cfRule type="expression" priority="697" dxfId="0">
      <formula>F262="FAIL"</formula>
    </cfRule>
    <cfRule type="expression" priority="698" dxfId="1">
      <formula>F262="PASS"</formula>
    </cfRule>
  </conditionalFormatting>
  <conditionalFormatting sqref="I262">
    <cfRule type="expression" priority="699" dxfId="0">
      <formula>I262="FAIL"</formula>
    </cfRule>
    <cfRule type="expression" priority="700" dxfId="1">
      <formula>I262="PASS"</formula>
    </cfRule>
  </conditionalFormatting>
  <conditionalFormatting sqref="F263">
    <cfRule type="expression" priority="701" dxfId="0">
      <formula>F263="FAIL"</formula>
    </cfRule>
    <cfRule type="expression" priority="702" dxfId="1">
      <formula>F263="PASS"</formula>
    </cfRule>
  </conditionalFormatting>
  <conditionalFormatting sqref="I263">
    <cfRule type="expression" priority="703" dxfId="0">
      <formula>I263="FAIL"</formula>
    </cfRule>
    <cfRule type="expression" priority="704" dxfId="1">
      <formula>I263="PASS"</formula>
    </cfRule>
  </conditionalFormatting>
  <conditionalFormatting sqref="F264">
    <cfRule type="expression" priority="705" dxfId="0">
      <formula>F264="FAIL"</formula>
    </cfRule>
    <cfRule type="expression" priority="706" dxfId="1">
      <formula>F264="PASS"</formula>
    </cfRule>
  </conditionalFormatting>
  <conditionalFormatting sqref="I264">
    <cfRule type="expression" priority="707" dxfId="0">
      <formula>I264="FAIL"</formula>
    </cfRule>
    <cfRule type="expression" priority="708" dxfId="1">
      <formula>I264="PASS"</formula>
    </cfRule>
  </conditionalFormatting>
  <conditionalFormatting sqref="F265">
    <cfRule type="expression" priority="709" dxfId="0">
      <formula>F265="FAIL"</formula>
    </cfRule>
    <cfRule type="expression" priority="710" dxfId="1">
      <formula>F265="PASS"</formula>
    </cfRule>
  </conditionalFormatting>
  <conditionalFormatting sqref="I265">
    <cfRule type="expression" priority="711" dxfId="0">
      <formula>I265="FAIL"</formula>
    </cfRule>
    <cfRule type="expression" priority="712" dxfId="1">
      <formula>I265="PASS"</formula>
    </cfRule>
  </conditionalFormatting>
  <conditionalFormatting sqref="F266">
    <cfRule type="expression" priority="713" dxfId="0">
      <formula>F266="FAIL"</formula>
    </cfRule>
    <cfRule type="expression" priority="714" dxfId="1">
      <formula>F266="PASS"</formula>
    </cfRule>
  </conditionalFormatting>
  <conditionalFormatting sqref="I266">
    <cfRule type="expression" priority="715" dxfId="0">
      <formula>I266="FAIL"</formula>
    </cfRule>
    <cfRule type="expression" priority="716" dxfId="1">
      <formula>I266="PASS"</formula>
    </cfRule>
  </conditionalFormatting>
  <conditionalFormatting sqref="F267">
    <cfRule type="expression" priority="717" dxfId="0">
      <formula>F267="FAIL"</formula>
    </cfRule>
    <cfRule type="expression" priority="718" dxfId="1">
      <formula>F267="PASS"</formula>
    </cfRule>
  </conditionalFormatting>
  <conditionalFormatting sqref="F268">
    <cfRule type="expression" priority="719" dxfId="0">
      <formula>F268="FAIL"</formula>
    </cfRule>
    <cfRule type="expression" priority="720" dxfId="1">
      <formula>F268="PASS"</formula>
    </cfRule>
  </conditionalFormatting>
  <conditionalFormatting sqref="F269">
    <cfRule type="expression" priority="721" dxfId="0">
      <formula>F269="FAIL"</formula>
    </cfRule>
    <cfRule type="expression" priority="722" dxfId="1">
      <formula>F269="PASS"</formula>
    </cfRule>
  </conditionalFormatting>
  <conditionalFormatting sqref="F273">
    <cfRule type="expression" priority="723" dxfId="0">
      <formula>F273="FAIL"</formula>
    </cfRule>
    <cfRule type="expression" priority="724" dxfId="1">
      <formula>F273="PASS"</formula>
    </cfRule>
  </conditionalFormatting>
  <conditionalFormatting sqref="I273">
    <cfRule type="expression" priority="725" dxfId="0">
      <formula>I273="FAIL"</formula>
    </cfRule>
    <cfRule type="expression" priority="726" dxfId="1">
      <formula>I273="PASS"</formula>
    </cfRule>
  </conditionalFormatting>
  <conditionalFormatting sqref="F274">
    <cfRule type="expression" priority="727" dxfId="0">
      <formula>F274="FAIL"</formula>
    </cfRule>
    <cfRule type="expression" priority="728" dxfId="1">
      <formula>F274="PASS"</formula>
    </cfRule>
  </conditionalFormatting>
  <conditionalFormatting sqref="I274">
    <cfRule type="expression" priority="729" dxfId="0">
      <formula>I274="FAIL"</formula>
    </cfRule>
    <cfRule type="expression" priority="730" dxfId="1">
      <formula>I274="PASS"</formula>
    </cfRule>
  </conditionalFormatting>
  <conditionalFormatting sqref="F275">
    <cfRule type="expression" priority="731" dxfId="0">
      <formula>F275="FAIL"</formula>
    </cfRule>
    <cfRule type="expression" priority="732" dxfId="1">
      <formula>F275="PASS"</formula>
    </cfRule>
  </conditionalFormatting>
  <conditionalFormatting sqref="I275">
    <cfRule type="expression" priority="733" dxfId="0">
      <formula>I275="FAIL"</formula>
    </cfRule>
    <cfRule type="expression" priority="734" dxfId="1">
      <formula>I275="PASS"</formula>
    </cfRule>
  </conditionalFormatting>
  <conditionalFormatting sqref="F276">
    <cfRule type="expression" priority="735" dxfId="0">
      <formula>F276="FAIL"</formula>
    </cfRule>
    <cfRule type="expression" priority="736" dxfId="1">
      <formula>F276="PASS"</formula>
    </cfRule>
  </conditionalFormatting>
  <conditionalFormatting sqref="I276">
    <cfRule type="expression" priority="737" dxfId="0">
      <formula>I276="FAIL"</formula>
    </cfRule>
    <cfRule type="expression" priority="738" dxfId="1">
      <formula>I276="PASS"</formula>
    </cfRule>
  </conditionalFormatting>
  <conditionalFormatting sqref="F277">
    <cfRule type="expression" priority="739" dxfId="0">
      <formula>F277="FAIL"</formula>
    </cfRule>
    <cfRule type="expression" priority="740" dxfId="1">
      <formula>F277="PASS"</formula>
    </cfRule>
  </conditionalFormatting>
  <conditionalFormatting sqref="I277">
    <cfRule type="expression" priority="741" dxfId="0">
      <formula>I277="FAIL"</formula>
    </cfRule>
    <cfRule type="expression" priority="742" dxfId="1">
      <formula>I277="PASS"</formula>
    </cfRule>
  </conditionalFormatting>
  <conditionalFormatting sqref="F278">
    <cfRule type="expression" priority="743" dxfId="0">
      <formula>F278="FAIL"</formula>
    </cfRule>
    <cfRule type="expression" priority="744" dxfId="1">
      <formula>F278="PASS"</formula>
    </cfRule>
  </conditionalFormatting>
  <conditionalFormatting sqref="I278">
    <cfRule type="expression" priority="745" dxfId="0">
      <formula>I278="FAIL"</formula>
    </cfRule>
    <cfRule type="expression" priority="746" dxfId="1">
      <formula>I278="PASS"</formula>
    </cfRule>
  </conditionalFormatting>
  <conditionalFormatting sqref="F279">
    <cfRule type="expression" priority="747" dxfId="0">
      <formula>F279="FAIL"</formula>
    </cfRule>
    <cfRule type="expression" priority="748" dxfId="1">
      <formula>F279="PASS"</formula>
    </cfRule>
  </conditionalFormatting>
  <conditionalFormatting sqref="I279">
    <cfRule type="expression" priority="749" dxfId="0">
      <formula>I279="FAIL"</formula>
    </cfRule>
    <cfRule type="expression" priority="750" dxfId="1">
      <formula>I279="PASS"</formula>
    </cfRule>
  </conditionalFormatting>
  <conditionalFormatting sqref="F280">
    <cfRule type="expression" priority="751" dxfId="0">
      <formula>F280="FAIL"</formula>
    </cfRule>
    <cfRule type="expression" priority="752" dxfId="1">
      <formula>F280="PASS"</formula>
    </cfRule>
  </conditionalFormatting>
  <conditionalFormatting sqref="I280">
    <cfRule type="expression" priority="753" dxfId="0">
      <formula>I280="FAIL"</formula>
    </cfRule>
    <cfRule type="expression" priority="754" dxfId="1">
      <formula>I280="PASS"</formula>
    </cfRule>
  </conditionalFormatting>
  <conditionalFormatting sqref="F281">
    <cfRule type="expression" priority="755" dxfId="0">
      <formula>F281="FAIL"</formula>
    </cfRule>
    <cfRule type="expression" priority="756" dxfId="1">
      <formula>F281="PASS"</formula>
    </cfRule>
  </conditionalFormatting>
  <conditionalFormatting sqref="F282">
    <cfRule type="expression" priority="757" dxfId="0">
      <formula>F282="FAIL"</formula>
    </cfRule>
    <cfRule type="expression" priority="758" dxfId="1">
      <formula>F282="PASS"</formula>
    </cfRule>
  </conditionalFormatting>
  <conditionalFormatting sqref="F283">
    <cfRule type="expression" priority="759" dxfId="0">
      <formula>F283="FAIL"</formula>
    </cfRule>
    <cfRule type="expression" priority="760" dxfId="1">
      <formula>F283="PASS"</formula>
    </cfRule>
  </conditionalFormatting>
  <conditionalFormatting sqref="F287">
    <cfRule type="expression" priority="761" dxfId="0">
      <formula>F287="FAIL"</formula>
    </cfRule>
    <cfRule type="expression" priority="762" dxfId="1">
      <formula>F287="PASS"</formula>
    </cfRule>
  </conditionalFormatting>
  <conditionalFormatting sqref="I287">
    <cfRule type="expression" priority="763" dxfId="0">
      <formula>I287="FAIL"</formula>
    </cfRule>
    <cfRule type="expression" priority="764" dxfId="1">
      <formula>I287="PASS"</formula>
    </cfRule>
  </conditionalFormatting>
  <conditionalFormatting sqref="F288">
    <cfRule type="expression" priority="765" dxfId="0">
      <formula>F288="FAIL"</formula>
    </cfRule>
    <cfRule type="expression" priority="766" dxfId="1">
      <formula>F288="PASS"</formula>
    </cfRule>
  </conditionalFormatting>
  <conditionalFormatting sqref="I288">
    <cfRule type="expression" priority="767" dxfId="0">
      <formula>I288="FAIL"</formula>
    </cfRule>
    <cfRule type="expression" priority="768" dxfId="1">
      <formula>I288="PASS"</formula>
    </cfRule>
  </conditionalFormatting>
  <conditionalFormatting sqref="F289">
    <cfRule type="expression" priority="769" dxfId="0">
      <formula>F289="FAIL"</formula>
    </cfRule>
    <cfRule type="expression" priority="770" dxfId="1">
      <formula>F289="PASS"</formula>
    </cfRule>
  </conditionalFormatting>
  <conditionalFormatting sqref="I289">
    <cfRule type="expression" priority="771" dxfId="0">
      <formula>I289="FAIL"</formula>
    </cfRule>
    <cfRule type="expression" priority="772" dxfId="1">
      <formula>I289="PASS"</formula>
    </cfRule>
  </conditionalFormatting>
  <conditionalFormatting sqref="F290">
    <cfRule type="expression" priority="773" dxfId="0">
      <formula>F290="FAIL"</formula>
    </cfRule>
    <cfRule type="expression" priority="774" dxfId="1">
      <formula>F290="PASS"</formula>
    </cfRule>
  </conditionalFormatting>
  <conditionalFormatting sqref="I290">
    <cfRule type="expression" priority="775" dxfId="0">
      <formula>I290="FAIL"</formula>
    </cfRule>
    <cfRule type="expression" priority="776" dxfId="1">
      <formula>I290="PASS"</formula>
    </cfRule>
  </conditionalFormatting>
  <conditionalFormatting sqref="F291">
    <cfRule type="expression" priority="777" dxfId="0">
      <formula>F291="FAIL"</formula>
    </cfRule>
    <cfRule type="expression" priority="778" dxfId="1">
      <formula>F291="PASS"</formula>
    </cfRule>
  </conditionalFormatting>
  <conditionalFormatting sqref="I291">
    <cfRule type="expression" priority="779" dxfId="0">
      <formula>I291="FAIL"</formula>
    </cfRule>
    <cfRule type="expression" priority="780" dxfId="1">
      <formula>I291="PASS"</formula>
    </cfRule>
  </conditionalFormatting>
  <conditionalFormatting sqref="F292">
    <cfRule type="expression" priority="781" dxfId="0">
      <formula>F292="FAIL"</formula>
    </cfRule>
    <cfRule type="expression" priority="782" dxfId="1">
      <formula>F292="PASS"</formula>
    </cfRule>
  </conditionalFormatting>
  <conditionalFormatting sqref="I292">
    <cfRule type="expression" priority="783" dxfId="0">
      <formula>I292="FAIL"</formula>
    </cfRule>
    <cfRule type="expression" priority="784" dxfId="1">
      <formula>I292="PASS"</formula>
    </cfRule>
  </conditionalFormatting>
  <conditionalFormatting sqref="F293">
    <cfRule type="expression" priority="785" dxfId="0">
      <formula>F293="FAIL"</formula>
    </cfRule>
    <cfRule type="expression" priority="786" dxfId="1">
      <formula>F293="PASS"</formula>
    </cfRule>
  </conditionalFormatting>
  <conditionalFormatting sqref="I293">
    <cfRule type="expression" priority="787" dxfId="0">
      <formula>I293="FAIL"</formula>
    </cfRule>
    <cfRule type="expression" priority="788" dxfId="1">
      <formula>I293="PASS"</formula>
    </cfRule>
  </conditionalFormatting>
  <conditionalFormatting sqref="F294">
    <cfRule type="expression" priority="789" dxfId="0">
      <formula>F294="FAIL"</formula>
    </cfRule>
    <cfRule type="expression" priority="790" dxfId="1">
      <formula>F294="PASS"</formula>
    </cfRule>
  </conditionalFormatting>
  <conditionalFormatting sqref="I294">
    <cfRule type="expression" priority="791" dxfId="0">
      <formula>I294="FAIL"</formula>
    </cfRule>
    <cfRule type="expression" priority="792" dxfId="1">
      <formula>I294="PASS"</formula>
    </cfRule>
  </conditionalFormatting>
  <conditionalFormatting sqref="F295">
    <cfRule type="expression" priority="793" dxfId="0">
      <formula>F295="FAIL"</formula>
    </cfRule>
    <cfRule type="expression" priority="794" dxfId="1">
      <formula>F295="PASS"</formula>
    </cfRule>
  </conditionalFormatting>
  <conditionalFormatting sqref="F296">
    <cfRule type="expression" priority="795" dxfId="0">
      <formula>F296="FAIL"</formula>
    </cfRule>
    <cfRule type="expression" priority="796" dxfId="1">
      <formula>F296="PASS"</formula>
    </cfRule>
  </conditionalFormatting>
  <conditionalFormatting sqref="F297">
    <cfRule type="expression" priority="797" dxfId="0">
      <formula>F297="FAIL"</formula>
    </cfRule>
    <cfRule type="expression" priority="798" dxfId="1">
      <formula>F297="PASS"</formula>
    </cfRule>
  </conditionalFormatting>
  <conditionalFormatting sqref="F301">
    <cfRule type="expression" priority="799" dxfId="0">
      <formula>F301="FAIL"</formula>
    </cfRule>
    <cfRule type="expression" priority="800" dxfId="1">
      <formula>F301="PASS"</formula>
    </cfRule>
  </conditionalFormatting>
  <conditionalFormatting sqref="I301">
    <cfRule type="expression" priority="801" dxfId="0">
      <formula>I301="FAIL"</formula>
    </cfRule>
    <cfRule type="expression" priority="802" dxfId="1">
      <formula>I301="PASS"</formula>
    </cfRule>
  </conditionalFormatting>
  <conditionalFormatting sqref="F302">
    <cfRule type="expression" priority="803" dxfId="0">
      <formula>F302="FAIL"</formula>
    </cfRule>
    <cfRule type="expression" priority="804" dxfId="1">
      <formula>F302="PASS"</formula>
    </cfRule>
  </conditionalFormatting>
  <conditionalFormatting sqref="I302">
    <cfRule type="expression" priority="805" dxfId="0">
      <formula>I302="FAIL"</formula>
    </cfRule>
    <cfRule type="expression" priority="806" dxfId="1">
      <formula>I302="PASS"</formula>
    </cfRule>
  </conditionalFormatting>
  <conditionalFormatting sqref="F303">
    <cfRule type="expression" priority="807" dxfId="0">
      <formula>F303="FAIL"</formula>
    </cfRule>
    <cfRule type="expression" priority="808" dxfId="1">
      <formula>F303="PASS"</formula>
    </cfRule>
  </conditionalFormatting>
  <conditionalFormatting sqref="I303">
    <cfRule type="expression" priority="809" dxfId="0">
      <formula>I303="FAIL"</formula>
    </cfRule>
    <cfRule type="expression" priority="810" dxfId="1">
      <formula>I303="PASS"</formula>
    </cfRule>
  </conditionalFormatting>
  <conditionalFormatting sqref="F304">
    <cfRule type="expression" priority="811" dxfId="0">
      <formula>F304="FAIL"</formula>
    </cfRule>
    <cfRule type="expression" priority="812" dxfId="1">
      <formula>F304="PASS"</formula>
    </cfRule>
  </conditionalFormatting>
  <conditionalFormatting sqref="I304">
    <cfRule type="expression" priority="813" dxfId="0">
      <formula>I304="FAIL"</formula>
    </cfRule>
    <cfRule type="expression" priority="814" dxfId="1">
      <formula>I304="PASS"</formula>
    </cfRule>
  </conditionalFormatting>
  <conditionalFormatting sqref="F305">
    <cfRule type="expression" priority="815" dxfId="0">
      <formula>F305="FAIL"</formula>
    </cfRule>
    <cfRule type="expression" priority="816" dxfId="1">
      <formula>F305="PASS"</formula>
    </cfRule>
  </conditionalFormatting>
  <conditionalFormatting sqref="I305">
    <cfRule type="expression" priority="817" dxfId="0">
      <formula>I305="FAIL"</formula>
    </cfRule>
    <cfRule type="expression" priority="818" dxfId="1">
      <formula>I305="PASS"</formula>
    </cfRule>
  </conditionalFormatting>
  <conditionalFormatting sqref="F306">
    <cfRule type="expression" priority="819" dxfId="0">
      <formula>F306="FAIL"</formula>
    </cfRule>
    <cfRule type="expression" priority="820" dxfId="1">
      <formula>F306="PASS"</formula>
    </cfRule>
  </conditionalFormatting>
  <conditionalFormatting sqref="I306">
    <cfRule type="expression" priority="821" dxfId="0">
      <formula>I306="FAIL"</formula>
    </cfRule>
    <cfRule type="expression" priority="822" dxfId="1">
      <formula>I306="PASS"</formula>
    </cfRule>
  </conditionalFormatting>
  <conditionalFormatting sqref="F307">
    <cfRule type="expression" priority="823" dxfId="0">
      <formula>F307="FAIL"</formula>
    </cfRule>
    <cfRule type="expression" priority="824" dxfId="1">
      <formula>F307="PASS"</formula>
    </cfRule>
  </conditionalFormatting>
  <conditionalFormatting sqref="I307">
    <cfRule type="expression" priority="825" dxfId="0">
      <formula>I307="FAIL"</formula>
    </cfRule>
    <cfRule type="expression" priority="826" dxfId="1">
      <formula>I307="PASS"</formula>
    </cfRule>
  </conditionalFormatting>
  <conditionalFormatting sqref="F308">
    <cfRule type="expression" priority="827" dxfId="0">
      <formula>F308="FAIL"</formula>
    </cfRule>
    <cfRule type="expression" priority="828" dxfId="1">
      <formula>F308="PASS"</formula>
    </cfRule>
  </conditionalFormatting>
  <conditionalFormatting sqref="I308">
    <cfRule type="expression" priority="829" dxfId="0">
      <formula>I308="FAIL"</formula>
    </cfRule>
    <cfRule type="expression" priority="830" dxfId="1">
      <formula>I308="PASS"</formula>
    </cfRule>
  </conditionalFormatting>
  <conditionalFormatting sqref="F309">
    <cfRule type="expression" priority="831" dxfId="0">
      <formula>F309="FAIL"</formula>
    </cfRule>
    <cfRule type="expression" priority="832" dxfId="1">
      <formula>F309="PASS"</formula>
    </cfRule>
  </conditionalFormatting>
  <conditionalFormatting sqref="F310">
    <cfRule type="expression" priority="833" dxfId="0">
      <formula>F310="FAIL"</formula>
    </cfRule>
    <cfRule type="expression" priority="834" dxfId="1">
      <formula>F310="PASS"</formula>
    </cfRule>
  </conditionalFormatting>
  <conditionalFormatting sqref="F311">
    <cfRule type="expression" priority="835" dxfId="0">
      <formula>F311="FAIL"</formula>
    </cfRule>
    <cfRule type="expression" priority="836" dxfId="1">
      <formula>F311="PASS"</formula>
    </cfRule>
  </conditionalFormatting>
  <conditionalFormatting sqref="F315">
    <cfRule type="expression" priority="837" dxfId="0">
      <formula>F315="FAIL"</formula>
    </cfRule>
    <cfRule type="expression" priority="838" dxfId="1">
      <formula>F315="PASS"</formula>
    </cfRule>
  </conditionalFormatting>
  <conditionalFormatting sqref="I315">
    <cfRule type="expression" priority="839" dxfId="0">
      <formula>I315="FAIL"</formula>
    </cfRule>
    <cfRule type="expression" priority="840" dxfId="1">
      <formula>I315="PASS"</formula>
    </cfRule>
  </conditionalFormatting>
  <conditionalFormatting sqref="F316">
    <cfRule type="expression" priority="841" dxfId="0">
      <formula>F316="FAIL"</formula>
    </cfRule>
    <cfRule type="expression" priority="842" dxfId="1">
      <formula>F316="PASS"</formula>
    </cfRule>
  </conditionalFormatting>
  <conditionalFormatting sqref="I316">
    <cfRule type="expression" priority="843" dxfId="0">
      <formula>I316="FAIL"</formula>
    </cfRule>
    <cfRule type="expression" priority="844" dxfId="1">
      <formula>I316="PASS"</formula>
    </cfRule>
  </conditionalFormatting>
  <conditionalFormatting sqref="F317">
    <cfRule type="expression" priority="845" dxfId="0">
      <formula>F317="FAIL"</formula>
    </cfRule>
    <cfRule type="expression" priority="846" dxfId="1">
      <formula>F317="PASS"</formula>
    </cfRule>
  </conditionalFormatting>
  <conditionalFormatting sqref="I317">
    <cfRule type="expression" priority="847" dxfId="0">
      <formula>I317="FAIL"</formula>
    </cfRule>
    <cfRule type="expression" priority="848" dxfId="1">
      <formula>I317="PASS"</formula>
    </cfRule>
  </conditionalFormatting>
  <conditionalFormatting sqref="F318">
    <cfRule type="expression" priority="849" dxfId="0">
      <formula>F318="FAIL"</formula>
    </cfRule>
    <cfRule type="expression" priority="850" dxfId="1">
      <formula>F318="PASS"</formula>
    </cfRule>
  </conditionalFormatting>
  <conditionalFormatting sqref="I318">
    <cfRule type="expression" priority="851" dxfId="0">
      <formula>I318="FAIL"</formula>
    </cfRule>
    <cfRule type="expression" priority="852" dxfId="1">
      <formula>I318="PASS"</formula>
    </cfRule>
  </conditionalFormatting>
  <conditionalFormatting sqref="F319">
    <cfRule type="expression" priority="853" dxfId="0">
      <formula>F319="FAIL"</formula>
    </cfRule>
    <cfRule type="expression" priority="854" dxfId="1">
      <formula>F319="PASS"</formula>
    </cfRule>
  </conditionalFormatting>
  <conditionalFormatting sqref="I319">
    <cfRule type="expression" priority="855" dxfId="0">
      <formula>I319="FAIL"</formula>
    </cfRule>
    <cfRule type="expression" priority="856" dxfId="1">
      <formula>I319="PASS"</formula>
    </cfRule>
  </conditionalFormatting>
  <conditionalFormatting sqref="F320">
    <cfRule type="expression" priority="857" dxfId="0">
      <formula>F320="FAIL"</formula>
    </cfRule>
    <cfRule type="expression" priority="858" dxfId="1">
      <formula>F320="PASS"</formula>
    </cfRule>
  </conditionalFormatting>
  <conditionalFormatting sqref="I320">
    <cfRule type="expression" priority="859" dxfId="0">
      <formula>I320="FAIL"</formula>
    </cfRule>
    <cfRule type="expression" priority="860" dxfId="1">
      <formula>I320="PASS"</formula>
    </cfRule>
  </conditionalFormatting>
  <conditionalFormatting sqref="F321">
    <cfRule type="expression" priority="861" dxfId="0">
      <formula>F321="FAIL"</formula>
    </cfRule>
    <cfRule type="expression" priority="862" dxfId="1">
      <formula>F321="PASS"</formula>
    </cfRule>
  </conditionalFormatting>
  <conditionalFormatting sqref="I321">
    <cfRule type="expression" priority="863" dxfId="0">
      <formula>I321="FAIL"</formula>
    </cfRule>
    <cfRule type="expression" priority="864" dxfId="1">
      <formula>I321="PASS"</formula>
    </cfRule>
  </conditionalFormatting>
  <conditionalFormatting sqref="F322">
    <cfRule type="expression" priority="865" dxfId="0">
      <formula>F322="FAIL"</formula>
    </cfRule>
    <cfRule type="expression" priority="866" dxfId="1">
      <formula>F322="PASS"</formula>
    </cfRule>
  </conditionalFormatting>
  <conditionalFormatting sqref="I322">
    <cfRule type="expression" priority="867" dxfId="0">
      <formula>I322="FAIL"</formula>
    </cfRule>
    <cfRule type="expression" priority="868" dxfId="1">
      <formula>I322="PASS"</formula>
    </cfRule>
  </conditionalFormatting>
  <conditionalFormatting sqref="F323">
    <cfRule type="expression" priority="869" dxfId="0">
      <formula>F323="FAIL"</formula>
    </cfRule>
    <cfRule type="expression" priority="870" dxfId="1">
      <formula>F323="PASS"</formula>
    </cfRule>
  </conditionalFormatting>
  <conditionalFormatting sqref="F324">
    <cfRule type="expression" priority="871" dxfId="0">
      <formula>F324="FAIL"</formula>
    </cfRule>
    <cfRule type="expression" priority="872" dxfId="1">
      <formula>F324="PASS"</formula>
    </cfRule>
  </conditionalFormatting>
  <conditionalFormatting sqref="F325">
    <cfRule type="expression" priority="873" dxfId="0">
      <formula>F325="FAIL"</formula>
    </cfRule>
    <cfRule type="expression" priority="874" dxfId="1">
      <formula>F325="PASS"</formula>
    </cfRule>
  </conditionalFormatting>
  <conditionalFormatting sqref="F329">
    <cfRule type="expression" priority="875" dxfId="0">
      <formula>F329="FAIL"</formula>
    </cfRule>
    <cfRule type="expression" priority="876" dxfId="1">
      <formula>F329="PASS"</formula>
    </cfRule>
  </conditionalFormatting>
  <conditionalFormatting sqref="I329">
    <cfRule type="expression" priority="877" dxfId="0">
      <formula>I329="FAIL"</formula>
    </cfRule>
    <cfRule type="expression" priority="878" dxfId="1">
      <formula>I329="PASS"</formula>
    </cfRule>
  </conditionalFormatting>
  <conditionalFormatting sqref="F330">
    <cfRule type="expression" priority="879" dxfId="0">
      <formula>F330="FAIL"</formula>
    </cfRule>
    <cfRule type="expression" priority="880" dxfId="1">
      <formula>F330="PASS"</formula>
    </cfRule>
  </conditionalFormatting>
  <conditionalFormatting sqref="I330">
    <cfRule type="expression" priority="881" dxfId="0">
      <formula>I330="FAIL"</formula>
    </cfRule>
    <cfRule type="expression" priority="882" dxfId="1">
      <formula>I330="PASS"</formula>
    </cfRule>
  </conditionalFormatting>
  <conditionalFormatting sqref="F331">
    <cfRule type="expression" priority="883" dxfId="0">
      <formula>F331="FAIL"</formula>
    </cfRule>
    <cfRule type="expression" priority="884" dxfId="1">
      <formula>F331="PASS"</formula>
    </cfRule>
  </conditionalFormatting>
  <conditionalFormatting sqref="I331">
    <cfRule type="expression" priority="885" dxfId="0">
      <formula>I331="FAIL"</formula>
    </cfRule>
    <cfRule type="expression" priority="886" dxfId="1">
      <formula>I331="PASS"</formula>
    </cfRule>
  </conditionalFormatting>
  <conditionalFormatting sqref="F332">
    <cfRule type="expression" priority="887" dxfId="0">
      <formula>F332="FAIL"</formula>
    </cfRule>
    <cfRule type="expression" priority="888" dxfId="1">
      <formula>F332="PASS"</formula>
    </cfRule>
  </conditionalFormatting>
  <conditionalFormatting sqref="I332">
    <cfRule type="expression" priority="889" dxfId="0">
      <formula>I332="FAIL"</formula>
    </cfRule>
    <cfRule type="expression" priority="890" dxfId="1">
      <formula>I332="PASS"</formula>
    </cfRule>
  </conditionalFormatting>
  <conditionalFormatting sqref="F333">
    <cfRule type="expression" priority="891" dxfId="0">
      <formula>F333="FAIL"</formula>
    </cfRule>
    <cfRule type="expression" priority="892" dxfId="1">
      <formula>F333="PASS"</formula>
    </cfRule>
  </conditionalFormatting>
  <conditionalFormatting sqref="I333">
    <cfRule type="expression" priority="893" dxfId="0">
      <formula>I333="FAIL"</formula>
    </cfRule>
    <cfRule type="expression" priority="894" dxfId="1">
      <formula>I333="PASS"</formula>
    </cfRule>
  </conditionalFormatting>
  <conditionalFormatting sqref="F334">
    <cfRule type="expression" priority="895" dxfId="0">
      <formula>F334="FAIL"</formula>
    </cfRule>
    <cfRule type="expression" priority="896" dxfId="1">
      <formula>F334="PASS"</formula>
    </cfRule>
  </conditionalFormatting>
  <conditionalFormatting sqref="I334">
    <cfRule type="expression" priority="897" dxfId="0">
      <formula>I334="FAIL"</formula>
    </cfRule>
    <cfRule type="expression" priority="898" dxfId="1">
      <formula>I334="PASS"</formula>
    </cfRule>
  </conditionalFormatting>
  <conditionalFormatting sqref="F335">
    <cfRule type="expression" priority="899" dxfId="0">
      <formula>F335="FAIL"</formula>
    </cfRule>
    <cfRule type="expression" priority="900" dxfId="1">
      <formula>F335="PASS"</formula>
    </cfRule>
  </conditionalFormatting>
  <conditionalFormatting sqref="I335">
    <cfRule type="expression" priority="901" dxfId="0">
      <formula>I335="FAIL"</formula>
    </cfRule>
    <cfRule type="expression" priority="902" dxfId="1">
      <formula>I335="PASS"</formula>
    </cfRule>
  </conditionalFormatting>
  <conditionalFormatting sqref="F336">
    <cfRule type="expression" priority="903" dxfId="0">
      <formula>F336="FAIL"</formula>
    </cfRule>
    <cfRule type="expression" priority="904" dxfId="1">
      <formula>F336="PASS"</formula>
    </cfRule>
  </conditionalFormatting>
  <conditionalFormatting sqref="I336">
    <cfRule type="expression" priority="905" dxfId="0">
      <formula>I336="FAIL"</formula>
    </cfRule>
    <cfRule type="expression" priority="906" dxfId="1">
      <formula>I336="PASS"</formula>
    </cfRule>
  </conditionalFormatting>
  <conditionalFormatting sqref="F337">
    <cfRule type="expression" priority="907" dxfId="0">
      <formula>F337="FAIL"</formula>
    </cfRule>
    <cfRule type="expression" priority="908" dxfId="1">
      <formula>F337="PASS"</formula>
    </cfRule>
  </conditionalFormatting>
  <conditionalFormatting sqref="F338">
    <cfRule type="expression" priority="909" dxfId="0">
      <formula>F338="FAIL"</formula>
    </cfRule>
    <cfRule type="expression" priority="910" dxfId="1">
      <formula>F338="PASS"</formula>
    </cfRule>
  </conditionalFormatting>
  <conditionalFormatting sqref="F339">
    <cfRule type="expression" priority="911" dxfId="0">
      <formula>F339="FAIL"</formula>
    </cfRule>
    <cfRule type="expression" priority="912" dxfId="1">
      <formula>F339="PASS"</formula>
    </cfRule>
  </conditionalFormatting>
  <conditionalFormatting sqref="F343">
    <cfRule type="expression" priority="913" dxfId="0">
      <formula>F343="FAIL"</formula>
    </cfRule>
    <cfRule type="expression" priority="914" dxfId="1">
      <formula>F343="PASS"</formula>
    </cfRule>
  </conditionalFormatting>
  <conditionalFormatting sqref="I343">
    <cfRule type="expression" priority="915" dxfId="0">
      <formula>I343="FAIL"</formula>
    </cfRule>
    <cfRule type="expression" priority="916" dxfId="1">
      <formula>I343="PASS"</formula>
    </cfRule>
  </conditionalFormatting>
  <conditionalFormatting sqref="F344">
    <cfRule type="expression" priority="917" dxfId="0">
      <formula>F344="FAIL"</formula>
    </cfRule>
    <cfRule type="expression" priority="918" dxfId="1">
      <formula>F344="PASS"</formula>
    </cfRule>
  </conditionalFormatting>
  <conditionalFormatting sqref="I344">
    <cfRule type="expression" priority="919" dxfId="0">
      <formula>I344="FAIL"</formula>
    </cfRule>
    <cfRule type="expression" priority="920" dxfId="1">
      <formula>I344="PASS"</formula>
    </cfRule>
  </conditionalFormatting>
  <conditionalFormatting sqref="F345">
    <cfRule type="expression" priority="921" dxfId="0">
      <formula>F345="FAIL"</formula>
    </cfRule>
    <cfRule type="expression" priority="922" dxfId="1">
      <formula>F345="PASS"</formula>
    </cfRule>
  </conditionalFormatting>
  <conditionalFormatting sqref="I345">
    <cfRule type="expression" priority="923" dxfId="0">
      <formula>I345="FAIL"</formula>
    </cfRule>
    <cfRule type="expression" priority="924" dxfId="1">
      <formula>I345="PASS"</formula>
    </cfRule>
  </conditionalFormatting>
  <conditionalFormatting sqref="F346">
    <cfRule type="expression" priority="925" dxfId="0">
      <formula>F346="FAIL"</formula>
    </cfRule>
    <cfRule type="expression" priority="926" dxfId="1">
      <formula>F346="PASS"</formula>
    </cfRule>
  </conditionalFormatting>
  <conditionalFormatting sqref="I346">
    <cfRule type="expression" priority="927" dxfId="0">
      <formula>I346="FAIL"</formula>
    </cfRule>
    <cfRule type="expression" priority="928" dxfId="1">
      <formula>I346="PASS"</formula>
    </cfRule>
  </conditionalFormatting>
  <conditionalFormatting sqref="F347">
    <cfRule type="expression" priority="929" dxfId="0">
      <formula>F347="FAIL"</formula>
    </cfRule>
    <cfRule type="expression" priority="930" dxfId="1">
      <formula>F347="PASS"</formula>
    </cfRule>
  </conditionalFormatting>
  <conditionalFormatting sqref="I347">
    <cfRule type="expression" priority="931" dxfId="0">
      <formula>I347="FAIL"</formula>
    </cfRule>
    <cfRule type="expression" priority="932" dxfId="1">
      <formula>I347="PASS"</formula>
    </cfRule>
  </conditionalFormatting>
  <conditionalFormatting sqref="F348">
    <cfRule type="expression" priority="933" dxfId="0">
      <formula>F348="FAIL"</formula>
    </cfRule>
    <cfRule type="expression" priority="934" dxfId="1">
      <formula>F348="PASS"</formula>
    </cfRule>
  </conditionalFormatting>
  <conditionalFormatting sqref="I348">
    <cfRule type="expression" priority="935" dxfId="0">
      <formula>I348="FAIL"</formula>
    </cfRule>
    <cfRule type="expression" priority="936" dxfId="1">
      <formula>I348="PASS"</formula>
    </cfRule>
  </conditionalFormatting>
  <conditionalFormatting sqref="F349">
    <cfRule type="expression" priority="937" dxfId="0">
      <formula>F349="FAIL"</formula>
    </cfRule>
    <cfRule type="expression" priority="938" dxfId="1">
      <formula>F349="PASS"</formula>
    </cfRule>
  </conditionalFormatting>
  <conditionalFormatting sqref="I349">
    <cfRule type="expression" priority="939" dxfId="0">
      <formula>I349="FAIL"</formula>
    </cfRule>
    <cfRule type="expression" priority="940" dxfId="1">
      <formula>I349="PASS"</formula>
    </cfRule>
  </conditionalFormatting>
  <conditionalFormatting sqref="F350">
    <cfRule type="expression" priority="941" dxfId="0">
      <formula>F350="FAIL"</formula>
    </cfRule>
    <cfRule type="expression" priority="942" dxfId="1">
      <formula>F350="PASS"</formula>
    </cfRule>
  </conditionalFormatting>
  <conditionalFormatting sqref="I350">
    <cfRule type="expression" priority="943" dxfId="0">
      <formula>I350="FAIL"</formula>
    </cfRule>
    <cfRule type="expression" priority="944" dxfId="1">
      <formula>I350="PASS"</formula>
    </cfRule>
  </conditionalFormatting>
  <conditionalFormatting sqref="F351">
    <cfRule type="expression" priority="945" dxfId="0">
      <formula>F351="FAIL"</formula>
    </cfRule>
    <cfRule type="expression" priority="946" dxfId="1">
      <formula>F351="PASS"</formula>
    </cfRule>
  </conditionalFormatting>
  <conditionalFormatting sqref="F352">
    <cfRule type="expression" priority="947" dxfId="0">
      <formula>F352="FAIL"</formula>
    </cfRule>
    <cfRule type="expression" priority="948" dxfId="1">
      <formula>F352="PASS"</formula>
    </cfRule>
  </conditionalFormatting>
  <conditionalFormatting sqref="F353">
    <cfRule type="expression" priority="949" dxfId="0">
      <formula>F353="FAIL"</formula>
    </cfRule>
    <cfRule type="expression" priority="950" dxfId="1">
      <formula>F353="PASS"</formula>
    </cfRule>
  </conditionalFormatting>
  <conditionalFormatting sqref="F357">
    <cfRule type="expression" priority="951" dxfId="0">
      <formula>F357="FAIL"</formula>
    </cfRule>
    <cfRule type="expression" priority="952" dxfId="1">
      <formula>F357="PASS"</formula>
    </cfRule>
  </conditionalFormatting>
  <conditionalFormatting sqref="I357">
    <cfRule type="expression" priority="953" dxfId="0">
      <formula>I357="FAIL"</formula>
    </cfRule>
    <cfRule type="expression" priority="954" dxfId="1">
      <formula>I357="PASS"</formula>
    </cfRule>
  </conditionalFormatting>
  <conditionalFormatting sqref="F358">
    <cfRule type="expression" priority="955" dxfId="0">
      <formula>F358="FAIL"</formula>
    </cfRule>
    <cfRule type="expression" priority="956" dxfId="1">
      <formula>F358="PASS"</formula>
    </cfRule>
  </conditionalFormatting>
  <conditionalFormatting sqref="I358">
    <cfRule type="expression" priority="957" dxfId="0">
      <formula>I358="FAIL"</formula>
    </cfRule>
    <cfRule type="expression" priority="958" dxfId="1">
      <formula>I358="PASS"</formula>
    </cfRule>
  </conditionalFormatting>
  <conditionalFormatting sqref="F359">
    <cfRule type="expression" priority="959" dxfId="0">
      <formula>F359="FAIL"</formula>
    </cfRule>
    <cfRule type="expression" priority="960" dxfId="1">
      <formula>F359="PASS"</formula>
    </cfRule>
  </conditionalFormatting>
  <conditionalFormatting sqref="I359">
    <cfRule type="expression" priority="961" dxfId="0">
      <formula>I359="FAIL"</formula>
    </cfRule>
    <cfRule type="expression" priority="962" dxfId="1">
      <formula>I359="PASS"</formula>
    </cfRule>
  </conditionalFormatting>
  <conditionalFormatting sqref="F360">
    <cfRule type="expression" priority="963" dxfId="0">
      <formula>F360="FAIL"</formula>
    </cfRule>
    <cfRule type="expression" priority="964" dxfId="1">
      <formula>F360="PASS"</formula>
    </cfRule>
  </conditionalFormatting>
  <conditionalFormatting sqref="I360">
    <cfRule type="expression" priority="965" dxfId="0">
      <formula>I360="FAIL"</formula>
    </cfRule>
    <cfRule type="expression" priority="966" dxfId="1">
      <formula>I360="PASS"</formula>
    </cfRule>
  </conditionalFormatting>
  <conditionalFormatting sqref="F361">
    <cfRule type="expression" priority="967" dxfId="0">
      <formula>F361="FAIL"</formula>
    </cfRule>
    <cfRule type="expression" priority="968" dxfId="1">
      <formula>F361="PASS"</formula>
    </cfRule>
  </conditionalFormatting>
  <conditionalFormatting sqref="I361">
    <cfRule type="expression" priority="969" dxfId="0">
      <formula>I361="FAIL"</formula>
    </cfRule>
    <cfRule type="expression" priority="970" dxfId="1">
      <formula>I361="PASS"</formula>
    </cfRule>
  </conditionalFormatting>
  <conditionalFormatting sqref="F362">
    <cfRule type="expression" priority="971" dxfId="0">
      <formula>F362="FAIL"</formula>
    </cfRule>
    <cfRule type="expression" priority="972" dxfId="1">
      <formula>F362="PASS"</formula>
    </cfRule>
  </conditionalFormatting>
  <conditionalFormatting sqref="I362">
    <cfRule type="expression" priority="973" dxfId="0">
      <formula>I362="FAIL"</formula>
    </cfRule>
    <cfRule type="expression" priority="974" dxfId="1">
      <formula>I362="PASS"</formula>
    </cfRule>
  </conditionalFormatting>
  <conditionalFormatting sqref="F363">
    <cfRule type="expression" priority="975" dxfId="0">
      <formula>F363="FAIL"</formula>
    </cfRule>
    <cfRule type="expression" priority="976" dxfId="1">
      <formula>F363="PASS"</formula>
    </cfRule>
  </conditionalFormatting>
  <conditionalFormatting sqref="I363">
    <cfRule type="expression" priority="977" dxfId="0">
      <formula>I363="FAIL"</formula>
    </cfRule>
    <cfRule type="expression" priority="978" dxfId="1">
      <formula>I363="PASS"</formula>
    </cfRule>
  </conditionalFormatting>
  <conditionalFormatting sqref="F364">
    <cfRule type="expression" priority="979" dxfId="0">
      <formula>F364="FAIL"</formula>
    </cfRule>
    <cfRule type="expression" priority="980" dxfId="1">
      <formula>F364="PASS"</formula>
    </cfRule>
  </conditionalFormatting>
  <conditionalFormatting sqref="I364">
    <cfRule type="expression" priority="981" dxfId="0">
      <formula>I364="FAIL"</formula>
    </cfRule>
    <cfRule type="expression" priority="982" dxfId="1">
      <formula>I364="PASS"</formula>
    </cfRule>
  </conditionalFormatting>
  <conditionalFormatting sqref="F365">
    <cfRule type="expression" priority="983" dxfId="0">
      <formula>F365="FAIL"</formula>
    </cfRule>
    <cfRule type="expression" priority="984" dxfId="1">
      <formula>F365="PASS"</formula>
    </cfRule>
  </conditionalFormatting>
  <conditionalFormatting sqref="F366">
    <cfRule type="expression" priority="985" dxfId="0">
      <formula>F366="FAIL"</formula>
    </cfRule>
    <cfRule type="expression" priority="986" dxfId="1">
      <formula>F366="PASS"</formula>
    </cfRule>
  </conditionalFormatting>
  <conditionalFormatting sqref="F367">
    <cfRule type="expression" priority="987" dxfId="0">
      <formula>F367="FAIL"</formula>
    </cfRule>
    <cfRule type="expression" priority="988" dxfId="1">
      <formula>F367="PASS"</formula>
    </cfRule>
  </conditionalFormatting>
  <conditionalFormatting sqref="F371">
    <cfRule type="expression" priority="989" dxfId="0">
      <formula>F371="FAIL"</formula>
    </cfRule>
    <cfRule type="expression" priority="990" dxfId="1">
      <formula>F371="PASS"</formula>
    </cfRule>
  </conditionalFormatting>
  <conditionalFormatting sqref="I371">
    <cfRule type="expression" priority="991" dxfId="0">
      <formula>I371="FAIL"</formula>
    </cfRule>
    <cfRule type="expression" priority="992" dxfId="1">
      <formula>I371="PASS"</formula>
    </cfRule>
  </conditionalFormatting>
  <conditionalFormatting sqref="F372">
    <cfRule type="expression" priority="993" dxfId="0">
      <formula>F372="FAIL"</formula>
    </cfRule>
    <cfRule type="expression" priority="994" dxfId="1">
      <formula>F372="PASS"</formula>
    </cfRule>
  </conditionalFormatting>
  <conditionalFormatting sqref="I372">
    <cfRule type="expression" priority="995" dxfId="0">
      <formula>I372="FAIL"</formula>
    </cfRule>
    <cfRule type="expression" priority="996" dxfId="1">
      <formula>I372="PASS"</formula>
    </cfRule>
  </conditionalFormatting>
  <conditionalFormatting sqref="F373">
    <cfRule type="expression" priority="997" dxfId="0">
      <formula>F373="FAIL"</formula>
    </cfRule>
    <cfRule type="expression" priority="998" dxfId="1">
      <formula>F373="PASS"</formula>
    </cfRule>
  </conditionalFormatting>
  <conditionalFormatting sqref="I373">
    <cfRule type="expression" priority="999" dxfId="0">
      <formula>I373="FAIL"</formula>
    </cfRule>
    <cfRule type="expression" priority="1000" dxfId="1">
      <formula>I373="PASS"</formula>
    </cfRule>
  </conditionalFormatting>
  <conditionalFormatting sqref="F374">
    <cfRule type="expression" priority="1001" dxfId="0">
      <formula>F374="FAIL"</formula>
    </cfRule>
    <cfRule type="expression" priority="1002" dxfId="1">
      <formula>F374="PASS"</formula>
    </cfRule>
  </conditionalFormatting>
  <conditionalFormatting sqref="I374">
    <cfRule type="expression" priority="1003" dxfId="0">
      <formula>I374="FAIL"</formula>
    </cfRule>
    <cfRule type="expression" priority="1004" dxfId="1">
      <formula>I374="PASS"</formula>
    </cfRule>
  </conditionalFormatting>
  <conditionalFormatting sqref="F375">
    <cfRule type="expression" priority="1005" dxfId="0">
      <formula>F375="FAIL"</formula>
    </cfRule>
    <cfRule type="expression" priority="1006" dxfId="1">
      <formula>F375="PASS"</formula>
    </cfRule>
  </conditionalFormatting>
  <conditionalFormatting sqref="I375">
    <cfRule type="expression" priority="1007" dxfId="0">
      <formula>I375="FAIL"</formula>
    </cfRule>
    <cfRule type="expression" priority="1008" dxfId="1">
      <formula>I375="PASS"</formula>
    </cfRule>
  </conditionalFormatting>
  <conditionalFormatting sqref="F376">
    <cfRule type="expression" priority="1009" dxfId="0">
      <formula>F376="FAIL"</formula>
    </cfRule>
    <cfRule type="expression" priority="1010" dxfId="1">
      <formula>F376="PASS"</formula>
    </cfRule>
  </conditionalFormatting>
  <conditionalFormatting sqref="I376">
    <cfRule type="expression" priority="1011" dxfId="0">
      <formula>I376="FAIL"</formula>
    </cfRule>
    <cfRule type="expression" priority="1012" dxfId="1">
      <formula>I376="PASS"</formula>
    </cfRule>
  </conditionalFormatting>
  <conditionalFormatting sqref="F377">
    <cfRule type="expression" priority="1013" dxfId="0">
      <formula>F377="FAIL"</formula>
    </cfRule>
    <cfRule type="expression" priority="1014" dxfId="1">
      <formula>F377="PASS"</formula>
    </cfRule>
  </conditionalFormatting>
  <conditionalFormatting sqref="I377">
    <cfRule type="expression" priority="1015" dxfId="0">
      <formula>I377="FAIL"</formula>
    </cfRule>
    <cfRule type="expression" priority="1016" dxfId="1">
      <formula>I377="PASS"</formula>
    </cfRule>
  </conditionalFormatting>
  <conditionalFormatting sqref="F378">
    <cfRule type="expression" priority="1017" dxfId="0">
      <formula>F378="FAIL"</formula>
    </cfRule>
    <cfRule type="expression" priority="1018" dxfId="1">
      <formula>F378="PASS"</formula>
    </cfRule>
  </conditionalFormatting>
  <conditionalFormatting sqref="I378">
    <cfRule type="expression" priority="1019" dxfId="0">
      <formula>I378="FAIL"</formula>
    </cfRule>
    <cfRule type="expression" priority="1020" dxfId="1">
      <formula>I378="PASS"</formula>
    </cfRule>
  </conditionalFormatting>
  <conditionalFormatting sqref="F379">
    <cfRule type="expression" priority="1021" dxfId="0">
      <formula>F379="FAIL"</formula>
    </cfRule>
    <cfRule type="expression" priority="1022" dxfId="1">
      <formula>F379="PASS"</formula>
    </cfRule>
  </conditionalFormatting>
  <conditionalFormatting sqref="F380">
    <cfRule type="expression" priority="1023" dxfId="0">
      <formula>F380="FAIL"</formula>
    </cfRule>
    <cfRule type="expression" priority="1024" dxfId="1">
      <formula>F380="PASS"</formula>
    </cfRule>
  </conditionalFormatting>
  <conditionalFormatting sqref="F381">
    <cfRule type="expression" priority="1025" dxfId="0">
      <formula>F381="FAIL"</formula>
    </cfRule>
    <cfRule type="expression" priority="1026" dxfId="1">
      <formula>F381="PASS"</formula>
    </cfRule>
  </conditionalFormatting>
  <conditionalFormatting sqref="F385">
    <cfRule type="expression" priority="1027" dxfId="0">
      <formula>F385="FAIL"</formula>
    </cfRule>
    <cfRule type="expression" priority="1028" dxfId="1">
      <formula>F385="PASS"</formula>
    </cfRule>
  </conditionalFormatting>
  <conditionalFormatting sqref="I385">
    <cfRule type="expression" priority="1029" dxfId="0">
      <formula>I385="FAIL"</formula>
    </cfRule>
    <cfRule type="expression" priority="1030" dxfId="1">
      <formula>I385="PASS"</formula>
    </cfRule>
  </conditionalFormatting>
  <conditionalFormatting sqref="F386">
    <cfRule type="expression" priority="1031" dxfId="0">
      <formula>F386="FAIL"</formula>
    </cfRule>
    <cfRule type="expression" priority="1032" dxfId="1">
      <formula>F386="PASS"</formula>
    </cfRule>
  </conditionalFormatting>
  <conditionalFormatting sqref="I386">
    <cfRule type="expression" priority="1033" dxfId="0">
      <formula>I386="FAIL"</formula>
    </cfRule>
    <cfRule type="expression" priority="1034" dxfId="1">
      <formula>I386="PASS"</formula>
    </cfRule>
  </conditionalFormatting>
  <conditionalFormatting sqref="F387">
    <cfRule type="expression" priority="1035" dxfId="0">
      <formula>F387="FAIL"</formula>
    </cfRule>
    <cfRule type="expression" priority="1036" dxfId="1">
      <formula>F387="PASS"</formula>
    </cfRule>
  </conditionalFormatting>
  <conditionalFormatting sqref="I387">
    <cfRule type="expression" priority="1037" dxfId="0">
      <formula>I387="FAIL"</formula>
    </cfRule>
    <cfRule type="expression" priority="1038" dxfId="1">
      <formula>I387="PASS"</formula>
    </cfRule>
  </conditionalFormatting>
  <conditionalFormatting sqref="F388">
    <cfRule type="expression" priority="1039" dxfId="0">
      <formula>F388="FAIL"</formula>
    </cfRule>
    <cfRule type="expression" priority="1040" dxfId="1">
      <formula>F388="PASS"</formula>
    </cfRule>
  </conditionalFormatting>
  <conditionalFormatting sqref="I388">
    <cfRule type="expression" priority="1041" dxfId="0">
      <formula>I388="FAIL"</formula>
    </cfRule>
    <cfRule type="expression" priority="1042" dxfId="1">
      <formula>I388="PASS"</formula>
    </cfRule>
  </conditionalFormatting>
  <conditionalFormatting sqref="F389">
    <cfRule type="expression" priority="1043" dxfId="0">
      <formula>F389="FAIL"</formula>
    </cfRule>
    <cfRule type="expression" priority="1044" dxfId="1">
      <formula>F389="PASS"</formula>
    </cfRule>
  </conditionalFormatting>
  <conditionalFormatting sqref="I389">
    <cfRule type="expression" priority="1045" dxfId="0">
      <formula>I389="FAIL"</formula>
    </cfRule>
    <cfRule type="expression" priority="1046" dxfId="1">
      <formula>I389="PASS"</formula>
    </cfRule>
  </conditionalFormatting>
  <conditionalFormatting sqref="F390">
    <cfRule type="expression" priority="1047" dxfId="0">
      <formula>F390="FAIL"</formula>
    </cfRule>
    <cfRule type="expression" priority="1048" dxfId="1">
      <formula>F390="PASS"</formula>
    </cfRule>
  </conditionalFormatting>
  <conditionalFormatting sqref="I390">
    <cfRule type="expression" priority="1049" dxfId="0">
      <formula>I390="FAIL"</formula>
    </cfRule>
    <cfRule type="expression" priority="1050" dxfId="1">
      <formula>I390="PASS"</formula>
    </cfRule>
  </conditionalFormatting>
  <conditionalFormatting sqref="F391">
    <cfRule type="expression" priority="1051" dxfId="0">
      <formula>F391="FAIL"</formula>
    </cfRule>
    <cfRule type="expression" priority="1052" dxfId="1">
      <formula>F391="PASS"</formula>
    </cfRule>
  </conditionalFormatting>
  <conditionalFormatting sqref="I391">
    <cfRule type="expression" priority="1053" dxfId="0">
      <formula>I391="FAIL"</formula>
    </cfRule>
    <cfRule type="expression" priority="1054" dxfId="1">
      <formula>I391="PASS"</formula>
    </cfRule>
  </conditionalFormatting>
  <conditionalFormatting sqref="F392">
    <cfRule type="expression" priority="1055" dxfId="0">
      <formula>F392="FAIL"</formula>
    </cfRule>
    <cfRule type="expression" priority="1056" dxfId="1">
      <formula>F392="PASS"</formula>
    </cfRule>
  </conditionalFormatting>
  <conditionalFormatting sqref="I392">
    <cfRule type="expression" priority="1057" dxfId="0">
      <formula>I392="FAIL"</formula>
    </cfRule>
    <cfRule type="expression" priority="1058" dxfId="1">
      <formula>I392="PASS"</formula>
    </cfRule>
  </conditionalFormatting>
  <conditionalFormatting sqref="F393">
    <cfRule type="expression" priority="1059" dxfId="0">
      <formula>F393="FAIL"</formula>
    </cfRule>
    <cfRule type="expression" priority="1060" dxfId="1">
      <formula>F393="PASS"</formula>
    </cfRule>
  </conditionalFormatting>
  <conditionalFormatting sqref="F394">
    <cfRule type="expression" priority="1061" dxfId="0">
      <formula>F394="FAIL"</formula>
    </cfRule>
    <cfRule type="expression" priority="1062" dxfId="1">
      <formula>F394="PASS"</formula>
    </cfRule>
  </conditionalFormatting>
  <conditionalFormatting sqref="F395">
    <cfRule type="expression" priority="1063" dxfId="0">
      <formula>F395="FAIL"</formula>
    </cfRule>
    <cfRule type="expression" priority="1064" dxfId="1">
      <formula>F395="PASS"</formula>
    </cfRule>
  </conditionalFormatting>
  <conditionalFormatting sqref="F399">
    <cfRule type="expression" priority="1065" dxfId="0">
      <formula>F399="FAIL"</formula>
    </cfRule>
    <cfRule type="expression" priority="1066" dxfId="1">
      <formula>F399="PASS"</formula>
    </cfRule>
  </conditionalFormatting>
  <conditionalFormatting sqref="I399">
    <cfRule type="expression" priority="1067" dxfId="0">
      <formula>I399="FAIL"</formula>
    </cfRule>
    <cfRule type="expression" priority="1068" dxfId="1">
      <formula>I399="PASS"</formula>
    </cfRule>
  </conditionalFormatting>
  <conditionalFormatting sqref="F400">
    <cfRule type="expression" priority="1069" dxfId="0">
      <formula>F400="FAIL"</formula>
    </cfRule>
    <cfRule type="expression" priority="1070" dxfId="1">
      <formula>F400="PASS"</formula>
    </cfRule>
  </conditionalFormatting>
  <conditionalFormatting sqref="I400">
    <cfRule type="expression" priority="1071" dxfId="0">
      <formula>I400="FAIL"</formula>
    </cfRule>
    <cfRule type="expression" priority="1072" dxfId="1">
      <formula>I400="PASS"</formula>
    </cfRule>
  </conditionalFormatting>
  <conditionalFormatting sqref="F401">
    <cfRule type="expression" priority="1073" dxfId="0">
      <formula>F401="FAIL"</formula>
    </cfRule>
    <cfRule type="expression" priority="1074" dxfId="1">
      <formula>F401="PASS"</formula>
    </cfRule>
  </conditionalFormatting>
  <conditionalFormatting sqref="I401">
    <cfRule type="expression" priority="1075" dxfId="0">
      <formula>I401="FAIL"</formula>
    </cfRule>
    <cfRule type="expression" priority="1076" dxfId="1">
      <formula>I401="PASS"</formula>
    </cfRule>
  </conditionalFormatting>
  <conditionalFormatting sqref="F402">
    <cfRule type="expression" priority="1077" dxfId="0">
      <formula>F402="FAIL"</formula>
    </cfRule>
    <cfRule type="expression" priority="1078" dxfId="1">
      <formula>F402="PASS"</formula>
    </cfRule>
  </conditionalFormatting>
  <conditionalFormatting sqref="I402">
    <cfRule type="expression" priority="1079" dxfId="0">
      <formula>I402="FAIL"</formula>
    </cfRule>
    <cfRule type="expression" priority="1080" dxfId="1">
      <formula>I402="PASS"</formula>
    </cfRule>
  </conditionalFormatting>
  <conditionalFormatting sqref="F403">
    <cfRule type="expression" priority="1081" dxfId="0">
      <formula>F403="FAIL"</formula>
    </cfRule>
    <cfRule type="expression" priority="1082" dxfId="1">
      <formula>F403="PASS"</formula>
    </cfRule>
  </conditionalFormatting>
  <conditionalFormatting sqref="I403">
    <cfRule type="expression" priority="1083" dxfId="0">
      <formula>I403="FAIL"</formula>
    </cfRule>
    <cfRule type="expression" priority="1084" dxfId="1">
      <formula>I403="PASS"</formula>
    </cfRule>
  </conditionalFormatting>
  <conditionalFormatting sqref="F404">
    <cfRule type="expression" priority="1085" dxfId="0">
      <formula>F404="FAIL"</formula>
    </cfRule>
    <cfRule type="expression" priority="1086" dxfId="1">
      <formula>F404="PASS"</formula>
    </cfRule>
  </conditionalFormatting>
  <conditionalFormatting sqref="I404">
    <cfRule type="expression" priority="1087" dxfId="0">
      <formula>I404="FAIL"</formula>
    </cfRule>
    <cfRule type="expression" priority="1088" dxfId="1">
      <formula>I404="PASS"</formula>
    </cfRule>
  </conditionalFormatting>
  <conditionalFormatting sqref="F405">
    <cfRule type="expression" priority="1089" dxfId="0">
      <formula>F405="FAIL"</formula>
    </cfRule>
    <cfRule type="expression" priority="1090" dxfId="1">
      <formula>F405="PASS"</formula>
    </cfRule>
  </conditionalFormatting>
  <conditionalFormatting sqref="I405">
    <cfRule type="expression" priority="1091" dxfId="0">
      <formula>I405="FAIL"</formula>
    </cfRule>
    <cfRule type="expression" priority="1092" dxfId="1">
      <formula>I405="PASS"</formula>
    </cfRule>
  </conditionalFormatting>
  <conditionalFormatting sqref="F406">
    <cfRule type="expression" priority="1093" dxfId="0">
      <formula>F406="FAIL"</formula>
    </cfRule>
    <cfRule type="expression" priority="1094" dxfId="1">
      <formula>F406="PASS"</formula>
    </cfRule>
  </conditionalFormatting>
  <conditionalFormatting sqref="I406">
    <cfRule type="expression" priority="1095" dxfId="0">
      <formula>I406="FAIL"</formula>
    </cfRule>
    <cfRule type="expression" priority="1096" dxfId="1">
      <formula>I406="PASS"</formula>
    </cfRule>
  </conditionalFormatting>
  <conditionalFormatting sqref="F407">
    <cfRule type="expression" priority="1097" dxfId="0">
      <formula>F407="FAIL"</formula>
    </cfRule>
    <cfRule type="expression" priority="1098" dxfId="1">
      <formula>F407="PASS"</formula>
    </cfRule>
  </conditionalFormatting>
  <conditionalFormatting sqref="F408">
    <cfRule type="expression" priority="1099" dxfId="0">
      <formula>F408="FAIL"</formula>
    </cfRule>
    <cfRule type="expression" priority="1100" dxfId="1">
      <formula>F408="PASS"</formula>
    </cfRule>
  </conditionalFormatting>
  <conditionalFormatting sqref="F409">
    <cfRule type="expression" priority="1101" dxfId="0">
      <formula>F409="FAIL"</formula>
    </cfRule>
    <cfRule type="expression" priority="1102" dxfId="1">
      <formula>F409="PASS"</formula>
    </cfRule>
  </conditionalFormatting>
  <conditionalFormatting sqref="F413">
    <cfRule type="expression" priority="1103" dxfId="0">
      <formula>F413="FAIL"</formula>
    </cfRule>
    <cfRule type="expression" priority="1104" dxfId="1">
      <formula>F413="PASS"</formula>
    </cfRule>
  </conditionalFormatting>
  <conditionalFormatting sqref="I413">
    <cfRule type="expression" priority="1105" dxfId="0">
      <formula>I413="FAIL"</formula>
    </cfRule>
    <cfRule type="expression" priority="1106" dxfId="1">
      <formula>I413="PASS"</formula>
    </cfRule>
  </conditionalFormatting>
  <conditionalFormatting sqref="F414">
    <cfRule type="expression" priority="1107" dxfId="0">
      <formula>F414="FAIL"</formula>
    </cfRule>
    <cfRule type="expression" priority="1108" dxfId="1">
      <formula>F414="PASS"</formula>
    </cfRule>
  </conditionalFormatting>
  <conditionalFormatting sqref="I414">
    <cfRule type="expression" priority="1109" dxfId="0">
      <formula>I414="FAIL"</formula>
    </cfRule>
    <cfRule type="expression" priority="1110" dxfId="1">
      <formula>I414="PASS"</formula>
    </cfRule>
  </conditionalFormatting>
  <conditionalFormatting sqref="F415">
    <cfRule type="expression" priority="1111" dxfId="0">
      <formula>F415="FAIL"</formula>
    </cfRule>
    <cfRule type="expression" priority="1112" dxfId="1">
      <formula>F415="PASS"</formula>
    </cfRule>
  </conditionalFormatting>
  <conditionalFormatting sqref="I415">
    <cfRule type="expression" priority="1113" dxfId="0">
      <formula>I415="FAIL"</formula>
    </cfRule>
    <cfRule type="expression" priority="1114" dxfId="1">
      <formula>I415="PASS"</formula>
    </cfRule>
  </conditionalFormatting>
  <conditionalFormatting sqref="F416">
    <cfRule type="expression" priority="1115" dxfId="0">
      <formula>F416="FAIL"</formula>
    </cfRule>
    <cfRule type="expression" priority="1116" dxfId="1">
      <formula>F416="PASS"</formula>
    </cfRule>
  </conditionalFormatting>
  <conditionalFormatting sqref="I416">
    <cfRule type="expression" priority="1117" dxfId="0">
      <formula>I416="FAIL"</formula>
    </cfRule>
    <cfRule type="expression" priority="1118" dxfId="1">
      <formula>I416="PASS"</formula>
    </cfRule>
  </conditionalFormatting>
  <conditionalFormatting sqref="F417">
    <cfRule type="expression" priority="1119" dxfId="0">
      <formula>F417="FAIL"</formula>
    </cfRule>
    <cfRule type="expression" priority="1120" dxfId="1">
      <formula>F417="PASS"</formula>
    </cfRule>
  </conditionalFormatting>
  <conditionalFormatting sqref="I417">
    <cfRule type="expression" priority="1121" dxfId="0">
      <formula>I417="FAIL"</formula>
    </cfRule>
    <cfRule type="expression" priority="1122" dxfId="1">
      <formula>I417="PASS"</formula>
    </cfRule>
  </conditionalFormatting>
  <conditionalFormatting sqref="F418">
    <cfRule type="expression" priority="1123" dxfId="0">
      <formula>F418="FAIL"</formula>
    </cfRule>
    <cfRule type="expression" priority="1124" dxfId="1">
      <formula>F418="PASS"</formula>
    </cfRule>
  </conditionalFormatting>
  <conditionalFormatting sqref="I418">
    <cfRule type="expression" priority="1125" dxfId="0">
      <formula>I418="FAIL"</formula>
    </cfRule>
    <cfRule type="expression" priority="1126" dxfId="1">
      <formula>I418="PASS"</formula>
    </cfRule>
  </conditionalFormatting>
  <conditionalFormatting sqref="F419">
    <cfRule type="expression" priority="1127" dxfId="0">
      <formula>F419="FAIL"</formula>
    </cfRule>
    <cfRule type="expression" priority="1128" dxfId="1">
      <formula>F419="PASS"</formula>
    </cfRule>
  </conditionalFormatting>
  <conditionalFormatting sqref="I419">
    <cfRule type="expression" priority="1129" dxfId="0">
      <formula>I419="FAIL"</formula>
    </cfRule>
    <cfRule type="expression" priority="1130" dxfId="1">
      <formula>I419="PASS"</formula>
    </cfRule>
  </conditionalFormatting>
  <conditionalFormatting sqref="F420">
    <cfRule type="expression" priority="1131" dxfId="0">
      <formula>F420="FAIL"</formula>
    </cfRule>
    <cfRule type="expression" priority="1132" dxfId="1">
      <formula>F420="PASS"</formula>
    </cfRule>
  </conditionalFormatting>
  <conditionalFormatting sqref="I420">
    <cfRule type="expression" priority="1133" dxfId="0">
      <formula>I420="FAIL"</formula>
    </cfRule>
    <cfRule type="expression" priority="1134" dxfId="1">
      <formula>I420="PASS"</formula>
    </cfRule>
  </conditionalFormatting>
  <conditionalFormatting sqref="F421">
    <cfRule type="expression" priority="1135" dxfId="0">
      <formula>F421="FAIL"</formula>
    </cfRule>
    <cfRule type="expression" priority="1136" dxfId="1">
      <formula>F421="PASS"</formula>
    </cfRule>
  </conditionalFormatting>
  <conditionalFormatting sqref="F422">
    <cfRule type="expression" priority="1137" dxfId="0">
      <formula>F422="FAIL"</formula>
    </cfRule>
    <cfRule type="expression" priority="1138" dxfId="1">
      <formula>F422="PASS"</formula>
    </cfRule>
  </conditionalFormatting>
  <conditionalFormatting sqref="F423">
    <cfRule type="expression" priority="1139" dxfId="0">
      <formula>F423="FAIL"</formula>
    </cfRule>
    <cfRule type="expression" priority="1140" dxfId="1">
      <formula>F423="PASS"</formula>
    </cfRule>
  </conditionalFormatting>
  <conditionalFormatting sqref="F427">
    <cfRule type="expression" priority="1141" dxfId="0">
      <formula>F427="FAIL"</formula>
    </cfRule>
    <cfRule type="expression" priority="1142" dxfId="1">
      <formula>F427="PASS"</formula>
    </cfRule>
  </conditionalFormatting>
  <conditionalFormatting sqref="I427">
    <cfRule type="expression" priority="1143" dxfId="0">
      <formula>I427="FAIL"</formula>
    </cfRule>
    <cfRule type="expression" priority="1144" dxfId="1">
      <formula>I427="PASS"</formula>
    </cfRule>
  </conditionalFormatting>
  <conditionalFormatting sqref="F428">
    <cfRule type="expression" priority="1145" dxfId="0">
      <formula>F428="FAIL"</formula>
    </cfRule>
    <cfRule type="expression" priority="1146" dxfId="1">
      <formula>F428="PASS"</formula>
    </cfRule>
  </conditionalFormatting>
  <conditionalFormatting sqref="I428">
    <cfRule type="expression" priority="1147" dxfId="0">
      <formula>I428="FAIL"</formula>
    </cfRule>
    <cfRule type="expression" priority="1148" dxfId="1">
      <formula>I428="PASS"</formula>
    </cfRule>
  </conditionalFormatting>
  <conditionalFormatting sqref="F429">
    <cfRule type="expression" priority="1149" dxfId="0">
      <formula>F429="FAIL"</formula>
    </cfRule>
    <cfRule type="expression" priority="1150" dxfId="1">
      <formula>F429="PASS"</formula>
    </cfRule>
  </conditionalFormatting>
  <conditionalFormatting sqref="I429">
    <cfRule type="expression" priority="1151" dxfId="0">
      <formula>I429="FAIL"</formula>
    </cfRule>
    <cfRule type="expression" priority="1152" dxfId="1">
      <formula>I429="PASS"</formula>
    </cfRule>
  </conditionalFormatting>
  <conditionalFormatting sqref="F430">
    <cfRule type="expression" priority="1153" dxfId="0">
      <formula>F430="FAIL"</formula>
    </cfRule>
    <cfRule type="expression" priority="1154" dxfId="1">
      <formula>F430="PASS"</formula>
    </cfRule>
  </conditionalFormatting>
  <conditionalFormatting sqref="I430">
    <cfRule type="expression" priority="1155" dxfId="0">
      <formula>I430="FAIL"</formula>
    </cfRule>
    <cfRule type="expression" priority="1156" dxfId="1">
      <formula>I430="PASS"</formula>
    </cfRule>
  </conditionalFormatting>
  <conditionalFormatting sqref="F431">
    <cfRule type="expression" priority="1157" dxfId="0">
      <formula>F431="FAIL"</formula>
    </cfRule>
    <cfRule type="expression" priority="1158" dxfId="1">
      <formula>F431="PASS"</formula>
    </cfRule>
  </conditionalFormatting>
  <conditionalFormatting sqref="I431">
    <cfRule type="expression" priority="1159" dxfId="0">
      <formula>I431="FAIL"</formula>
    </cfRule>
    <cfRule type="expression" priority="1160" dxfId="1">
      <formula>I431="PASS"</formula>
    </cfRule>
  </conditionalFormatting>
  <conditionalFormatting sqref="F432">
    <cfRule type="expression" priority="1161" dxfId="0">
      <formula>F432="FAIL"</formula>
    </cfRule>
    <cfRule type="expression" priority="1162" dxfId="1">
      <formula>F432="PASS"</formula>
    </cfRule>
  </conditionalFormatting>
  <conditionalFormatting sqref="I432">
    <cfRule type="expression" priority="1163" dxfId="0">
      <formula>I432="FAIL"</formula>
    </cfRule>
    <cfRule type="expression" priority="1164" dxfId="1">
      <formula>I432="PASS"</formula>
    </cfRule>
  </conditionalFormatting>
  <conditionalFormatting sqref="F433">
    <cfRule type="expression" priority="1165" dxfId="0">
      <formula>F433="FAIL"</formula>
    </cfRule>
    <cfRule type="expression" priority="1166" dxfId="1">
      <formula>F433="PASS"</formula>
    </cfRule>
  </conditionalFormatting>
  <conditionalFormatting sqref="I433">
    <cfRule type="expression" priority="1167" dxfId="0">
      <formula>I433="FAIL"</formula>
    </cfRule>
    <cfRule type="expression" priority="1168" dxfId="1">
      <formula>I433="PASS"</formula>
    </cfRule>
  </conditionalFormatting>
  <conditionalFormatting sqref="F434">
    <cfRule type="expression" priority="1169" dxfId="0">
      <formula>F434="FAIL"</formula>
    </cfRule>
    <cfRule type="expression" priority="1170" dxfId="1">
      <formula>F434="PASS"</formula>
    </cfRule>
  </conditionalFormatting>
  <conditionalFormatting sqref="I434">
    <cfRule type="expression" priority="1171" dxfId="0">
      <formula>I434="FAIL"</formula>
    </cfRule>
    <cfRule type="expression" priority="1172" dxfId="1">
      <formula>I434="PASS"</formula>
    </cfRule>
  </conditionalFormatting>
  <conditionalFormatting sqref="F435">
    <cfRule type="expression" priority="1173" dxfId="0">
      <formula>F435="FAIL"</formula>
    </cfRule>
    <cfRule type="expression" priority="1174" dxfId="1">
      <formula>F435="PASS"</formula>
    </cfRule>
  </conditionalFormatting>
  <conditionalFormatting sqref="F436">
    <cfRule type="expression" priority="1175" dxfId="0">
      <formula>F436="FAIL"</formula>
    </cfRule>
    <cfRule type="expression" priority="1176" dxfId="1">
      <formula>F436="PASS"</formula>
    </cfRule>
  </conditionalFormatting>
  <conditionalFormatting sqref="F437">
    <cfRule type="expression" priority="1177" dxfId="0">
      <formula>F437="FAIL"</formula>
    </cfRule>
    <cfRule type="expression" priority="1178" dxfId="1">
      <formula>F437="PASS"</formula>
    </cfRule>
  </conditionalFormatting>
  <conditionalFormatting sqref="F441">
    <cfRule type="expression" priority="1179" dxfId="0">
      <formula>F441="FAIL"</formula>
    </cfRule>
    <cfRule type="expression" priority="1180" dxfId="1">
      <formula>F441="PASS"</formula>
    </cfRule>
  </conditionalFormatting>
  <conditionalFormatting sqref="I441">
    <cfRule type="expression" priority="1181" dxfId="0">
      <formula>I441="FAIL"</formula>
    </cfRule>
    <cfRule type="expression" priority="1182" dxfId="1">
      <formula>I441="PASS"</formula>
    </cfRule>
  </conditionalFormatting>
  <conditionalFormatting sqref="F442">
    <cfRule type="expression" priority="1183" dxfId="0">
      <formula>F442="FAIL"</formula>
    </cfRule>
    <cfRule type="expression" priority="1184" dxfId="1">
      <formula>F442="PASS"</formula>
    </cfRule>
  </conditionalFormatting>
  <conditionalFormatting sqref="I442">
    <cfRule type="expression" priority="1185" dxfId="0">
      <formula>I442="FAIL"</formula>
    </cfRule>
    <cfRule type="expression" priority="1186" dxfId="1">
      <formula>I442="PASS"</formula>
    </cfRule>
  </conditionalFormatting>
  <conditionalFormatting sqref="F443">
    <cfRule type="expression" priority="1187" dxfId="0">
      <formula>F443="FAIL"</formula>
    </cfRule>
    <cfRule type="expression" priority="1188" dxfId="1">
      <formula>F443="PASS"</formula>
    </cfRule>
  </conditionalFormatting>
  <conditionalFormatting sqref="I443">
    <cfRule type="expression" priority="1189" dxfId="0">
      <formula>I443="FAIL"</formula>
    </cfRule>
    <cfRule type="expression" priority="1190" dxfId="1">
      <formula>I443="PASS"</formula>
    </cfRule>
  </conditionalFormatting>
  <conditionalFormatting sqref="F444">
    <cfRule type="expression" priority="1191" dxfId="0">
      <formula>F444="FAIL"</formula>
    </cfRule>
    <cfRule type="expression" priority="1192" dxfId="1">
      <formula>F444="PASS"</formula>
    </cfRule>
  </conditionalFormatting>
  <conditionalFormatting sqref="I444">
    <cfRule type="expression" priority="1193" dxfId="0">
      <formula>I444="FAIL"</formula>
    </cfRule>
    <cfRule type="expression" priority="1194" dxfId="1">
      <formula>I444="PASS"</formula>
    </cfRule>
  </conditionalFormatting>
  <conditionalFormatting sqref="F445">
    <cfRule type="expression" priority="1195" dxfId="0">
      <formula>F445="FAIL"</formula>
    </cfRule>
    <cfRule type="expression" priority="1196" dxfId="1">
      <formula>F445="PASS"</formula>
    </cfRule>
  </conditionalFormatting>
  <conditionalFormatting sqref="I445">
    <cfRule type="expression" priority="1197" dxfId="0">
      <formula>I445="FAIL"</formula>
    </cfRule>
    <cfRule type="expression" priority="1198" dxfId="1">
      <formula>I445="PASS"</formula>
    </cfRule>
  </conditionalFormatting>
  <conditionalFormatting sqref="F446">
    <cfRule type="expression" priority="1199" dxfId="0">
      <formula>F446="FAIL"</formula>
    </cfRule>
    <cfRule type="expression" priority="1200" dxfId="1">
      <formula>F446="PASS"</formula>
    </cfRule>
  </conditionalFormatting>
  <conditionalFormatting sqref="I446">
    <cfRule type="expression" priority="1201" dxfId="0">
      <formula>I446="FAIL"</formula>
    </cfRule>
    <cfRule type="expression" priority="1202" dxfId="1">
      <formula>I446="PASS"</formula>
    </cfRule>
  </conditionalFormatting>
  <conditionalFormatting sqref="F447">
    <cfRule type="expression" priority="1203" dxfId="0">
      <formula>F447="FAIL"</formula>
    </cfRule>
    <cfRule type="expression" priority="1204" dxfId="1">
      <formula>F447="PASS"</formula>
    </cfRule>
  </conditionalFormatting>
  <conditionalFormatting sqref="I447">
    <cfRule type="expression" priority="1205" dxfId="0">
      <formula>I447="FAIL"</formula>
    </cfRule>
    <cfRule type="expression" priority="1206" dxfId="1">
      <formula>I447="PASS"</formula>
    </cfRule>
  </conditionalFormatting>
  <conditionalFormatting sqref="F448">
    <cfRule type="expression" priority="1207" dxfId="0">
      <formula>F448="FAIL"</formula>
    </cfRule>
    <cfRule type="expression" priority="1208" dxfId="1">
      <formula>F448="PASS"</formula>
    </cfRule>
  </conditionalFormatting>
  <conditionalFormatting sqref="I448">
    <cfRule type="expression" priority="1209" dxfId="0">
      <formula>I448="FAIL"</formula>
    </cfRule>
    <cfRule type="expression" priority="1210" dxfId="1">
      <formula>I448="PASS"</formula>
    </cfRule>
  </conditionalFormatting>
  <conditionalFormatting sqref="F449">
    <cfRule type="expression" priority="1211" dxfId="0">
      <formula>F449="FAIL"</formula>
    </cfRule>
    <cfRule type="expression" priority="1212" dxfId="1">
      <formula>F449="PASS"</formula>
    </cfRule>
  </conditionalFormatting>
  <conditionalFormatting sqref="F450">
    <cfRule type="expression" priority="1213" dxfId="0">
      <formula>F450="FAIL"</formula>
    </cfRule>
    <cfRule type="expression" priority="1214" dxfId="1">
      <formula>F450="PASS"</formula>
    </cfRule>
  </conditionalFormatting>
  <conditionalFormatting sqref="F451">
    <cfRule type="expression" priority="1215" dxfId="0">
      <formula>F451="FAIL"</formula>
    </cfRule>
    <cfRule type="expression" priority="1216" dxfId="1">
      <formula>F451="PASS"</formula>
    </cfRule>
  </conditionalFormatting>
  <conditionalFormatting sqref="F455">
    <cfRule type="expression" priority="1217" dxfId="0">
      <formula>F455="FAIL"</formula>
    </cfRule>
    <cfRule type="expression" priority="1218" dxfId="1">
      <formula>F455="PASS"</formula>
    </cfRule>
  </conditionalFormatting>
  <conditionalFormatting sqref="I455">
    <cfRule type="expression" priority="1219" dxfId="0">
      <formula>I455="FAIL"</formula>
    </cfRule>
    <cfRule type="expression" priority="1220" dxfId="1">
      <formula>I455="PASS"</formula>
    </cfRule>
  </conditionalFormatting>
  <conditionalFormatting sqref="F456">
    <cfRule type="expression" priority="1221" dxfId="0">
      <formula>F456="FAIL"</formula>
    </cfRule>
    <cfRule type="expression" priority="1222" dxfId="1">
      <formula>F456="PASS"</formula>
    </cfRule>
  </conditionalFormatting>
  <conditionalFormatting sqref="I456">
    <cfRule type="expression" priority="1223" dxfId="0">
      <formula>I456="FAIL"</formula>
    </cfRule>
    <cfRule type="expression" priority="1224" dxfId="1">
      <formula>I456="PASS"</formula>
    </cfRule>
  </conditionalFormatting>
  <conditionalFormatting sqref="F457">
    <cfRule type="expression" priority="1225" dxfId="0">
      <formula>F457="FAIL"</formula>
    </cfRule>
    <cfRule type="expression" priority="1226" dxfId="1">
      <formula>F457="PASS"</formula>
    </cfRule>
  </conditionalFormatting>
  <conditionalFormatting sqref="I457">
    <cfRule type="expression" priority="1227" dxfId="0">
      <formula>I457="FAIL"</formula>
    </cfRule>
    <cfRule type="expression" priority="1228" dxfId="1">
      <formula>I457="PASS"</formula>
    </cfRule>
  </conditionalFormatting>
  <conditionalFormatting sqref="F458">
    <cfRule type="expression" priority="1229" dxfId="0">
      <formula>F458="FAIL"</formula>
    </cfRule>
    <cfRule type="expression" priority="1230" dxfId="1">
      <formula>F458="PASS"</formula>
    </cfRule>
  </conditionalFormatting>
  <conditionalFormatting sqref="I458">
    <cfRule type="expression" priority="1231" dxfId="0">
      <formula>I458="FAIL"</formula>
    </cfRule>
    <cfRule type="expression" priority="1232" dxfId="1">
      <formula>I458="PASS"</formula>
    </cfRule>
  </conditionalFormatting>
  <conditionalFormatting sqref="F459">
    <cfRule type="expression" priority="1233" dxfId="0">
      <formula>F459="FAIL"</formula>
    </cfRule>
    <cfRule type="expression" priority="1234" dxfId="1">
      <formula>F459="PASS"</formula>
    </cfRule>
  </conditionalFormatting>
  <conditionalFormatting sqref="I459">
    <cfRule type="expression" priority="1235" dxfId="0">
      <formula>I459="FAIL"</formula>
    </cfRule>
    <cfRule type="expression" priority="1236" dxfId="1">
      <formula>I459="PASS"</formula>
    </cfRule>
  </conditionalFormatting>
  <conditionalFormatting sqref="F460">
    <cfRule type="expression" priority="1237" dxfId="0">
      <formula>F460="FAIL"</formula>
    </cfRule>
    <cfRule type="expression" priority="1238" dxfId="1">
      <formula>F460="PASS"</formula>
    </cfRule>
  </conditionalFormatting>
  <conditionalFormatting sqref="I460">
    <cfRule type="expression" priority="1239" dxfId="0">
      <formula>I460="FAIL"</formula>
    </cfRule>
    <cfRule type="expression" priority="1240" dxfId="1">
      <formula>I460="PASS"</formula>
    </cfRule>
  </conditionalFormatting>
  <conditionalFormatting sqref="F461">
    <cfRule type="expression" priority="1241" dxfId="0">
      <formula>F461="FAIL"</formula>
    </cfRule>
    <cfRule type="expression" priority="1242" dxfId="1">
      <formula>F461="PASS"</formula>
    </cfRule>
  </conditionalFormatting>
  <conditionalFormatting sqref="I461">
    <cfRule type="expression" priority="1243" dxfId="0">
      <formula>I461="FAIL"</formula>
    </cfRule>
    <cfRule type="expression" priority="1244" dxfId="1">
      <formula>I461="PASS"</formula>
    </cfRule>
  </conditionalFormatting>
  <conditionalFormatting sqref="F462">
    <cfRule type="expression" priority="1245" dxfId="0">
      <formula>F462="FAIL"</formula>
    </cfRule>
    <cfRule type="expression" priority="1246" dxfId="1">
      <formula>F462="PASS"</formula>
    </cfRule>
  </conditionalFormatting>
  <conditionalFormatting sqref="I462">
    <cfRule type="expression" priority="1247" dxfId="0">
      <formula>I462="FAIL"</formula>
    </cfRule>
    <cfRule type="expression" priority="1248" dxfId="1">
      <formula>I462="PASS"</formula>
    </cfRule>
  </conditionalFormatting>
  <conditionalFormatting sqref="F463">
    <cfRule type="expression" priority="1249" dxfId="0">
      <formula>F463="FAIL"</formula>
    </cfRule>
    <cfRule type="expression" priority="1250" dxfId="1">
      <formula>F463="PASS"</formula>
    </cfRule>
  </conditionalFormatting>
  <conditionalFormatting sqref="F464">
    <cfRule type="expression" priority="1251" dxfId="0">
      <formula>F464="FAIL"</formula>
    </cfRule>
    <cfRule type="expression" priority="1252" dxfId="1">
      <formula>F464="PASS"</formula>
    </cfRule>
  </conditionalFormatting>
  <conditionalFormatting sqref="F465">
    <cfRule type="expression" priority="1253" dxfId="0">
      <formula>F465="FAIL"</formula>
    </cfRule>
    <cfRule type="expression" priority="1254" dxfId="1">
      <formula>F465="PASS"</formula>
    </cfRule>
  </conditionalFormatting>
  <conditionalFormatting sqref="F469">
    <cfRule type="expression" priority="1255" dxfId="0">
      <formula>F469="FAIL"</formula>
    </cfRule>
    <cfRule type="expression" priority="1256" dxfId="1">
      <formula>F469="PASS"</formula>
    </cfRule>
  </conditionalFormatting>
  <conditionalFormatting sqref="I469">
    <cfRule type="expression" priority="1257" dxfId="0">
      <formula>I469="FAIL"</formula>
    </cfRule>
    <cfRule type="expression" priority="1258" dxfId="1">
      <formula>I469="PASS"</formula>
    </cfRule>
  </conditionalFormatting>
  <conditionalFormatting sqref="F470">
    <cfRule type="expression" priority="1259" dxfId="0">
      <formula>F470="FAIL"</formula>
    </cfRule>
    <cfRule type="expression" priority="1260" dxfId="1">
      <formula>F470="PASS"</formula>
    </cfRule>
  </conditionalFormatting>
  <conditionalFormatting sqref="I470">
    <cfRule type="expression" priority="1261" dxfId="0">
      <formula>I470="FAIL"</formula>
    </cfRule>
    <cfRule type="expression" priority="1262" dxfId="1">
      <formula>I470="PASS"</formula>
    </cfRule>
  </conditionalFormatting>
  <conditionalFormatting sqref="F471">
    <cfRule type="expression" priority="1263" dxfId="0">
      <formula>F471="FAIL"</formula>
    </cfRule>
    <cfRule type="expression" priority="1264" dxfId="1">
      <formula>F471="PASS"</formula>
    </cfRule>
  </conditionalFormatting>
  <conditionalFormatting sqref="I471">
    <cfRule type="expression" priority="1265" dxfId="0">
      <formula>I471="FAIL"</formula>
    </cfRule>
    <cfRule type="expression" priority="1266" dxfId="1">
      <formula>I471="PASS"</formula>
    </cfRule>
  </conditionalFormatting>
  <conditionalFormatting sqref="F472">
    <cfRule type="expression" priority="1267" dxfId="0">
      <formula>F472="FAIL"</formula>
    </cfRule>
    <cfRule type="expression" priority="1268" dxfId="1">
      <formula>F472="PASS"</formula>
    </cfRule>
  </conditionalFormatting>
  <conditionalFormatting sqref="I472">
    <cfRule type="expression" priority="1269" dxfId="0">
      <formula>I472="FAIL"</formula>
    </cfRule>
    <cfRule type="expression" priority="1270" dxfId="1">
      <formula>I472="PASS"</formula>
    </cfRule>
  </conditionalFormatting>
  <conditionalFormatting sqref="F473">
    <cfRule type="expression" priority="1271" dxfId="0">
      <formula>F473="FAIL"</formula>
    </cfRule>
    <cfRule type="expression" priority="1272" dxfId="1">
      <formula>F473="PASS"</formula>
    </cfRule>
  </conditionalFormatting>
  <conditionalFormatting sqref="I473">
    <cfRule type="expression" priority="1273" dxfId="0">
      <formula>I473="FAIL"</formula>
    </cfRule>
    <cfRule type="expression" priority="1274" dxfId="1">
      <formula>I473="PASS"</formula>
    </cfRule>
  </conditionalFormatting>
  <conditionalFormatting sqref="F474">
    <cfRule type="expression" priority="1275" dxfId="0">
      <formula>F474="FAIL"</formula>
    </cfRule>
    <cfRule type="expression" priority="1276" dxfId="1">
      <formula>F474="PASS"</formula>
    </cfRule>
  </conditionalFormatting>
  <conditionalFormatting sqref="I474">
    <cfRule type="expression" priority="1277" dxfId="0">
      <formula>I474="FAIL"</formula>
    </cfRule>
    <cfRule type="expression" priority="1278" dxfId="1">
      <formula>I474="PASS"</formula>
    </cfRule>
  </conditionalFormatting>
  <conditionalFormatting sqref="F475">
    <cfRule type="expression" priority="1279" dxfId="0">
      <formula>F475="FAIL"</formula>
    </cfRule>
    <cfRule type="expression" priority="1280" dxfId="1">
      <formula>F475="PASS"</formula>
    </cfRule>
  </conditionalFormatting>
  <conditionalFormatting sqref="I475">
    <cfRule type="expression" priority="1281" dxfId="0">
      <formula>I475="FAIL"</formula>
    </cfRule>
    <cfRule type="expression" priority="1282" dxfId="1">
      <formula>I475="PASS"</formula>
    </cfRule>
  </conditionalFormatting>
  <conditionalFormatting sqref="F476">
    <cfRule type="expression" priority="1283" dxfId="0">
      <formula>F476="FAIL"</formula>
    </cfRule>
    <cfRule type="expression" priority="1284" dxfId="1">
      <formula>F476="PASS"</formula>
    </cfRule>
  </conditionalFormatting>
  <conditionalFormatting sqref="I476">
    <cfRule type="expression" priority="1285" dxfId="0">
      <formula>I476="FAIL"</formula>
    </cfRule>
    <cfRule type="expression" priority="1286" dxfId="1">
      <formula>I476="PASS"</formula>
    </cfRule>
  </conditionalFormatting>
  <conditionalFormatting sqref="F477">
    <cfRule type="expression" priority="1287" dxfId="0">
      <formula>F477="FAIL"</formula>
    </cfRule>
    <cfRule type="expression" priority="1288" dxfId="1">
      <formula>F477="PASS"</formula>
    </cfRule>
  </conditionalFormatting>
  <conditionalFormatting sqref="F478">
    <cfRule type="expression" priority="1289" dxfId="0">
      <formula>F478="FAIL"</formula>
    </cfRule>
    <cfRule type="expression" priority="1290" dxfId="1">
      <formula>F478="PASS"</formula>
    </cfRule>
  </conditionalFormatting>
  <conditionalFormatting sqref="F479">
    <cfRule type="expression" priority="1291" dxfId="0">
      <formula>F479="FAIL"</formula>
    </cfRule>
    <cfRule type="expression" priority="1292" dxfId="1">
      <formula>F479="PASS"</formula>
    </cfRule>
  </conditionalFormatting>
  <conditionalFormatting sqref="F483">
    <cfRule type="expression" priority="1293" dxfId="0">
      <formula>F483="FAIL"</formula>
    </cfRule>
    <cfRule type="expression" priority="1294" dxfId="1">
      <formula>F483="PASS"</formula>
    </cfRule>
  </conditionalFormatting>
  <conditionalFormatting sqref="I483">
    <cfRule type="expression" priority="1295" dxfId="0">
      <formula>I483="FAIL"</formula>
    </cfRule>
    <cfRule type="expression" priority="1296" dxfId="1">
      <formula>I483="PASS"</formula>
    </cfRule>
  </conditionalFormatting>
  <conditionalFormatting sqref="F484">
    <cfRule type="expression" priority="1297" dxfId="0">
      <formula>F484="FAIL"</formula>
    </cfRule>
    <cfRule type="expression" priority="1298" dxfId="1">
      <formula>F484="PASS"</formula>
    </cfRule>
  </conditionalFormatting>
  <conditionalFormatting sqref="I484">
    <cfRule type="expression" priority="1299" dxfId="0">
      <formula>I484="FAIL"</formula>
    </cfRule>
    <cfRule type="expression" priority="1300" dxfId="1">
      <formula>I484="PASS"</formula>
    </cfRule>
  </conditionalFormatting>
  <conditionalFormatting sqref="F485">
    <cfRule type="expression" priority="1301" dxfId="0">
      <formula>F485="FAIL"</formula>
    </cfRule>
    <cfRule type="expression" priority="1302" dxfId="1">
      <formula>F485="PASS"</formula>
    </cfRule>
  </conditionalFormatting>
  <conditionalFormatting sqref="I485">
    <cfRule type="expression" priority="1303" dxfId="0">
      <formula>I485="FAIL"</formula>
    </cfRule>
    <cfRule type="expression" priority="1304" dxfId="1">
      <formula>I485="PASS"</formula>
    </cfRule>
  </conditionalFormatting>
  <conditionalFormatting sqref="F486">
    <cfRule type="expression" priority="1305" dxfId="0">
      <formula>F486="FAIL"</formula>
    </cfRule>
    <cfRule type="expression" priority="1306" dxfId="1">
      <formula>F486="PASS"</formula>
    </cfRule>
  </conditionalFormatting>
  <conditionalFormatting sqref="I486">
    <cfRule type="expression" priority="1307" dxfId="0">
      <formula>I486="FAIL"</formula>
    </cfRule>
    <cfRule type="expression" priority="1308" dxfId="1">
      <formula>I486="PASS"</formula>
    </cfRule>
  </conditionalFormatting>
  <conditionalFormatting sqref="F487">
    <cfRule type="expression" priority="1309" dxfId="0">
      <formula>F487="FAIL"</formula>
    </cfRule>
    <cfRule type="expression" priority="1310" dxfId="1">
      <formula>F487="PASS"</formula>
    </cfRule>
  </conditionalFormatting>
  <conditionalFormatting sqref="I487">
    <cfRule type="expression" priority="1311" dxfId="0">
      <formula>I487="FAIL"</formula>
    </cfRule>
    <cfRule type="expression" priority="1312" dxfId="1">
      <formula>I487="PASS"</formula>
    </cfRule>
  </conditionalFormatting>
  <conditionalFormatting sqref="F488">
    <cfRule type="expression" priority="1313" dxfId="0">
      <formula>F488="FAIL"</formula>
    </cfRule>
    <cfRule type="expression" priority="1314" dxfId="1">
      <formula>F488="PASS"</formula>
    </cfRule>
  </conditionalFormatting>
  <conditionalFormatting sqref="I488">
    <cfRule type="expression" priority="1315" dxfId="0">
      <formula>I488="FAIL"</formula>
    </cfRule>
    <cfRule type="expression" priority="1316" dxfId="1">
      <formula>I488="PASS"</formula>
    </cfRule>
  </conditionalFormatting>
  <conditionalFormatting sqref="F489">
    <cfRule type="expression" priority="1317" dxfId="0">
      <formula>F489="FAIL"</formula>
    </cfRule>
    <cfRule type="expression" priority="1318" dxfId="1">
      <formula>F489="PASS"</formula>
    </cfRule>
  </conditionalFormatting>
  <conditionalFormatting sqref="I489">
    <cfRule type="expression" priority="1319" dxfId="0">
      <formula>I489="FAIL"</formula>
    </cfRule>
    <cfRule type="expression" priority="1320" dxfId="1">
      <formula>I489="PASS"</formula>
    </cfRule>
  </conditionalFormatting>
  <conditionalFormatting sqref="F490">
    <cfRule type="expression" priority="1321" dxfId="0">
      <formula>F490="FAIL"</formula>
    </cfRule>
    <cfRule type="expression" priority="1322" dxfId="1">
      <formula>F490="PASS"</formula>
    </cfRule>
  </conditionalFormatting>
  <conditionalFormatting sqref="I490">
    <cfRule type="expression" priority="1323" dxfId="0">
      <formula>I490="FAIL"</formula>
    </cfRule>
    <cfRule type="expression" priority="1324" dxfId="1">
      <formula>I490="PASS"</formula>
    </cfRule>
  </conditionalFormatting>
  <conditionalFormatting sqref="F491">
    <cfRule type="expression" priority="1325" dxfId="0">
      <formula>F491="FAIL"</formula>
    </cfRule>
    <cfRule type="expression" priority="1326" dxfId="1">
      <formula>F491="PASS"</formula>
    </cfRule>
  </conditionalFormatting>
  <conditionalFormatting sqref="F492">
    <cfRule type="expression" priority="1327" dxfId="0">
      <formula>F492="FAIL"</formula>
    </cfRule>
    <cfRule type="expression" priority="1328" dxfId="1">
      <formula>F492="PASS"</formula>
    </cfRule>
  </conditionalFormatting>
  <conditionalFormatting sqref="F493">
    <cfRule type="expression" priority="1329" dxfId="0">
      <formula>F493="FAIL"</formula>
    </cfRule>
    <cfRule type="expression" priority="1330" dxfId="1">
      <formula>F493="PASS"</formula>
    </cfRule>
  </conditionalFormatting>
  <conditionalFormatting sqref="F497">
    <cfRule type="expression" priority="1331" dxfId="0">
      <formula>F497="FAIL"</formula>
    </cfRule>
    <cfRule type="expression" priority="1332" dxfId="1">
      <formula>F497="PASS"</formula>
    </cfRule>
  </conditionalFormatting>
  <conditionalFormatting sqref="I497">
    <cfRule type="expression" priority="1333" dxfId="0">
      <formula>I497="FAIL"</formula>
    </cfRule>
    <cfRule type="expression" priority="1334" dxfId="1">
      <formula>I497="PASS"</formula>
    </cfRule>
  </conditionalFormatting>
  <conditionalFormatting sqref="F498">
    <cfRule type="expression" priority="1335" dxfId="0">
      <formula>F498="FAIL"</formula>
    </cfRule>
    <cfRule type="expression" priority="1336" dxfId="1">
      <formula>F498="PASS"</formula>
    </cfRule>
  </conditionalFormatting>
  <conditionalFormatting sqref="I498">
    <cfRule type="expression" priority="1337" dxfId="0">
      <formula>I498="FAIL"</formula>
    </cfRule>
    <cfRule type="expression" priority="1338" dxfId="1">
      <formula>I498="PASS"</formula>
    </cfRule>
  </conditionalFormatting>
  <conditionalFormatting sqref="F499">
    <cfRule type="expression" priority="1339" dxfId="0">
      <formula>F499="FAIL"</formula>
    </cfRule>
    <cfRule type="expression" priority="1340" dxfId="1">
      <formula>F499="PASS"</formula>
    </cfRule>
  </conditionalFormatting>
  <conditionalFormatting sqref="I499">
    <cfRule type="expression" priority="1341" dxfId="0">
      <formula>I499="FAIL"</formula>
    </cfRule>
    <cfRule type="expression" priority="1342" dxfId="1">
      <formula>I499="PASS"</formula>
    </cfRule>
  </conditionalFormatting>
  <conditionalFormatting sqref="F500">
    <cfRule type="expression" priority="1343" dxfId="0">
      <formula>F500="FAIL"</formula>
    </cfRule>
    <cfRule type="expression" priority="1344" dxfId="1">
      <formula>F500="PASS"</formula>
    </cfRule>
  </conditionalFormatting>
  <conditionalFormatting sqref="I500">
    <cfRule type="expression" priority="1345" dxfId="0">
      <formula>I500="FAIL"</formula>
    </cfRule>
    <cfRule type="expression" priority="1346" dxfId="1">
      <formula>I500="PASS"</formula>
    </cfRule>
  </conditionalFormatting>
  <conditionalFormatting sqref="F501">
    <cfRule type="expression" priority="1347" dxfId="0">
      <formula>F501="FAIL"</formula>
    </cfRule>
    <cfRule type="expression" priority="1348" dxfId="1">
      <formula>F501="PASS"</formula>
    </cfRule>
  </conditionalFormatting>
  <conditionalFormatting sqref="I501">
    <cfRule type="expression" priority="1349" dxfId="0">
      <formula>I501="FAIL"</formula>
    </cfRule>
    <cfRule type="expression" priority="1350" dxfId="1">
      <formula>I501="PASS"</formula>
    </cfRule>
  </conditionalFormatting>
  <conditionalFormatting sqref="F502">
    <cfRule type="expression" priority="1351" dxfId="0">
      <formula>F502="FAIL"</formula>
    </cfRule>
    <cfRule type="expression" priority="1352" dxfId="1">
      <formula>F502="PASS"</formula>
    </cfRule>
  </conditionalFormatting>
  <conditionalFormatting sqref="I502">
    <cfRule type="expression" priority="1353" dxfId="0">
      <formula>I502="FAIL"</formula>
    </cfRule>
    <cfRule type="expression" priority="1354" dxfId="1">
      <formula>I502="PASS"</formula>
    </cfRule>
  </conditionalFormatting>
  <conditionalFormatting sqref="F503">
    <cfRule type="expression" priority="1355" dxfId="0">
      <formula>F503="FAIL"</formula>
    </cfRule>
    <cfRule type="expression" priority="1356" dxfId="1">
      <formula>F503="PASS"</formula>
    </cfRule>
  </conditionalFormatting>
  <conditionalFormatting sqref="I503">
    <cfRule type="expression" priority="1357" dxfId="0">
      <formula>I503="FAIL"</formula>
    </cfRule>
    <cfRule type="expression" priority="1358" dxfId="1">
      <formula>I503="PASS"</formula>
    </cfRule>
  </conditionalFormatting>
  <conditionalFormatting sqref="F504">
    <cfRule type="expression" priority="1359" dxfId="0">
      <formula>F504="FAIL"</formula>
    </cfRule>
    <cfRule type="expression" priority="1360" dxfId="1">
      <formula>F504="PASS"</formula>
    </cfRule>
  </conditionalFormatting>
  <conditionalFormatting sqref="I504">
    <cfRule type="expression" priority="1361" dxfId="0">
      <formula>I504="FAIL"</formula>
    </cfRule>
    <cfRule type="expression" priority="1362" dxfId="1">
      <formula>I504="PASS"</formula>
    </cfRule>
  </conditionalFormatting>
  <conditionalFormatting sqref="F505">
    <cfRule type="expression" priority="1363" dxfId="0">
      <formula>F505="FAIL"</formula>
    </cfRule>
    <cfRule type="expression" priority="1364" dxfId="1">
      <formula>F505="PASS"</formula>
    </cfRule>
  </conditionalFormatting>
  <conditionalFormatting sqref="F506">
    <cfRule type="expression" priority="1365" dxfId="0">
      <formula>F506="FAIL"</formula>
    </cfRule>
    <cfRule type="expression" priority="1366" dxfId="1">
      <formula>F506="PASS"</formula>
    </cfRule>
  </conditionalFormatting>
  <conditionalFormatting sqref="F507">
    <cfRule type="expression" priority="1367" dxfId="0">
      <formula>F507="FAIL"</formula>
    </cfRule>
    <cfRule type="expression" priority="1368" dxfId="1">
      <formula>F507="PASS"</formula>
    </cfRule>
  </conditionalFormatting>
  <conditionalFormatting sqref="F511">
    <cfRule type="expression" priority="1369" dxfId="0">
      <formula>F511="FAIL"</formula>
    </cfRule>
    <cfRule type="expression" priority="1370" dxfId="1">
      <formula>F511="PASS"</formula>
    </cfRule>
  </conditionalFormatting>
  <conditionalFormatting sqref="I511">
    <cfRule type="expression" priority="1371" dxfId="0">
      <formula>I511="FAIL"</formula>
    </cfRule>
    <cfRule type="expression" priority="1372" dxfId="1">
      <formula>I511="PASS"</formula>
    </cfRule>
  </conditionalFormatting>
  <conditionalFormatting sqref="F512">
    <cfRule type="expression" priority="1373" dxfId="0">
      <formula>F512="FAIL"</formula>
    </cfRule>
    <cfRule type="expression" priority="1374" dxfId="1">
      <formula>F512="PASS"</formula>
    </cfRule>
  </conditionalFormatting>
  <conditionalFormatting sqref="I512">
    <cfRule type="expression" priority="1375" dxfId="0">
      <formula>I512="FAIL"</formula>
    </cfRule>
    <cfRule type="expression" priority="1376" dxfId="1">
      <formula>I512="PASS"</formula>
    </cfRule>
  </conditionalFormatting>
  <conditionalFormatting sqref="F513">
    <cfRule type="expression" priority="1377" dxfId="0">
      <formula>F513="FAIL"</formula>
    </cfRule>
    <cfRule type="expression" priority="1378" dxfId="1">
      <formula>F513="PASS"</formula>
    </cfRule>
  </conditionalFormatting>
  <conditionalFormatting sqref="I513">
    <cfRule type="expression" priority="1379" dxfId="0">
      <formula>I513="FAIL"</formula>
    </cfRule>
    <cfRule type="expression" priority="1380" dxfId="1">
      <formula>I513="PASS"</formula>
    </cfRule>
  </conditionalFormatting>
  <conditionalFormatting sqref="F514">
    <cfRule type="expression" priority="1381" dxfId="0">
      <formula>F514="FAIL"</formula>
    </cfRule>
    <cfRule type="expression" priority="1382" dxfId="1">
      <formula>F514="PASS"</formula>
    </cfRule>
  </conditionalFormatting>
  <conditionalFormatting sqref="I514">
    <cfRule type="expression" priority="1383" dxfId="0">
      <formula>I514="FAIL"</formula>
    </cfRule>
    <cfRule type="expression" priority="1384" dxfId="1">
      <formula>I514="PASS"</formula>
    </cfRule>
  </conditionalFormatting>
  <conditionalFormatting sqref="F515">
    <cfRule type="expression" priority="1385" dxfId="0">
      <formula>F515="FAIL"</formula>
    </cfRule>
    <cfRule type="expression" priority="1386" dxfId="1">
      <formula>F515="PASS"</formula>
    </cfRule>
  </conditionalFormatting>
  <conditionalFormatting sqref="I515">
    <cfRule type="expression" priority="1387" dxfId="0">
      <formula>I515="FAIL"</formula>
    </cfRule>
    <cfRule type="expression" priority="1388" dxfId="1">
      <formula>I515="PASS"</formula>
    </cfRule>
  </conditionalFormatting>
  <conditionalFormatting sqref="F516">
    <cfRule type="expression" priority="1389" dxfId="0">
      <formula>F516="FAIL"</formula>
    </cfRule>
    <cfRule type="expression" priority="1390" dxfId="1">
      <formula>F516="PASS"</formula>
    </cfRule>
  </conditionalFormatting>
  <conditionalFormatting sqref="I516">
    <cfRule type="expression" priority="1391" dxfId="0">
      <formula>I516="FAIL"</formula>
    </cfRule>
    <cfRule type="expression" priority="1392" dxfId="1">
      <formula>I516="PASS"</formula>
    </cfRule>
  </conditionalFormatting>
  <conditionalFormatting sqref="F517">
    <cfRule type="expression" priority="1393" dxfId="0">
      <formula>F517="FAIL"</formula>
    </cfRule>
    <cfRule type="expression" priority="1394" dxfId="1">
      <formula>F517="PASS"</formula>
    </cfRule>
  </conditionalFormatting>
  <conditionalFormatting sqref="I517">
    <cfRule type="expression" priority="1395" dxfId="0">
      <formula>I517="FAIL"</formula>
    </cfRule>
    <cfRule type="expression" priority="1396" dxfId="1">
      <formula>I517="PASS"</formula>
    </cfRule>
  </conditionalFormatting>
  <conditionalFormatting sqref="F518">
    <cfRule type="expression" priority="1397" dxfId="0">
      <formula>F518="FAIL"</formula>
    </cfRule>
    <cfRule type="expression" priority="1398" dxfId="1">
      <formula>F518="PASS"</formula>
    </cfRule>
  </conditionalFormatting>
  <conditionalFormatting sqref="I518">
    <cfRule type="expression" priority="1399" dxfId="0">
      <formula>I518="FAIL"</formula>
    </cfRule>
    <cfRule type="expression" priority="1400" dxfId="1">
      <formula>I518="PASS"</formula>
    </cfRule>
  </conditionalFormatting>
  <conditionalFormatting sqref="F519">
    <cfRule type="expression" priority="1401" dxfId="0">
      <formula>F519="FAIL"</formula>
    </cfRule>
    <cfRule type="expression" priority="1402" dxfId="1">
      <formula>F519="PASS"</formula>
    </cfRule>
  </conditionalFormatting>
  <conditionalFormatting sqref="F520">
    <cfRule type="expression" priority="1403" dxfId="0">
      <formula>F520="FAIL"</formula>
    </cfRule>
    <cfRule type="expression" priority="1404" dxfId="1">
      <formula>F520="PASS"</formula>
    </cfRule>
  </conditionalFormatting>
  <conditionalFormatting sqref="F521">
    <cfRule type="expression" priority="1405" dxfId="0">
      <formula>F521="FAIL"</formula>
    </cfRule>
    <cfRule type="expression" priority="1406" dxfId="1">
      <formula>F521="PASS"</formula>
    </cfRule>
  </conditionalFormatting>
  <conditionalFormatting sqref="F525">
    <cfRule type="expression" priority="1407" dxfId="0">
      <formula>F525="FAIL"</formula>
    </cfRule>
    <cfRule type="expression" priority="1408" dxfId="1">
      <formula>F525="PASS"</formula>
    </cfRule>
  </conditionalFormatting>
  <conditionalFormatting sqref="I525">
    <cfRule type="expression" priority="1409" dxfId="0">
      <formula>I525="FAIL"</formula>
    </cfRule>
    <cfRule type="expression" priority="1410" dxfId="1">
      <formula>I525="PASS"</formula>
    </cfRule>
  </conditionalFormatting>
  <conditionalFormatting sqref="F526">
    <cfRule type="expression" priority="1411" dxfId="0">
      <formula>F526="FAIL"</formula>
    </cfRule>
    <cfRule type="expression" priority="1412" dxfId="1">
      <formula>F526="PASS"</formula>
    </cfRule>
  </conditionalFormatting>
  <conditionalFormatting sqref="I526">
    <cfRule type="expression" priority="1413" dxfId="0">
      <formula>I526="FAIL"</formula>
    </cfRule>
    <cfRule type="expression" priority="1414" dxfId="1">
      <formula>I526="PASS"</formula>
    </cfRule>
  </conditionalFormatting>
  <conditionalFormatting sqref="F527">
    <cfRule type="expression" priority="1415" dxfId="0">
      <formula>F527="FAIL"</formula>
    </cfRule>
    <cfRule type="expression" priority="1416" dxfId="1">
      <formula>F527="PASS"</formula>
    </cfRule>
  </conditionalFormatting>
  <conditionalFormatting sqref="I527">
    <cfRule type="expression" priority="1417" dxfId="0">
      <formula>I527="FAIL"</formula>
    </cfRule>
    <cfRule type="expression" priority="1418" dxfId="1">
      <formula>I527="PASS"</formula>
    </cfRule>
  </conditionalFormatting>
  <conditionalFormatting sqref="F528">
    <cfRule type="expression" priority="1419" dxfId="0">
      <formula>F528="FAIL"</formula>
    </cfRule>
    <cfRule type="expression" priority="1420" dxfId="1">
      <formula>F528="PASS"</formula>
    </cfRule>
  </conditionalFormatting>
  <conditionalFormatting sqref="I528">
    <cfRule type="expression" priority="1421" dxfId="0">
      <formula>I528="FAIL"</formula>
    </cfRule>
    <cfRule type="expression" priority="1422" dxfId="1">
      <formula>I528="PASS"</formula>
    </cfRule>
  </conditionalFormatting>
  <conditionalFormatting sqref="F529">
    <cfRule type="expression" priority="1423" dxfId="0">
      <formula>F529="FAIL"</formula>
    </cfRule>
    <cfRule type="expression" priority="1424" dxfId="1">
      <formula>F529="PASS"</formula>
    </cfRule>
  </conditionalFormatting>
  <conditionalFormatting sqref="I529">
    <cfRule type="expression" priority="1425" dxfId="0">
      <formula>I529="FAIL"</formula>
    </cfRule>
    <cfRule type="expression" priority="1426" dxfId="1">
      <formula>I529="PASS"</formula>
    </cfRule>
  </conditionalFormatting>
  <conditionalFormatting sqref="F530">
    <cfRule type="expression" priority="1427" dxfId="0">
      <formula>F530="FAIL"</formula>
    </cfRule>
    <cfRule type="expression" priority="1428" dxfId="1">
      <formula>F530="PASS"</formula>
    </cfRule>
  </conditionalFormatting>
  <conditionalFormatting sqref="I530">
    <cfRule type="expression" priority="1429" dxfId="0">
      <formula>I530="FAIL"</formula>
    </cfRule>
    <cfRule type="expression" priority="1430" dxfId="1">
      <formula>I530="PASS"</formula>
    </cfRule>
  </conditionalFormatting>
  <conditionalFormatting sqref="F531">
    <cfRule type="expression" priority="1431" dxfId="0">
      <formula>F531="FAIL"</formula>
    </cfRule>
    <cfRule type="expression" priority="1432" dxfId="1">
      <formula>F531="PASS"</formula>
    </cfRule>
  </conditionalFormatting>
  <conditionalFormatting sqref="I531">
    <cfRule type="expression" priority="1433" dxfId="0">
      <formula>I531="FAIL"</formula>
    </cfRule>
    <cfRule type="expression" priority="1434" dxfId="1">
      <formula>I531="PASS"</formula>
    </cfRule>
  </conditionalFormatting>
  <conditionalFormatting sqref="F532">
    <cfRule type="expression" priority="1435" dxfId="0">
      <formula>F532="FAIL"</formula>
    </cfRule>
    <cfRule type="expression" priority="1436" dxfId="1">
      <formula>F532="PASS"</formula>
    </cfRule>
  </conditionalFormatting>
  <conditionalFormatting sqref="I532">
    <cfRule type="expression" priority="1437" dxfId="0">
      <formula>I532="FAIL"</formula>
    </cfRule>
    <cfRule type="expression" priority="1438" dxfId="1">
      <formula>I532="PASS"</formula>
    </cfRule>
  </conditionalFormatting>
  <conditionalFormatting sqref="F533">
    <cfRule type="expression" priority="1439" dxfId="0">
      <formula>F533="FAIL"</formula>
    </cfRule>
    <cfRule type="expression" priority="1440" dxfId="1">
      <formula>F533="PASS"</formula>
    </cfRule>
  </conditionalFormatting>
  <conditionalFormatting sqref="F534">
    <cfRule type="expression" priority="1441" dxfId="0">
      <formula>F534="FAIL"</formula>
    </cfRule>
    <cfRule type="expression" priority="1442" dxfId="1">
      <formula>F534="PASS"</formula>
    </cfRule>
  </conditionalFormatting>
  <conditionalFormatting sqref="F535">
    <cfRule type="expression" priority="1443" dxfId="0">
      <formula>F535="FAIL"</formula>
    </cfRule>
    <cfRule type="expression" priority="1444" dxfId="1">
      <formula>F535="PASS"</formula>
    </cfRule>
  </conditionalFormatting>
  <conditionalFormatting sqref="F539">
    <cfRule type="expression" priority="1445" dxfId="0">
      <formula>F539="FAIL"</formula>
    </cfRule>
    <cfRule type="expression" priority="1446" dxfId="1">
      <formula>F539="PASS"</formula>
    </cfRule>
  </conditionalFormatting>
  <conditionalFormatting sqref="I539">
    <cfRule type="expression" priority="1447" dxfId="0">
      <formula>I539="FAIL"</formula>
    </cfRule>
    <cfRule type="expression" priority="1448" dxfId="1">
      <formula>I539="PASS"</formula>
    </cfRule>
  </conditionalFormatting>
  <conditionalFormatting sqref="F540">
    <cfRule type="expression" priority="1449" dxfId="0">
      <formula>F540="FAIL"</formula>
    </cfRule>
    <cfRule type="expression" priority="1450" dxfId="1">
      <formula>F540="PASS"</formula>
    </cfRule>
  </conditionalFormatting>
  <conditionalFormatting sqref="I540">
    <cfRule type="expression" priority="1451" dxfId="0">
      <formula>I540="FAIL"</formula>
    </cfRule>
    <cfRule type="expression" priority="1452" dxfId="1">
      <formula>I540="PASS"</formula>
    </cfRule>
  </conditionalFormatting>
  <conditionalFormatting sqref="F541">
    <cfRule type="expression" priority="1453" dxfId="0">
      <formula>F541="FAIL"</formula>
    </cfRule>
    <cfRule type="expression" priority="1454" dxfId="1">
      <formula>F541="PASS"</formula>
    </cfRule>
  </conditionalFormatting>
  <conditionalFormatting sqref="I541">
    <cfRule type="expression" priority="1455" dxfId="0">
      <formula>I541="FAIL"</formula>
    </cfRule>
    <cfRule type="expression" priority="1456" dxfId="1">
      <formula>I541="PASS"</formula>
    </cfRule>
  </conditionalFormatting>
  <conditionalFormatting sqref="F542">
    <cfRule type="expression" priority="1457" dxfId="0">
      <formula>F542="FAIL"</formula>
    </cfRule>
    <cfRule type="expression" priority="1458" dxfId="1">
      <formula>F542="PASS"</formula>
    </cfRule>
  </conditionalFormatting>
  <conditionalFormatting sqref="I542">
    <cfRule type="expression" priority="1459" dxfId="0">
      <formula>I542="FAIL"</formula>
    </cfRule>
    <cfRule type="expression" priority="1460" dxfId="1">
      <formula>I542="PASS"</formula>
    </cfRule>
  </conditionalFormatting>
  <conditionalFormatting sqref="F543">
    <cfRule type="expression" priority="1461" dxfId="0">
      <formula>F543="FAIL"</formula>
    </cfRule>
    <cfRule type="expression" priority="1462" dxfId="1">
      <formula>F543="PASS"</formula>
    </cfRule>
  </conditionalFormatting>
  <conditionalFormatting sqref="I543">
    <cfRule type="expression" priority="1463" dxfId="0">
      <formula>I543="FAIL"</formula>
    </cfRule>
    <cfRule type="expression" priority="1464" dxfId="1">
      <formula>I543="PASS"</formula>
    </cfRule>
  </conditionalFormatting>
  <conditionalFormatting sqref="F544">
    <cfRule type="expression" priority="1465" dxfId="0">
      <formula>F544="FAIL"</formula>
    </cfRule>
    <cfRule type="expression" priority="1466" dxfId="1">
      <formula>F544="PASS"</formula>
    </cfRule>
  </conditionalFormatting>
  <conditionalFormatting sqref="I544">
    <cfRule type="expression" priority="1467" dxfId="0">
      <formula>I544="FAIL"</formula>
    </cfRule>
    <cfRule type="expression" priority="1468" dxfId="1">
      <formula>I544="PASS"</formula>
    </cfRule>
  </conditionalFormatting>
  <conditionalFormatting sqref="F545">
    <cfRule type="expression" priority="1469" dxfId="0">
      <formula>F545="FAIL"</formula>
    </cfRule>
    <cfRule type="expression" priority="1470" dxfId="1">
      <formula>F545="PASS"</formula>
    </cfRule>
  </conditionalFormatting>
  <conditionalFormatting sqref="I545">
    <cfRule type="expression" priority="1471" dxfId="0">
      <formula>I545="FAIL"</formula>
    </cfRule>
    <cfRule type="expression" priority="1472" dxfId="1">
      <formula>I545="PASS"</formula>
    </cfRule>
  </conditionalFormatting>
  <conditionalFormatting sqref="F546">
    <cfRule type="expression" priority="1473" dxfId="0">
      <formula>F546="FAIL"</formula>
    </cfRule>
    <cfRule type="expression" priority="1474" dxfId="1">
      <formula>F546="PASS"</formula>
    </cfRule>
  </conditionalFormatting>
  <conditionalFormatting sqref="I546">
    <cfRule type="expression" priority="1475" dxfId="0">
      <formula>I546="FAIL"</formula>
    </cfRule>
    <cfRule type="expression" priority="1476" dxfId="1">
      <formula>I546="PASS"</formula>
    </cfRule>
  </conditionalFormatting>
  <conditionalFormatting sqref="F547">
    <cfRule type="expression" priority="1477" dxfId="0">
      <formula>F547="FAIL"</formula>
    </cfRule>
    <cfRule type="expression" priority="1478" dxfId="1">
      <formula>F547="PASS"</formula>
    </cfRule>
  </conditionalFormatting>
  <conditionalFormatting sqref="F548">
    <cfRule type="expression" priority="1479" dxfId="0">
      <formula>F548="FAIL"</formula>
    </cfRule>
    <cfRule type="expression" priority="1480" dxfId="1">
      <formula>F548="PASS"</formula>
    </cfRule>
  </conditionalFormatting>
  <conditionalFormatting sqref="F549">
    <cfRule type="expression" priority="1481" dxfId="0">
      <formula>F549="FAIL"</formula>
    </cfRule>
    <cfRule type="expression" priority="1482" dxfId="1">
      <formula>F549="PASS"</formula>
    </cfRule>
  </conditionalFormatting>
  <conditionalFormatting sqref="F553">
    <cfRule type="expression" priority="1483" dxfId="0">
      <formula>F553="FAIL"</formula>
    </cfRule>
    <cfRule type="expression" priority="1484" dxfId="1">
      <formula>F553="PASS"</formula>
    </cfRule>
  </conditionalFormatting>
  <conditionalFormatting sqref="I553">
    <cfRule type="expression" priority="1485" dxfId="0">
      <formula>I553="FAIL"</formula>
    </cfRule>
    <cfRule type="expression" priority="1486" dxfId="1">
      <formula>I553="PASS"</formula>
    </cfRule>
  </conditionalFormatting>
  <conditionalFormatting sqref="F554">
    <cfRule type="expression" priority="1487" dxfId="0">
      <formula>F554="FAIL"</formula>
    </cfRule>
    <cfRule type="expression" priority="1488" dxfId="1">
      <formula>F554="PASS"</formula>
    </cfRule>
  </conditionalFormatting>
  <conditionalFormatting sqref="I554">
    <cfRule type="expression" priority="1489" dxfId="0">
      <formula>I554="FAIL"</formula>
    </cfRule>
    <cfRule type="expression" priority="1490" dxfId="1">
      <formula>I554="PASS"</formula>
    </cfRule>
  </conditionalFormatting>
  <conditionalFormatting sqref="F555">
    <cfRule type="expression" priority="1491" dxfId="0">
      <formula>F555="FAIL"</formula>
    </cfRule>
    <cfRule type="expression" priority="1492" dxfId="1">
      <formula>F555="PASS"</formula>
    </cfRule>
  </conditionalFormatting>
  <conditionalFormatting sqref="I555">
    <cfRule type="expression" priority="1493" dxfId="0">
      <formula>I555="FAIL"</formula>
    </cfRule>
    <cfRule type="expression" priority="1494" dxfId="1">
      <formula>I555="PASS"</formula>
    </cfRule>
  </conditionalFormatting>
  <conditionalFormatting sqref="F556">
    <cfRule type="expression" priority="1495" dxfId="0">
      <formula>F556="FAIL"</formula>
    </cfRule>
    <cfRule type="expression" priority="1496" dxfId="1">
      <formula>F556="PASS"</formula>
    </cfRule>
  </conditionalFormatting>
  <conditionalFormatting sqref="I556">
    <cfRule type="expression" priority="1497" dxfId="0">
      <formula>I556="FAIL"</formula>
    </cfRule>
    <cfRule type="expression" priority="1498" dxfId="1">
      <formula>I556="PASS"</formula>
    </cfRule>
  </conditionalFormatting>
  <conditionalFormatting sqref="F557">
    <cfRule type="expression" priority="1499" dxfId="0">
      <formula>F557="FAIL"</formula>
    </cfRule>
    <cfRule type="expression" priority="1500" dxfId="1">
      <formula>F557="PASS"</formula>
    </cfRule>
  </conditionalFormatting>
  <conditionalFormatting sqref="I557">
    <cfRule type="expression" priority="1501" dxfId="0">
      <formula>I557="FAIL"</formula>
    </cfRule>
    <cfRule type="expression" priority="1502" dxfId="1">
      <formula>I557="PASS"</formula>
    </cfRule>
  </conditionalFormatting>
  <conditionalFormatting sqref="F558">
    <cfRule type="expression" priority="1503" dxfId="0">
      <formula>F558="FAIL"</formula>
    </cfRule>
    <cfRule type="expression" priority="1504" dxfId="1">
      <formula>F558="PASS"</formula>
    </cfRule>
  </conditionalFormatting>
  <conditionalFormatting sqref="I558">
    <cfRule type="expression" priority="1505" dxfId="0">
      <formula>I558="FAIL"</formula>
    </cfRule>
    <cfRule type="expression" priority="1506" dxfId="1">
      <formula>I558="PASS"</formula>
    </cfRule>
  </conditionalFormatting>
  <conditionalFormatting sqref="F559">
    <cfRule type="expression" priority="1507" dxfId="0">
      <formula>F559="FAIL"</formula>
    </cfRule>
    <cfRule type="expression" priority="1508" dxfId="1">
      <formula>F559="PASS"</formula>
    </cfRule>
  </conditionalFormatting>
  <conditionalFormatting sqref="I559">
    <cfRule type="expression" priority="1509" dxfId="0">
      <formula>I559="FAIL"</formula>
    </cfRule>
    <cfRule type="expression" priority="1510" dxfId="1">
      <formula>I559="PASS"</formula>
    </cfRule>
  </conditionalFormatting>
  <conditionalFormatting sqref="F560">
    <cfRule type="expression" priority="1511" dxfId="0">
      <formula>F560="FAIL"</formula>
    </cfRule>
    <cfRule type="expression" priority="1512" dxfId="1">
      <formula>F560="PASS"</formula>
    </cfRule>
  </conditionalFormatting>
  <conditionalFormatting sqref="I560">
    <cfRule type="expression" priority="1513" dxfId="0">
      <formula>I560="FAIL"</formula>
    </cfRule>
    <cfRule type="expression" priority="1514" dxfId="1">
      <formula>I560="PASS"</formula>
    </cfRule>
  </conditionalFormatting>
  <conditionalFormatting sqref="F561">
    <cfRule type="expression" priority="1515" dxfId="0">
      <formula>F561="FAIL"</formula>
    </cfRule>
    <cfRule type="expression" priority="1516" dxfId="1">
      <formula>F561="PASS"</formula>
    </cfRule>
  </conditionalFormatting>
  <conditionalFormatting sqref="F562">
    <cfRule type="expression" priority="1517" dxfId="0">
      <formula>F562="FAIL"</formula>
    </cfRule>
    <cfRule type="expression" priority="1518" dxfId="1">
      <formula>F562="PASS"</formula>
    </cfRule>
  </conditionalFormatting>
  <conditionalFormatting sqref="F563">
    <cfRule type="expression" priority="1519" dxfId="0">
      <formula>F563="FAIL"</formula>
    </cfRule>
    <cfRule type="expression" priority="1520" dxfId="1">
      <formula>F563="PASS"</formula>
    </cfRule>
  </conditionalFormatting>
  <conditionalFormatting sqref="F567">
    <cfRule type="expression" priority="1521" dxfId="0">
      <formula>F567="FAIL"</formula>
    </cfRule>
    <cfRule type="expression" priority="1522" dxfId="1">
      <formula>F567="PASS"</formula>
    </cfRule>
  </conditionalFormatting>
  <conditionalFormatting sqref="I567">
    <cfRule type="expression" priority="1523" dxfId="0">
      <formula>I567="FAIL"</formula>
    </cfRule>
    <cfRule type="expression" priority="1524" dxfId="1">
      <formula>I567="PASS"</formula>
    </cfRule>
  </conditionalFormatting>
  <conditionalFormatting sqref="F568">
    <cfRule type="expression" priority="1525" dxfId="0">
      <formula>F568="FAIL"</formula>
    </cfRule>
    <cfRule type="expression" priority="1526" dxfId="1">
      <formula>F568="PASS"</formula>
    </cfRule>
  </conditionalFormatting>
  <conditionalFormatting sqref="I568">
    <cfRule type="expression" priority="1527" dxfId="0">
      <formula>I568="FAIL"</formula>
    </cfRule>
    <cfRule type="expression" priority="1528" dxfId="1">
      <formula>I568="PASS"</formula>
    </cfRule>
  </conditionalFormatting>
  <conditionalFormatting sqref="F569">
    <cfRule type="expression" priority="1529" dxfId="0">
      <formula>F569="FAIL"</formula>
    </cfRule>
    <cfRule type="expression" priority="1530" dxfId="1">
      <formula>F569="PASS"</formula>
    </cfRule>
  </conditionalFormatting>
  <conditionalFormatting sqref="I569">
    <cfRule type="expression" priority="1531" dxfId="0">
      <formula>I569="FAIL"</formula>
    </cfRule>
    <cfRule type="expression" priority="1532" dxfId="1">
      <formula>I569="PASS"</formula>
    </cfRule>
  </conditionalFormatting>
  <conditionalFormatting sqref="F570">
    <cfRule type="expression" priority="1533" dxfId="0">
      <formula>F570="FAIL"</formula>
    </cfRule>
    <cfRule type="expression" priority="1534" dxfId="1">
      <formula>F570="PASS"</formula>
    </cfRule>
  </conditionalFormatting>
  <conditionalFormatting sqref="I570">
    <cfRule type="expression" priority="1535" dxfId="0">
      <formula>I570="FAIL"</formula>
    </cfRule>
    <cfRule type="expression" priority="1536" dxfId="1">
      <formula>I570="PASS"</formula>
    </cfRule>
  </conditionalFormatting>
  <conditionalFormatting sqref="F571">
    <cfRule type="expression" priority="1537" dxfId="0">
      <formula>F571="FAIL"</formula>
    </cfRule>
    <cfRule type="expression" priority="1538" dxfId="1">
      <formula>F571="PASS"</formula>
    </cfRule>
  </conditionalFormatting>
  <conditionalFormatting sqref="I571">
    <cfRule type="expression" priority="1539" dxfId="0">
      <formula>I571="FAIL"</formula>
    </cfRule>
    <cfRule type="expression" priority="1540" dxfId="1">
      <formula>I571="PASS"</formula>
    </cfRule>
  </conditionalFormatting>
  <conditionalFormatting sqref="F572">
    <cfRule type="expression" priority="1541" dxfId="0">
      <formula>F572="FAIL"</formula>
    </cfRule>
    <cfRule type="expression" priority="1542" dxfId="1">
      <formula>F572="PASS"</formula>
    </cfRule>
  </conditionalFormatting>
  <conditionalFormatting sqref="I572">
    <cfRule type="expression" priority="1543" dxfId="0">
      <formula>I572="FAIL"</formula>
    </cfRule>
    <cfRule type="expression" priority="1544" dxfId="1">
      <formula>I572="PASS"</formula>
    </cfRule>
  </conditionalFormatting>
  <conditionalFormatting sqref="F573">
    <cfRule type="expression" priority="1545" dxfId="0">
      <formula>F573="FAIL"</formula>
    </cfRule>
    <cfRule type="expression" priority="1546" dxfId="1">
      <formula>F573="PASS"</formula>
    </cfRule>
  </conditionalFormatting>
  <conditionalFormatting sqref="I573">
    <cfRule type="expression" priority="1547" dxfId="0">
      <formula>I573="FAIL"</formula>
    </cfRule>
    <cfRule type="expression" priority="1548" dxfId="1">
      <formula>I573="PASS"</formula>
    </cfRule>
  </conditionalFormatting>
  <conditionalFormatting sqref="F574">
    <cfRule type="expression" priority="1549" dxfId="0">
      <formula>F574="FAIL"</formula>
    </cfRule>
    <cfRule type="expression" priority="1550" dxfId="1">
      <formula>F574="PASS"</formula>
    </cfRule>
  </conditionalFormatting>
  <conditionalFormatting sqref="I574">
    <cfRule type="expression" priority="1551" dxfId="0">
      <formula>I574="FAIL"</formula>
    </cfRule>
    <cfRule type="expression" priority="1552" dxfId="1">
      <formula>I574="PASS"</formula>
    </cfRule>
  </conditionalFormatting>
  <conditionalFormatting sqref="F575">
    <cfRule type="expression" priority="1553" dxfId="0">
      <formula>F575="FAIL"</formula>
    </cfRule>
    <cfRule type="expression" priority="1554" dxfId="1">
      <formula>F575="PASS"</formula>
    </cfRule>
  </conditionalFormatting>
  <conditionalFormatting sqref="F576">
    <cfRule type="expression" priority="1555" dxfId="0">
      <formula>F576="FAIL"</formula>
    </cfRule>
    <cfRule type="expression" priority="1556" dxfId="1">
      <formula>F576="PASS"</formula>
    </cfRule>
  </conditionalFormatting>
  <conditionalFormatting sqref="F577">
    <cfRule type="expression" priority="1557" dxfId="0">
      <formula>F577="FAIL"</formula>
    </cfRule>
    <cfRule type="expression" priority="1558" dxfId="1">
      <formula>F577="PASS"</formula>
    </cfRule>
  </conditionalFormatting>
  <conditionalFormatting sqref="F581">
    <cfRule type="expression" priority="1559" dxfId="0">
      <formula>F581="FAIL"</formula>
    </cfRule>
    <cfRule type="expression" priority="1560" dxfId="1">
      <formula>F581="PASS"</formula>
    </cfRule>
  </conditionalFormatting>
  <conditionalFormatting sqref="I581">
    <cfRule type="expression" priority="1561" dxfId="0">
      <formula>I581="FAIL"</formula>
    </cfRule>
    <cfRule type="expression" priority="1562" dxfId="1">
      <formula>I581="PASS"</formula>
    </cfRule>
  </conditionalFormatting>
  <conditionalFormatting sqref="F582">
    <cfRule type="expression" priority="1563" dxfId="0">
      <formula>F582="FAIL"</formula>
    </cfRule>
    <cfRule type="expression" priority="1564" dxfId="1">
      <formula>F582="PASS"</formula>
    </cfRule>
  </conditionalFormatting>
  <conditionalFormatting sqref="I582">
    <cfRule type="expression" priority="1565" dxfId="0">
      <formula>I582="FAIL"</formula>
    </cfRule>
    <cfRule type="expression" priority="1566" dxfId="1">
      <formula>I582="PASS"</formula>
    </cfRule>
  </conditionalFormatting>
  <conditionalFormatting sqref="F583">
    <cfRule type="expression" priority="1567" dxfId="0">
      <formula>F583="FAIL"</formula>
    </cfRule>
    <cfRule type="expression" priority="1568" dxfId="1">
      <formula>F583="PASS"</formula>
    </cfRule>
  </conditionalFormatting>
  <conditionalFormatting sqref="I583">
    <cfRule type="expression" priority="1569" dxfId="0">
      <formula>I583="FAIL"</formula>
    </cfRule>
    <cfRule type="expression" priority="1570" dxfId="1">
      <formula>I583="PASS"</formula>
    </cfRule>
  </conditionalFormatting>
  <conditionalFormatting sqref="F584">
    <cfRule type="expression" priority="1571" dxfId="0">
      <formula>F584="FAIL"</formula>
    </cfRule>
    <cfRule type="expression" priority="1572" dxfId="1">
      <formula>F584="PASS"</formula>
    </cfRule>
  </conditionalFormatting>
  <conditionalFormatting sqref="I584">
    <cfRule type="expression" priority="1573" dxfId="0">
      <formula>I584="FAIL"</formula>
    </cfRule>
    <cfRule type="expression" priority="1574" dxfId="1">
      <formula>I584="PASS"</formula>
    </cfRule>
  </conditionalFormatting>
  <conditionalFormatting sqref="F585">
    <cfRule type="expression" priority="1575" dxfId="0">
      <formula>F585="FAIL"</formula>
    </cfRule>
    <cfRule type="expression" priority="1576" dxfId="1">
      <formula>F585="PASS"</formula>
    </cfRule>
  </conditionalFormatting>
  <conditionalFormatting sqref="I585">
    <cfRule type="expression" priority="1577" dxfId="0">
      <formula>I585="FAIL"</formula>
    </cfRule>
    <cfRule type="expression" priority="1578" dxfId="1">
      <formula>I585="PASS"</formula>
    </cfRule>
  </conditionalFormatting>
  <conditionalFormatting sqref="F586">
    <cfRule type="expression" priority="1579" dxfId="0">
      <formula>F586="FAIL"</formula>
    </cfRule>
    <cfRule type="expression" priority="1580" dxfId="1">
      <formula>F586="PASS"</formula>
    </cfRule>
  </conditionalFormatting>
  <conditionalFormatting sqref="I586">
    <cfRule type="expression" priority="1581" dxfId="0">
      <formula>I586="FAIL"</formula>
    </cfRule>
    <cfRule type="expression" priority="1582" dxfId="1">
      <formula>I586="PASS"</formula>
    </cfRule>
  </conditionalFormatting>
  <conditionalFormatting sqref="F587">
    <cfRule type="expression" priority="1583" dxfId="0">
      <formula>F587="FAIL"</formula>
    </cfRule>
    <cfRule type="expression" priority="1584" dxfId="1">
      <formula>F587="PASS"</formula>
    </cfRule>
  </conditionalFormatting>
  <conditionalFormatting sqref="I587">
    <cfRule type="expression" priority="1585" dxfId="0">
      <formula>I587="FAIL"</formula>
    </cfRule>
    <cfRule type="expression" priority="1586" dxfId="1">
      <formula>I587="PASS"</formula>
    </cfRule>
  </conditionalFormatting>
  <conditionalFormatting sqref="F588">
    <cfRule type="expression" priority="1587" dxfId="0">
      <formula>F588="FAIL"</formula>
    </cfRule>
    <cfRule type="expression" priority="1588" dxfId="1">
      <formula>F588="PASS"</formula>
    </cfRule>
  </conditionalFormatting>
  <conditionalFormatting sqref="I588">
    <cfRule type="expression" priority="1589" dxfId="0">
      <formula>I588="FAIL"</formula>
    </cfRule>
    <cfRule type="expression" priority="1590" dxfId="1">
      <formula>I588="PASS"</formula>
    </cfRule>
  </conditionalFormatting>
  <conditionalFormatting sqref="F589">
    <cfRule type="expression" priority="1591" dxfId="0">
      <formula>F589="FAIL"</formula>
    </cfRule>
    <cfRule type="expression" priority="1592" dxfId="1">
      <formula>F589="PASS"</formula>
    </cfRule>
  </conditionalFormatting>
  <conditionalFormatting sqref="F590">
    <cfRule type="expression" priority="1593" dxfId="0">
      <formula>F590="FAIL"</formula>
    </cfRule>
    <cfRule type="expression" priority="1594" dxfId="1">
      <formula>F590="PASS"</formula>
    </cfRule>
  </conditionalFormatting>
  <conditionalFormatting sqref="F591">
    <cfRule type="expression" priority="1595" dxfId="0">
      <formula>F591="FAIL"</formula>
    </cfRule>
    <cfRule type="expression" priority="1596" dxfId="1">
      <formula>F591="PASS"</formula>
    </cfRule>
  </conditionalFormatting>
  <conditionalFormatting sqref="F595">
    <cfRule type="expression" priority="1597" dxfId="0">
      <formula>F595="FAIL"</formula>
    </cfRule>
    <cfRule type="expression" priority="1598" dxfId="1">
      <formula>F595="PASS"</formula>
    </cfRule>
  </conditionalFormatting>
  <conditionalFormatting sqref="I595">
    <cfRule type="expression" priority="1599" dxfId="0">
      <formula>I595="FAIL"</formula>
    </cfRule>
    <cfRule type="expression" priority="1600" dxfId="1">
      <formula>I595="PASS"</formula>
    </cfRule>
  </conditionalFormatting>
  <conditionalFormatting sqref="F596">
    <cfRule type="expression" priority="1601" dxfId="0">
      <formula>F596="FAIL"</formula>
    </cfRule>
    <cfRule type="expression" priority="1602" dxfId="1">
      <formula>F596="PASS"</formula>
    </cfRule>
  </conditionalFormatting>
  <conditionalFormatting sqref="I596">
    <cfRule type="expression" priority="1603" dxfId="0">
      <formula>I596="FAIL"</formula>
    </cfRule>
    <cfRule type="expression" priority="1604" dxfId="1">
      <formula>I596="PASS"</formula>
    </cfRule>
  </conditionalFormatting>
  <conditionalFormatting sqref="F597">
    <cfRule type="expression" priority="1605" dxfId="0">
      <formula>F597="FAIL"</formula>
    </cfRule>
    <cfRule type="expression" priority="1606" dxfId="1">
      <formula>F597="PASS"</formula>
    </cfRule>
  </conditionalFormatting>
  <conditionalFormatting sqref="I597">
    <cfRule type="expression" priority="1607" dxfId="0">
      <formula>I597="FAIL"</formula>
    </cfRule>
    <cfRule type="expression" priority="1608" dxfId="1">
      <formula>I597="PASS"</formula>
    </cfRule>
  </conditionalFormatting>
  <conditionalFormatting sqref="F598">
    <cfRule type="expression" priority="1609" dxfId="0">
      <formula>F598="FAIL"</formula>
    </cfRule>
    <cfRule type="expression" priority="1610" dxfId="1">
      <formula>F598="PASS"</formula>
    </cfRule>
  </conditionalFormatting>
  <conditionalFormatting sqref="I598">
    <cfRule type="expression" priority="1611" dxfId="0">
      <formula>I598="FAIL"</formula>
    </cfRule>
    <cfRule type="expression" priority="1612" dxfId="1">
      <formula>I598="PASS"</formula>
    </cfRule>
  </conditionalFormatting>
  <conditionalFormatting sqref="F599">
    <cfRule type="expression" priority="1613" dxfId="0">
      <formula>F599="FAIL"</formula>
    </cfRule>
    <cfRule type="expression" priority="1614" dxfId="1">
      <formula>F599="PASS"</formula>
    </cfRule>
  </conditionalFormatting>
  <conditionalFormatting sqref="I599">
    <cfRule type="expression" priority="1615" dxfId="0">
      <formula>I599="FAIL"</formula>
    </cfRule>
    <cfRule type="expression" priority="1616" dxfId="1">
      <formula>I599="PASS"</formula>
    </cfRule>
  </conditionalFormatting>
  <conditionalFormatting sqref="F600">
    <cfRule type="expression" priority="1617" dxfId="0">
      <formula>F600="FAIL"</formula>
    </cfRule>
    <cfRule type="expression" priority="1618" dxfId="1">
      <formula>F600="PASS"</formula>
    </cfRule>
  </conditionalFormatting>
  <conditionalFormatting sqref="I600">
    <cfRule type="expression" priority="1619" dxfId="0">
      <formula>I600="FAIL"</formula>
    </cfRule>
    <cfRule type="expression" priority="1620" dxfId="1">
      <formula>I600="PASS"</formula>
    </cfRule>
  </conditionalFormatting>
  <conditionalFormatting sqref="F601">
    <cfRule type="expression" priority="1621" dxfId="0">
      <formula>F601="FAIL"</formula>
    </cfRule>
    <cfRule type="expression" priority="1622" dxfId="1">
      <formula>F601="PASS"</formula>
    </cfRule>
  </conditionalFormatting>
  <conditionalFormatting sqref="I601">
    <cfRule type="expression" priority="1623" dxfId="0">
      <formula>I601="FAIL"</formula>
    </cfRule>
    <cfRule type="expression" priority="1624" dxfId="1">
      <formula>I601="PASS"</formula>
    </cfRule>
  </conditionalFormatting>
  <conditionalFormatting sqref="F602">
    <cfRule type="expression" priority="1625" dxfId="0">
      <formula>F602="FAIL"</formula>
    </cfRule>
    <cfRule type="expression" priority="1626" dxfId="1">
      <formula>F602="PASS"</formula>
    </cfRule>
  </conditionalFormatting>
  <conditionalFormatting sqref="I602">
    <cfRule type="expression" priority="1627" dxfId="0">
      <formula>I602="FAIL"</formula>
    </cfRule>
    <cfRule type="expression" priority="1628" dxfId="1">
      <formula>I602="PASS"</formula>
    </cfRule>
  </conditionalFormatting>
  <conditionalFormatting sqref="F603">
    <cfRule type="expression" priority="1629" dxfId="0">
      <formula>F603="FAIL"</formula>
    </cfRule>
    <cfRule type="expression" priority="1630" dxfId="1">
      <formula>F603="PASS"</formula>
    </cfRule>
  </conditionalFormatting>
  <conditionalFormatting sqref="F604">
    <cfRule type="expression" priority="1631" dxfId="0">
      <formula>F604="FAIL"</formula>
    </cfRule>
    <cfRule type="expression" priority="1632" dxfId="1">
      <formula>F604="PASS"</formula>
    </cfRule>
  </conditionalFormatting>
  <conditionalFormatting sqref="F605">
    <cfRule type="expression" priority="1633" dxfId="0">
      <formula>F605="FAIL"</formula>
    </cfRule>
    <cfRule type="expression" priority="1634" dxfId="1">
      <formula>F605="PASS"</formula>
    </cfRule>
  </conditionalFormatting>
  <conditionalFormatting sqref="C608">
    <cfRule type="expression" priority="1635" dxfId="0">
      <formula>C608="SOME FAILED"</formula>
    </cfRule>
    <cfRule type="expression" priority="1636" dxfId="1">
      <formula>C608="ALL PASS"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2026-10-07T16:36:11Z</dcterms:created>
  <dcterms:modified xmlns:dcterms="http://purl.org/dc/terms/" xmlns:xsi="http://www.w3.org/2001/XMLSchema-instance" xsi:type="dcterms:W3CDTF">2026-10-07T16:36:11Z</dcterms:modified>
</cp:coreProperties>
</file>